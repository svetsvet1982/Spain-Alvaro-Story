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부작 목록" sheetId="1" state="visible" r:id="rId3"/>
    <sheet name="화 목록" sheetId="2" state="visible" r:id="rId4"/>
    <sheet name="설명" sheetId="3" state="visible" r:id="rId5"/>
  </sheets>
  <definedNames>
    <definedName function="false" hidden="true" localSheetId="0" name="_xlnm._FilterDatabase" vbProcedure="false">'부작 목록'!$A$1:$I$66</definedName>
    <definedName function="false" hidden="true" localSheetId="1" name="_xlnm._FilterDatabase" vbProcedure="false">'화 목록'!$A$1:$G$980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<sst xmlns="http://schemas.openxmlformats.org/spreadsheetml/2006/main" count="2187" uniqueCount="1136">
  <si>
    <t xml:space="preserve">부작 번호</t>
  </si>
  <si>
    <t xml:space="preserve">파트</t>
  </si>
  <si>
    <t xml:space="preserve">부작 제목</t>
  </si>
  <si>
    <t xml:space="preserve">시작 화</t>
  </si>
  <si>
    <t xml:space="preserve">끝 화</t>
  </si>
  <si>
    <t xml:space="preserve">화 수</t>
  </si>
  <si>
    <r>
      <rPr>
        <b val="true"/>
        <sz val="11"/>
        <color rgb="FFFFFFFF"/>
        <rFont val="WenQuanYi Zen Hei"/>
        <family val="2"/>
      </rPr>
      <t xml:space="preserve">대화 줄 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근사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</si>
  <si>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핵심 내용</t>
  </si>
  <si>
    <t xml:space="preserve">저장소 해설 폴더</t>
  </si>
  <si>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일상 회화</t>
    </r>
  </si>
  <si>
    <t xml:space="preserve">식당 수다와 『리처』 토론</t>
  </si>
  <si>
    <r>
      <rPr>
        <sz val="11"/>
        <rFont val="WenQuanYi Zen Hei"/>
        <family val="2"/>
      </rPr>
      <t xml:space="preserve">마드리드 식당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카페에서 하비에르와 알바로가 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드라마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기사를 두고 나누는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 친구의 일상 대화</t>
    </r>
  </si>
  <si>
    <t xml:space="preserve">해안 불법 개발 탐사보도</t>
  </si>
  <si>
    <r>
      <rPr>
        <sz val="11"/>
        <rFont val="WenQuanYi Zen Hei"/>
        <family val="2"/>
      </rPr>
      <t xml:space="preserve">불법 토지 개발 취재 전략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인터뷰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국장실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 발행</t>
    </r>
  </si>
  <si>
    <t xml:space="preserve">신문 기사 읽기 대화</t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</si>
  <si>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·WSJ·</t>
    </r>
    <r>
      <rPr>
        <sz val="11"/>
        <rFont val="WenQuanYi Zen Hei"/>
        <family val="2"/>
      </rPr>
      <t xml:space="preserve">엘 문도 기사를 읽으며 나누는 국제 정세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사회 이슈 토론</t>
    </r>
  </si>
  <si>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카를로스 사건집</t>
    </r>
  </si>
  <si>
    <t xml:space="preserve">카디스 무기 밀매 잠입</t>
  </si>
  <si>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카를로스와 재회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위장 신분 디에고로 파비안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베네수엘라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루에다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 제거 계획 저지</t>
    </r>
  </si>
  <si>
    <t xml:space="preserve">마드리드 경매장과 치무 황금 칼</t>
  </si>
  <si>
    <r>
      <rPr>
        <sz val="11"/>
        <rFont val="WenQuanYi Zen Hei"/>
        <family val="2"/>
      </rPr>
      <t xml:space="preserve">위장 신분 다니엘로 유물 밀반출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당일 급습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</si>
  <si>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유물 반환 협상</t>
    </r>
  </si>
  <si>
    <r>
      <rPr>
        <sz val="11"/>
        <rFont val="WenQuanYi Zen Hei"/>
        <family val="2"/>
      </rPr>
      <t xml:space="preserve">치무 칼 반환 이후 포괄적 반환 협상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키푸 쟁점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서명</t>
    </r>
  </si>
  <si>
    <t xml:space="preserve">대마 합법화와 베르데갈 캐피털</t>
  </si>
  <si>
    <r>
      <rPr>
        <sz val="11"/>
        <rFont val="WenQuanYi Zen Hei"/>
        <family val="2"/>
      </rPr>
      <t xml:space="preserve">정치인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투자펀드 금전 연결고리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 아길라르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아리사 조직 와해</t>
    </r>
  </si>
  <si>
    <t xml:space="preserve">라몬 재판과 자금 추적</t>
  </si>
  <si>
    <r>
      <rPr>
        <sz val="11"/>
        <rFont val="WenQuanYi Zen Hei"/>
        <family val="2"/>
      </rPr>
      <t xml:space="preserve">정치자금 세탁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증인 수아소 사망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폭발 사건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</si>
  <si>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라몬재판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자금추적</t>
    </r>
  </si>
  <si>
    <t xml:space="preserve">명품 위조 조직</t>
  </si>
  <si>
    <r>
      <rPr>
        <sz val="11"/>
        <rFont val="WenQuanYi Zen Hei"/>
        <family val="2"/>
      </rPr>
      <t xml:space="preserve">톰포드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명품 위조품 유통망 잠입과 생산 작업장 급습</t>
    </r>
  </si>
  <si>
    <t xml:space="preserve">의료관광 클리닉</t>
  </si>
  <si>
    <r>
      <rPr>
        <sz val="11"/>
        <rFont val="WenQuanYi Zen Hei"/>
        <family val="2"/>
      </rPr>
      <t xml:space="preserve">가짜 백신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미허가 시술 클리닉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실소유주 추적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</si>
  <si>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의료관광</t>
    </r>
  </si>
  <si>
    <t xml:space="preserve">위기 대응 긴급자금 횡령</t>
  </si>
  <si>
    <t xml:space="preserve">가상 자치도시 푸에르토 알토의 긴급자금 횡령 취재</t>
  </si>
  <si>
    <t xml:space="preserve">북극 신항로 이중용도 밀수</t>
  </si>
  <si>
    <r>
      <rPr>
        <sz val="11"/>
        <rFont val="WenQuanYi Zen Hei"/>
        <family val="2"/>
      </rPr>
      <t xml:space="preserve">노르티아 로히스티카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화물 명세서 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선적일 급습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</si>
  <si>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북극항로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</si>
  <si>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컴패니언 앱 사기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</si>
  <si>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앱을 이용한 정서적 포섭 사기와 소비자보호 당국 개입</t>
    </r>
  </si>
  <si>
    <t xml:space="preserve">반티아 재난 은폐 검증</t>
  </si>
  <si>
    <r>
      <rPr>
        <sz val="11"/>
        <rFont val="WenQuanYi Zen Hei"/>
        <family val="2"/>
      </rPr>
      <t xml:space="preserve">위성사진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영상으로 가상국 반티아의 빙하 붕괴 피해 은폐를 검증하는 보도</t>
    </r>
  </si>
  <si>
    <t xml:space="preserve">야마이라 재건 리베이트</t>
  </si>
  <si>
    <r>
      <rPr>
        <sz val="11"/>
        <rFont val="WenQuanYi Zen Hei"/>
        <family val="2"/>
      </rPr>
      <t xml:space="preserve">재건 붐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세계관 확장</t>
    </r>
  </si>
  <si>
    <r>
      <rPr>
        <sz val="11"/>
        <rFont val="WenQuanYi Zen Hei"/>
        <family val="2"/>
      </rPr>
      <t xml:space="preserve">아이슬란드 어업 쿼터 재협상</t>
    </r>
    <r>
      <rPr>
        <sz val="11"/>
        <rFont val="Arial"/>
        <family val="0"/>
        <charset val="1"/>
      </rPr>
      <t xml:space="preserve">(1)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</si>
  <si>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어획 쿼터 협상 취재</t>
    </r>
  </si>
  <si>
    <r>
      <rPr>
        <sz val="11"/>
        <rFont val="WenQuanYi Zen Hei"/>
        <family val="2"/>
      </rPr>
      <t xml:space="preserve">가짜 자선단체 기부금 횡령</t>
    </r>
    <r>
      <rPr>
        <sz val="11"/>
        <rFont val="Arial"/>
        <family val="0"/>
        <charset val="1"/>
      </rPr>
      <t xml:space="preserve">(1)</t>
    </r>
  </si>
  <si>
    <t xml:space="preserve">어린이 의료지원 명목 자선단체의 기부금 횡령 취재</t>
  </si>
  <si>
    <t xml:space="preserve">푸에르토 수르 이주 긴급자금</t>
  </si>
  <si>
    <r>
      <rPr>
        <sz val="11"/>
        <rFont val="WenQuanYi Zen Hei"/>
        <family val="2"/>
      </rPr>
      <t xml:space="preserve">이주 위기 대응 긴급자금의 수상한 집행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물류업체 위장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체포와 보도</t>
    </r>
  </si>
  <si>
    <t xml:space="preserve">북극 신항로 해운기업 조사</t>
  </si>
  <si>
    <r>
      <rPr>
        <sz val="11"/>
        <rFont val="WenQuanYi Zen Hei"/>
        <family val="2"/>
      </rPr>
      <t xml:space="preserve">가상 해운기업 노르티아 나비에라 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재수출 경로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 압류</t>
    </r>
  </si>
  <si>
    <r>
      <rPr>
        <sz val="11"/>
        <rFont val="WenQuanYi Zen Hei"/>
        <family val="2"/>
      </rPr>
      <t xml:space="preserve">이모 로사와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</t>
    </r>
  </si>
  <si>
    <r>
      <rPr>
        <sz val="11"/>
        <rFont val="WenQuanYi Zen Hei"/>
        <family val="2"/>
      </rPr>
      <t xml:space="preserve">가족이 피해를 입은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가짜 프로필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</t>
    </r>
  </si>
  <si>
    <t xml:space="preserve">몬타냐 델 노르테 산사태 은폐</t>
  </si>
  <si>
    <r>
      <rPr>
        <sz val="11"/>
        <rFont val="WenQuanYi Zen Hei"/>
        <family val="2"/>
      </rPr>
      <t xml:space="preserve">가상 산악국가의 재해 규모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 검증과 국제 반향</t>
    </r>
  </si>
  <si>
    <t xml:space="preserve">카바나스 재건 사업과 컨설턴트 위장</t>
  </si>
  <si>
    <r>
      <rPr>
        <sz val="11"/>
        <rFont val="WenQuanYi Zen Hei"/>
        <family val="2"/>
      </rPr>
      <t xml:space="preserve">루에다 잔당 자금이 흘러든 재건 사업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커미션 지급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현지 반부패팀 공조</t>
    </r>
  </si>
  <si>
    <r>
      <rPr>
        <sz val="11"/>
        <rFont val="WenQuanYi Zen Hei"/>
        <family val="2"/>
      </rPr>
      <t xml:space="preserve">아이슬란드 어획 쿼터 협상</t>
    </r>
    <r>
      <rPr>
        <sz val="11"/>
        <rFont val="Arial"/>
        <family val="0"/>
        <charset val="1"/>
      </rPr>
      <t xml:space="preserve">(2)</t>
    </r>
  </si>
  <si>
    <t xml:space="preserve">비고에서 열린 협상 세션과 협정 서명</t>
  </si>
  <si>
    <t xml:space="preserve">에스페란사 글로벌 기부금 횡령</t>
  </si>
  <si>
    <r>
      <rPr>
        <sz val="11"/>
        <rFont val="WenQuanYi Zen Hei"/>
        <family val="2"/>
      </rPr>
      <t xml:space="preserve">국제 원조 자선단체 횡령 의혹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자선 갈라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명령 집행</t>
    </r>
  </si>
  <si>
    <r>
      <rPr>
        <sz val="11"/>
        <rFont val="WenQuanYi Zen Hei"/>
        <family val="2"/>
      </rPr>
      <t xml:space="preserve">원전 설계도 유출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</si>
  <si>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국가안보급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감사 위장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접선 현장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불가 확인</t>
    </r>
  </si>
  <si>
    <t xml:space="preserve">몬테알토 와이너리 원산지 위조</t>
  </si>
  <si>
    <r>
      <rPr>
        <sz val="11"/>
        <rFont val="WenQuanYi Zen Hei"/>
        <family val="2"/>
      </rPr>
      <t xml:space="preserve">저가 포도주를 고급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인증으로 속인 사건과 규제위원회 조사</t>
    </r>
  </si>
  <si>
    <t xml:space="preserve">역외 페이퍼컴퍼니 탈세 네트워크</t>
  </si>
  <si>
    <r>
      <rPr>
        <sz val="11"/>
        <rFont val="WenQuanYi Zen Hei"/>
        <family val="2"/>
      </rPr>
      <t xml:space="preserve">알레한드로 푸익 신분으로 페란 사무실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은행 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</t>
    </r>
  </si>
  <si>
    <t xml:space="preserve">이바라 전 장관 협박과 후속 보도</t>
  </si>
  <si>
    <r>
      <rPr>
        <sz val="11"/>
        <rFont val="WenQuanYi Zen Hei"/>
        <family val="2"/>
      </rPr>
      <t xml:space="preserve">특종 이후 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리히텐슈타인 신탁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펠리시아노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공조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</t>
    </r>
  </si>
  <si>
    <t xml:space="preserve">가짜 주권 클라우드</t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</si>
  <si>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 저장을 내세운 클라우드 기업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급습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국 공조 수사</t>
    </r>
  </si>
  <si>
    <t xml:space="preserve">농장 이주노동자 강제노동</t>
  </si>
  <si>
    <r>
      <rPr>
        <sz val="11"/>
        <rFont val="WenQuanYi Zen Hei"/>
        <family val="2"/>
      </rPr>
      <t xml:space="preserve">마놀로 이바라 신분으로 농장에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부상자 병원 이송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</si>
  <si>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r>
      <rPr>
        <sz val="11"/>
        <rFont val="WenQuanYi Zen Hei"/>
        <family val="2"/>
      </rPr>
      <t xml:space="preserve">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조직 잠입</t>
    </r>
  </si>
  <si>
    <r>
      <rPr>
        <sz val="11"/>
        <rFont val="WenQuanYi Zen Hei"/>
        <family val="2"/>
      </rPr>
      <t xml:space="preserve">리고베르토 조직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카밀라와의 협력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탈출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</si>
  <si>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마약조직</t>
    </r>
  </si>
  <si>
    <r>
      <rPr>
        <sz val="11"/>
        <rFont val="Arial"/>
        <family val="0"/>
        <charset val="1"/>
      </rPr>
      <t xml:space="preserve">C EU 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</si>
  <si>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브뤼셀 로비 네트워크</t>
    </r>
  </si>
  <si>
    <r>
      <rPr>
        <sz val="11"/>
        <rFont val="WenQuanYi Zen Hei"/>
        <family val="2"/>
      </rPr>
      <t xml:space="preserve">카밀라 위장 접근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체포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후일담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마르턴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아일랜드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니스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독일 확대 예고</t>
    </r>
  </si>
  <si>
    <r>
      <rPr>
        <sz val="11"/>
        <rFont val="Arial"/>
        <family val="0"/>
        <charset val="1"/>
      </rPr>
      <t xml:space="preserve">S2-EU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</si>
  <si>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D </t>
    </r>
    <r>
      <rPr>
        <sz val="11"/>
        <rFont val="WenQuanYi Zen Hei"/>
        <family val="2"/>
      </rPr>
      <t xml:space="preserve">엘 아르키텍토 추적</t>
    </r>
  </si>
  <si>
    <t xml:space="preserve">스페인 중앙은행 공작</t>
  </si>
  <si>
    <r>
      <rPr>
        <sz val="11"/>
        <rFont val="WenQuanYi Zen Hei"/>
        <family val="2"/>
      </rPr>
      <t xml:space="preserve">알바로 단독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토마스 브라보 신분으로 은행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 대응</t>
    </r>
  </si>
  <si>
    <t xml:space="preserve">로셀요의 만찬 회유</t>
  </si>
  <si>
    <r>
      <rPr>
        <sz val="11"/>
        <rFont val="WenQuanYi Zen Hei"/>
        <family val="2"/>
      </rPr>
      <t xml:space="preserve">로셀요가 직접 전화해 만찬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협박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강화</t>
    </r>
  </si>
  <si>
    <t xml:space="preserve">사프란 원산지 사기</t>
  </si>
  <si>
    <t xml:space="preserve">라만차 사프란 위조 유통업체 취재와 보도</t>
  </si>
  <si>
    <t xml:space="preserve">루카와의 재회</t>
  </si>
  <si>
    <t xml:space="preserve">사건 없는 우정 에피소드</t>
  </si>
  <si>
    <t xml:space="preserve">무기 밀매와 자금세탁 설계자 로셀요</t>
  </si>
  <si>
    <r>
      <rPr>
        <sz val="11"/>
        <rFont val="WenQuanYi Zen Hei"/>
        <family val="2"/>
      </rPr>
      <t xml:space="preserve">브루노 베테르그렌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발렌시아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카르타헤나 항구 급습</t>
    </r>
  </si>
  <si>
    <t xml:space="preserve">칸타브리아 저택 취재와 출판 계약</t>
  </si>
  <si>
    <r>
      <rPr>
        <sz val="11"/>
        <rFont val="WenQuanYi Zen Hei"/>
        <family val="2"/>
      </rPr>
      <t xml:space="preserve">로셀요 연결 부동산 단독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안셀모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출판 계약</t>
    </r>
  </si>
  <si>
    <r>
      <rPr>
        <sz val="11"/>
        <rFont val="Arial"/>
        <family val="0"/>
        <charset val="1"/>
      </rPr>
      <t xml:space="preserve">E </t>
    </r>
    <r>
      <rPr>
        <sz val="11"/>
        <rFont val="WenQuanYi Zen Hei"/>
        <family val="2"/>
      </rPr>
      <t xml:space="preserve">빅토르 안전가옥 세션</t>
    </r>
  </si>
  <si>
    <t xml:space="preserve">빅토르의 접선과 망명</t>
  </si>
  <si>
    <r>
      <rPr>
        <sz val="11"/>
        <rFont val="WenQuanYi Zen Hei"/>
        <family val="2"/>
      </rPr>
      <t xml:space="preserve">해외 정보기관 요원 빅토르의 암호화 메시지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정황 검증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보호</t>
    </r>
  </si>
  <si>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임플란트와 산타클로스 작전</t>
    </r>
  </si>
  <si>
    <r>
      <rPr>
        <sz val="11"/>
        <rFont val="WenQuanYi Zen Hei"/>
        <family val="2"/>
      </rPr>
      <t xml:space="preserve">종결 작전부터 검증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하드웨어 임플란트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산타클로스 작전</t>
    </r>
  </si>
  <si>
    <t xml:space="preserve">아담과 이브 작전</t>
  </si>
  <si>
    <r>
      <rPr>
        <sz val="11"/>
        <rFont val="WenQuanYi Zen Hei"/>
        <family val="2"/>
      </rPr>
      <t xml:space="preserve">위장 신원 구축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요원 훈련과 이탈 과정</t>
    </r>
  </si>
  <si>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로셀요의 기원</t>
    </r>
  </si>
  <si>
    <r>
      <rPr>
        <sz val="11"/>
        <rFont val="WenQuanYi Zen Hei"/>
        <family val="2"/>
      </rPr>
      <t xml:space="preserve">로셀요의 기원과 후보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운명</t>
    </r>
  </si>
  <si>
    <t xml:space="preserve">엘 아르키텍토 프로그램</t>
  </si>
  <si>
    <r>
      <rPr>
        <sz val="11"/>
        <rFont val="WenQuanYi Zen Hei"/>
        <family val="2"/>
      </rPr>
      <t xml:space="preserve">후계자 양성 프로그램의 구조와 실패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인물 분석</t>
    </r>
  </si>
  <si>
    <r>
      <rPr>
        <sz val="11"/>
        <rFont val="WenQuanYi Zen Hei"/>
        <family val="2"/>
      </rPr>
      <t xml:space="preserve">크리스탈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영원의 도서관</t>
    </r>
  </si>
  <si>
    <t xml:space="preserve">활성 작전과 빅토르의 옛 기관이 직접 설계한 작전들</t>
  </si>
  <si>
    <t xml:space="preserve">로셀요의 두 번째 만찬과 면회 시범</t>
  </si>
  <si>
    <r>
      <rPr>
        <sz val="11"/>
        <rFont val="WenQuanYi Zen Hei"/>
        <family val="2"/>
      </rPr>
      <t xml:space="preserve">로셀요 재접촉 만찬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후 면회 가정 장면</t>
    </r>
  </si>
  <si>
    <t xml:space="preserve">둠루프 작전</t>
  </si>
  <si>
    <t xml:space="preserve">금융시장 공황 유발 작전과 은행 감독 대응</t>
  </si>
  <si>
    <t xml:space="preserve">미네르바 작전</t>
  </si>
  <si>
    <r>
      <rPr>
        <sz val="11"/>
        <rFont val="WenQuanYi Zen Hei"/>
        <family val="2"/>
      </rPr>
      <t xml:space="preserve">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 장기 침투 첩보 프로그램</t>
    </r>
  </si>
  <si>
    <t xml:space="preserve">북방의 교향곡</t>
  </si>
  <si>
    <t xml:space="preserve">의회 표결 시점 봇 계정 물결의 정체와 대응</t>
  </si>
  <si>
    <t xml:space="preserve">바벨탑 작전</t>
  </si>
  <si>
    <r>
      <rPr>
        <sz val="11"/>
        <rFont val="WenQuanYi Zen Hei"/>
        <family val="2"/>
      </rPr>
      <t xml:space="preserve">북방의 교향곡의 유럽 각국 언어 확장판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발트해</t>
    </r>
  </si>
  <si>
    <t xml:space="preserve">마레아 작전</t>
  </si>
  <si>
    <r>
      <rPr>
        <sz val="11"/>
        <rFont val="WenQuanYi Zen Hei"/>
        <family val="2"/>
      </rPr>
      <t xml:space="preserve">선거를 겨냥한 인프라 활용 작전과 조기경보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 표결일 대응</t>
    </r>
  </si>
  <si>
    <t xml:space="preserve">돈키호테 작전</t>
  </si>
  <si>
    <t xml:space="preserve">알바로의 추적들이 의도된 기만이었다는 폭로</t>
  </si>
  <si>
    <t xml:space="preserve">자칼 작전</t>
  </si>
  <si>
    <r>
      <rPr>
        <sz val="11"/>
        <rFont val="WenQuanYi Zen Hei"/>
        <family val="2"/>
      </rPr>
      <t xml:space="preserve">제거 전담팀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미행과 역정찰</t>
    </r>
  </si>
  <si>
    <t xml:space="preserve">파로 작전</t>
  </si>
  <si>
    <t xml:space="preserve">문서로만 존재하는 재생에너지 인프라 장악 계획 저지</t>
  </si>
  <si>
    <t xml:space="preserve">불꽃 작전</t>
  </si>
  <si>
    <r>
      <rPr>
        <sz val="11"/>
        <rFont val="WenQuanYi Zen Hei"/>
        <family val="2"/>
      </rPr>
      <t xml:space="preserve">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 발동과 협력자 보호</t>
    </r>
  </si>
  <si>
    <t xml:space="preserve">온라인 투자사기 리딩방</t>
  </si>
  <si>
    <r>
      <rPr>
        <sz val="11"/>
        <rFont val="WenQuanYi Zen Hei"/>
        <family val="2"/>
      </rPr>
      <t xml:space="preserve">텔레그램 리딩방 사기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피해자 지원기금</t>
    </r>
  </si>
  <si>
    <t xml:space="preserve">제약회사 임상시험 조작</t>
  </si>
  <si>
    <r>
      <rPr>
        <sz val="11"/>
        <rFont val="WenQuanYi Zen Hei"/>
        <family val="2"/>
      </rPr>
      <t xml:space="preserve">자금세탁 제약회사의 데이터 조작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환자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</si>
  <si>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t xml:space="preserve">예술품 위조 공방</t>
  </si>
  <si>
    <r>
      <rPr>
        <sz val="11"/>
        <rFont val="WenQuanYi Zen Hei"/>
        <family val="2"/>
      </rPr>
      <t xml:space="preserve">론다 인근 위조 공방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 면회와 재판</t>
    </r>
  </si>
  <si>
    <t xml:space="preserve">푸른 열차 작전</t>
  </si>
  <si>
    <r>
      <rPr>
        <sz val="11"/>
        <rFont val="WenQuanYi Zen Hei"/>
        <family val="2"/>
      </rPr>
      <t xml:space="preserve">로셀요 이동 패턴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밀라노역 목격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사이클</t>
    </r>
  </si>
  <si>
    <t xml:space="preserve">묘지 작전</t>
  </si>
  <si>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제네바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루체른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칸타브리아 단서 재조사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저택 금고 개봉</t>
    </r>
  </si>
  <si>
    <t xml:space="preserve">바위 작전</t>
  </si>
  <si>
    <r>
      <rPr>
        <sz val="11"/>
        <rFont val="WenQuanYi Zen Hei"/>
        <family val="2"/>
      </rPr>
      <t xml:space="preserve">루체른 인근 고정 거점 탐색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교사 슈미트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드론 정찰</t>
    </r>
  </si>
  <si>
    <t xml:space="preserve">북극성 작전</t>
  </si>
  <si>
    <r>
      <rPr>
        <sz val="11"/>
        <rFont val="WenQuanYi Zen Hei"/>
        <family val="2"/>
      </rPr>
      <t xml:space="preserve">검거 시점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방법 확정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협조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훈련</t>
    </r>
  </si>
  <si>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 검거</t>
    </r>
  </si>
  <si>
    <r>
      <rPr>
        <sz val="11"/>
        <rFont val="WenQuanYi Zen Hei"/>
        <family val="2"/>
      </rPr>
      <t xml:space="preserve">밀라노 포위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실행 보류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재실행 끝에 검거</t>
    </r>
  </si>
  <si>
    <t xml:space="preserve">검거 이후</t>
  </si>
  <si>
    <r>
      <rPr>
        <sz val="11"/>
        <rFont val="WenQuanYi Zen Hei"/>
        <family val="2"/>
      </rPr>
      <t xml:space="preserve">취리히 구금시설 면담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빅토르의 새 삶</t>
    </r>
  </si>
  <si>
    <t xml:space="preserve">에필로그</t>
  </si>
  <si>
    <r>
      <rPr>
        <sz val="11"/>
        <rFont val="WenQuanYi Zen Hei"/>
        <family val="2"/>
      </rPr>
      <t xml:space="preserve">최종 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카밀라의 미래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보상기금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시리즈 회고</t>
    </r>
  </si>
  <si>
    <t xml:space="preserve">면회 시리즈</t>
  </si>
  <si>
    <t xml:space="preserve">수감된 로셀요를 정기 면회하며 신문 기사를 화제로 나누는 대화</t>
  </si>
  <si>
    <t xml:space="preserve">합계</t>
  </si>
  <si>
    <t xml:space="preserve">화 번호</t>
  </si>
  <si>
    <t xml:space="preserve">문서 내 문단 위치</t>
  </si>
  <si>
    <r>
      <rPr>
        <b val="true"/>
        <sz val="11"/>
        <color rgb="FFFFFFFF"/>
        <rFont val="WenQuanYi Zen Hei"/>
        <family val="2"/>
      </rPr>
      <t xml:space="preserve">상황 설명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원문 발췌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</si>
  <si>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마드리드 중심가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토요일 점심시간의 활기찬 식당입니다</t>
    </r>
    <r>
      <rPr>
        <sz val="11"/>
        <rFont val="Arial"/>
        <family val="0"/>
        <charset val="1"/>
      </rPr>
      <t xml:space="preserve">. 40</t>
    </r>
    <r>
      <rPr>
        <sz val="11"/>
        <rFont val="WenQuanYi Zen Hei"/>
        <family val="2"/>
      </rPr>
      <t xml:space="preserve">대 마드리드 토박이 기자 친구인 하 비에르</t>
    </r>
    <r>
      <rPr>
        <sz val="11"/>
        <rFont val="Arial"/>
        <family val="0"/>
        <charset val="1"/>
      </rPr>
      <t xml:space="preserve">(Javier)</t>
    </r>
    <r>
      <rPr>
        <sz val="11"/>
        <rFont val="WenQuanYi Zen Hei"/>
        <family val="2"/>
      </rPr>
      <t xml:space="preserve">와 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테라스 좌석에 앉아 맥주</t>
    </r>
    <r>
      <rPr>
        <sz val="11"/>
        <rFont val="Arial"/>
        <family val="0"/>
        <charset val="1"/>
      </rPr>
      <t xml:space="preserve">(Caña)</t>
    </r>
    <r>
      <rPr>
        <sz val="11"/>
        <rFont val="WenQuanYi Zen Hei"/>
        <family val="2"/>
      </rPr>
      <t xml:space="preserve">를 곁들인 식사를 하며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</si>
  <si>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다시 마드리드 시내의 같은 식당에서 만난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 는 지난 한 주간의 구체적인 업무 성과와 개인적인 일들에 대해 조금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</si>
  <si>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대화문은 리 차일드</t>
    </r>
    <r>
      <rPr>
        <sz val="11"/>
        <rFont val="Arial"/>
        <family val="0"/>
        <charset val="1"/>
      </rPr>
      <t xml:space="preserve">(Lee Child)</t>
    </r>
    <r>
      <rPr>
        <sz val="11"/>
        <rFont val="WenQuanYi Zen Hei"/>
        <family val="2"/>
      </rPr>
      <t xml:space="preserve">의 소설 『</t>
    </r>
    <r>
      <rPr>
        <sz val="11"/>
        <rFont val="Arial"/>
        <family val="0"/>
        <charset val="1"/>
      </rPr>
      <t xml:space="preserve">Zona Peligrosa(</t>
    </r>
    <r>
      <rPr>
        <sz val="11"/>
        <rFont val="WenQuanYi Zen Hei"/>
        <family val="2"/>
      </rPr>
      <t xml:space="preserve">영제</t>
    </r>
    <r>
      <rPr>
        <sz val="11"/>
        <rFont val="Arial"/>
        <family val="0"/>
        <charset val="1"/>
      </rPr>
      <t xml:space="preserve">: Killing Floor)</t>
    </r>
    <r>
      <rPr>
        <sz val="11"/>
        <rFont val="WenQuanYi Zen Hei"/>
        <family val="2"/>
      </rPr>
      <t xml:space="preserve">』를 읽은 두 명의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내용과 문학적 장치에 대해 깊이 있게 토론하는 상황입니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요청하신 대로 접속법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대과거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조건법 등을 집중적으로 배치했습니다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</si>
  <si>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이번에는 아마존 프라임의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본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각색의 완성도와 원작과의 차이점에 대해 대화를 나누는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드라마에 대한 비평인 만 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앞선 대화보다 더 복잡한 가정과 분석이 포함되어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</si>
  <si>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를 시청한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한층 더 비평적인 시각으로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시즌을 거듭하며 익숙해진 팬들로서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원작의 정체성과 시리즈의 방향성에 대해 보다 깊은 분석을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</si>
  <si>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의 강렬하고도 씁쓸한 엔딩 장면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 여운을 극대화했던 </t>
    </r>
    <r>
      <rPr>
        <sz val="11"/>
        <rFont val="Arial"/>
        <family val="0"/>
        <charset val="1"/>
      </rPr>
      <t xml:space="preserve">Mondo Cozmo</t>
    </r>
    <r>
      <rPr>
        <sz val="11"/>
        <rFont val="WenQuanYi Zen Hei"/>
        <family val="2"/>
      </rPr>
      <t xml:space="preserve">의 음악 에 대해 하비에르와 알바로가 깊은 감상을 나누는 대화문입니다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</si>
  <si>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지난주 각자 취재한 기사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하비에르는 경제 분야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정치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사회 분야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대해 마드리드의 한 식당에서 식사를 하며 서로의 취재 과정과 결과를 비판적으로 공유하는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 화문은 전문적인 견해를 나누는 만큼 접속법과 조건법이 밀도 있게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</si>
  <si>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주부터 시작될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해안 지역의 불법 토지 개발 및 환경 파괴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묵직한 탐사보도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기자가 구체적인 취재 전략과 위험 요소를 논의하는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대화문에서는 미래에 대한 계획과 가정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가정법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조건법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그리고 상대방의 의견을 이끌어내는 접속법이 집중적 으로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</si>
  <si>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불법 건축과 환경 파괴의 중심에 있는 익명의 제보자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내부 고발자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만 나 인터뷰하는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긴장감이 감도는 취재 현장의 분위기를 살려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접속법을 이용한 신뢰 확보와 조건법을 통한 가설적 상황 제시를 중심으로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</si>
  <si>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상사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취재한 내용과 확보한 증거물을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보도 방향과 법적 리스크에 대해 논의하는 긴장감 넘치는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상사와의 대화이므로 격식 있는 어조 와 접속법을 활용한 정중한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객관적 분석을 위한 직설법이 조화를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</si>
  <si>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퇴근길 혹은 집에 돌아왔을 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준비 중인 불법 토지 개발 건을 중단하라는 익명 의 협박 전화를 받는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상대방은 알바로의 신상과 취재 내용을 상세히 알고 있다는 점을 강조하며 심리적 압박을 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</si>
  <si>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상황은 협박 전화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국장실에서 안전 문제와 보도 가치를 두고 벌이는 치열한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결국 진실을 위해 기사를 송고하기로 합의하는 긴박한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</si>
  <si>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기사가 발행된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카페에서 알바로와 하비에르가 긴장감이 가신 자리에서 차분 히 커피를 마시며 이번 탐사보도의 파장과 개인적인 소회를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</si>
  <si>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마드리드의 한 카페에서 하비에르와 알바로가 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기사를 읽고 국제 정세에 대 해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미국의 대이란 압박과 호르무즈 해협의 긴장 상황이라는 무거운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기자의 냉철한 분석과 전망을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</si>
  <si>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독자 투고란</t>
    </r>
    <r>
      <rPr>
        <sz val="11"/>
        <rFont val="Arial"/>
        <family val="0"/>
        <charset val="1"/>
      </rPr>
      <t xml:space="preserve">(La Opinión del Lector)</t>
    </r>
    <r>
      <rPr>
        <sz val="11"/>
        <rFont val="WenQuanYi Zen Hei"/>
        <family val="2"/>
      </rPr>
      <t xml:space="preserve">에 실린 마린 르펜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바라베스</t>
    </r>
    <r>
      <rPr>
        <sz val="11"/>
        <rFont val="Arial"/>
        <family val="0"/>
        <charset val="1"/>
      </rPr>
      <t xml:space="preserve">(Barrabés) </t>
    </r>
    <r>
      <rPr>
        <sz val="11"/>
        <rFont val="WenQuanYi Zen Hei"/>
        <family val="2"/>
      </rPr>
      <t xml:space="preserve">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나토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페이호의 부상자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내부 갈등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관한 복합적인 정치 칼럼을 읽고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 가 마드리드 시내의 한 카페에서 비판적인 시각으로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</si>
  <si>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월스트리트 저널</t>
    </r>
    <r>
      <rPr>
        <sz val="11"/>
        <rFont val="Arial"/>
        <family val="0"/>
        <charset val="1"/>
      </rPr>
      <t xml:space="preserve">(WSJ)</t>
    </r>
    <r>
      <rPr>
        <sz val="11"/>
        <rFont val="WenQuanYi Zen Hei"/>
        <family val="2"/>
      </rPr>
      <t xml:space="preserve">의 최근 보도 내용을 바탕으로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우크라이나 전황의 변화와 푸틴의 대응에 대해 마드리드의 한 사무실에서 심각하게 의견을 나누는 모습입니다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번엔 두 사람의 전문적인 분석과 국제 정치에 대한 깊은 우려가 대화에 묻어납니다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</si>
  <si>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무거운 정치 기사가 아닌</t>
    </r>
    <r>
      <rPr>
        <sz val="11"/>
        <rFont val="Arial"/>
        <family val="0"/>
        <charset val="1"/>
      </rPr>
      <t xml:space="preserve">, WSJ</t>
    </r>
    <r>
      <rPr>
        <sz val="11"/>
        <rFont val="WenQuanYi Zen Hei"/>
        <family val="2"/>
      </rPr>
      <t xml:space="preserve">의 라이프스타일 섹션에 실린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유 럽 여행의 고통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폭염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고물가</t>
    </r>
    <r>
      <rPr>
        <sz val="11"/>
        <rFont val="Arial"/>
        <family val="0"/>
        <charset val="1"/>
      </rPr>
      <t xml:space="preserve">)'</t>
    </r>
    <r>
      <rPr>
        <sz val="11"/>
        <rFont val="WenQuanYi Zen Hei"/>
        <family val="2"/>
      </rPr>
      <t xml:space="preserve">에 관한 기사를 읽으며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기자로서의 시각 이 아닌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주말을 앞둔 평범한 여행자들의 관점에서 가벼운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</si>
  <si>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베네수엘라의 지진 피해와 취약해진 의료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그로 인해 외부 의사들에 의존할 수밖 에 없는 현 상황을 다룬 </t>
    </r>
    <r>
      <rPr>
        <sz val="11"/>
        <rFont val="Arial"/>
        <family val="0"/>
        <charset val="1"/>
      </rPr>
      <t xml:space="preserve">WSJ </t>
    </r>
    <r>
      <rPr>
        <sz val="11"/>
        <rFont val="WenQuanYi Zen Hei"/>
        <family val="2"/>
      </rPr>
      <t xml:space="preserve">기사를 접한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국제 사회의 인도 주의적 위기와 보건 정책의 난맥상을 짚어보는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</si>
  <si>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월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일 자 기사는 현재 스페인 정국을 뒤흔들고 있는 복합적인 정치 이슈들을 다루고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이번에는 하비에르와 알바로가 주말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조용 한 카페에서 커피를 마시며 이 기사들에 대해 비판적이고 심도 있는 대화를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</si>
  <si>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 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크로니카</t>
    </r>
    <r>
      <rPr>
        <sz val="11"/>
        <rFont val="Arial"/>
        <family val="0"/>
        <charset val="1"/>
      </rPr>
      <t xml:space="preserve">(Crónica) </t>
    </r>
    <r>
      <rPr>
        <sz val="11"/>
        <rFont val="WenQuanYi Zen Hei"/>
        <family val="2"/>
      </rPr>
      <t xml:space="preserve">섹션 기사를 읽은 하비에르와 알바로는 사회의 어 두운 이면이나 인간적인 드라마를 다루는 탐사보도 기자로서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기사의 주제에 대해 깊은 공감을 나누고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조용한 테라스에서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업무의 긴장감을 잠시 내려놓은 두 사람의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</si>
  <si>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캘리포니아의 불법 대마초 시장과 그에 대한 단속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개빈 뉴섬 주지사의 정책을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오피니언 기사를 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법과 규제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의도와 다르게 부작용을 낳는 현상에 대해 마드리드의 한 카페에서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</si>
  <si>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에서 보도한 러시아 바그너 그룹의 아프리카 내 마약 거래 연루 의혹은 매우 충격적이고 복합적인 국제 정세 이슈입니다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카페에서 하비에르와 알바로는 이 기사를 읽으 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과거 그들이 다루었던 러시아 사업 개발 및 탐사보도 경험을 떠올리며 깊은 우려를 표합니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</si>
  <si>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점심을 먹고 카페를 나서며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스마트폰에 뜬 외국어 학습 서비스 광고 </t>
    </r>
    <r>
      <rPr>
        <sz val="11"/>
        <rFont val="Arial"/>
        <family val="0"/>
        <charset val="1"/>
      </rPr>
      <t xml:space="preserve">(Makes You Fluent)</t>
    </r>
    <r>
      <rPr>
        <sz val="11"/>
        <rFont val="WenQuanYi Zen Hei"/>
        <family val="2"/>
      </rPr>
      <t xml:space="preserve">를 보고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여전히 이탈리아어 학습에 열정을 쏟 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하비에르는 기자의 시각으로 이런 광고들의 효과를 냉철하게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</si>
  <si>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인공지능 분야의 거대 기업인 앤스로픽</t>
    </r>
    <r>
      <rPr>
        <sz val="11"/>
        <rFont val="Arial"/>
        <family val="0"/>
        <charset val="1"/>
      </rPr>
      <t xml:space="preserve">(Anthropic)</t>
    </r>
    <r>
      <rPr>
        <sz val="11"/>
        <rFont val="WenQuanYi Zen Hei"/>
        <family val="2"/>
      </rPr>
      <t xml:space="preserve">과 오픈</t>
    </r>
    <r>
      <rPr>
        <sz val="11"/>
        <rFont val="Arial"/>
        <family val="0"/>
        <charset val="1"/>
      </rPr>
      <t xml:space="preserve">AI(OpenAI)</t>
    </r>
    <r>
      <rPr>
        <sz val="11"/>
        <rFont val="WenQuanYi Zen Hei"/>
        <family val="2"/>
      </rPr>
      <t xml:space="preserve">가 직 면한 정치적 리스크를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테크 기사를 읽고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정보 기술과 정치의 결합은 두 기자가 최근 가장 깊이 있게 파고드는 주제 중 하나입니다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사무실에서 두 사람 은 미래의 기술 권력이 정치에 미칠 영향력에 대해 토론합니다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</si>
  <si>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마드리드의 한 사무실에서 스페인 통신 대기업 텔레포니카 </t>
    </r>
    <r>
      <rPr>
        <sz val="11"/>
        <rFont val="Arial"/>
        <family val="0"/>
        <charset val="1"/>
      </rPr>
      <t xml:space="preserve">(Telefónica)</t>
    </r>
    <r>
      <rPr>
        <sz val="11"/>
        <rFont val="WenQuanYi Zen Hei"/>
        <family val="2"/>
      </rPr>
      <t xml:space="preserve">의 독일 자회사 구조조정 뉴스를 접하고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거대 기업의 인력 조정 소식은 기자로서 두 사람에게 노동 시장의 경직성과 기업 전략의 변화라는 무거운 화두를 던져 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</si>
  <si>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대학 시절 친구이자 현재 스페인 국가정보원</t>
    </r>
    <r>
      <rPr>
        <sz val="11"/>
        <rFont val="Arial"/>
        <family val="0"/>
        <charset val="1"/>
      </rPr>
      <t xml:space="preserve">(CNI)</t>
    </r>
    <r>
      <rPr>
        <sz val="11"/>
        <rFont val="WenQuanYi Zen Hei"/>
        <family val="2"/>
      </rPr>
      <t xml:space="preserve">에서 근무하는 카를로스 </t>
    </r>
    <r>
      <rPr>
        <sz val="11"/>
        <rFont val="Arial"/>
        <family val="0"/>
        <charset val="1"/>
      </rPr>
      <t xml:space="preserve">(Carlos)</t>
    </r>
    <r>
      <rPr>
        <sz val="11"/>
        <rFont val="WenQuanYi Zen Hei"/>
        <family val="2"/>
      </rPr>
      <t xml:space="preserve">와 우연히 마주치는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카를로스는 스페인과 콜롬비아를 잇는 불법 무기 밀매 조직에 대한 정보를 얻기 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기자인 알바로에게 위장 잠입 취재를 부탁합니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처음엔 망설이던 알바로는 며칠간의 고민 끝에 결국 이 위험한 제안을 받아들이기로 결심합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</si>
  <si>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준비를 거쳐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디에고 바르가스</t>
    </r>
    <r>
      <rPr>
        <sz val="11"/>
        <rFont val="Arial"/>
        <family val="0"/>
        <charset val="1"/>
      </rPr>
      <t xml:space="preserve">(Diego Vargas)'</t>
    </r>
    <r>
      <rPr>
        <sz val="11"/>
        <rFont val="WenQuanYi Zen Hei"/>
        <family val="2"/>
      </rPr>
      <t xml:space="preserve">가 된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항 구 근처의 허름한 술집에서 조직의 스페인 측 중간책인 마놀로</t>
    </r>
    <r>
      <rPr>
        <sz val="11"/>
        <rFont val="Arial"/>
        <family val="0"/>
        <charset val="1"/>
      </rPr>
      <t xml:space="preserve">(Manolo)</t>
    </r>
    <r>
      <rPr>
        <sz val="11"/>
        <rFont val="WenQuanYi Zen Hei"/>
        <family val="2"/>
      </rPr>
      <t xml:space="preserve">를 처음으로 만나는 상 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물류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수입업 사업가로 자신을 소개한 알바로는 신뢰를 얻기 위해 조심스럽게 대화를 이어가지만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아직 초면인 만큼 마놀로는 구체적인 정보는 내주지 않고 알바로를 시험하려 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</si>
  <si>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마놀로가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조직의 실질적인 책임자인 파비안</t>
    </r>
    <r>
      <rPr>
        <sz val="11"/>
        <rFont val="Arial"/>
        <family val="0"/>
        <charset val="1"/>
      </rPr>
      <t xml:space="preserve">(Fabián)—</t>
    </r>
    <r>
      <rPr>
        <sz val="11"/>
        <rFont val="WenQuanYi Zen Hei"/>
        <family val="2"/>
      </rPr>
      <t xml:space="preserve">콜롬비아 출신으로 스페 인 쪽 사업을 총괄하는 인물—에게 소개하는 자리입니다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카디스 외곽의 한 창고에서 이루어지 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디에고를 한층 더 신중하게 시험하면서도 신뢰를 얻은 대가로 그에게 첫 임무를 맡기며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방식을 조금씩 드러내기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</si>
  <si>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카디스 항구의 한 사무실에서 마놀로와 함께 첫 임무인 통관 서류 작업을 진행하는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서류에 서명하고 도장을 찍는 와중에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조직의 운영 방식 에 대한 단서를 놓치지 않으려 애쓰면서도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자신의 정체가 들통나지 않도록 극도로 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</si>
  <si>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창고로 불러들입니다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 내부에서 그의 신원에 대한 의혹이 제기된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파비안은 예리하고 집요한 질문으로 디에고의 이야기에서 허점 을 찾아내려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침착함을 유지하며 이 위기를 넘기려 안간힘을 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</si>
  <si>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심문이 끝난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저녁 식사를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거절하면 오 히려 의심을 살까 봐 알바로는 이를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카디스의 한 고급 레스토랑에서 파비안과 마주 앉습니다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친목을 다지는 자리처럼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와인 잔을 기울이며 훨씬 더 사적이고 은근한 방식으로 디에고를 계속 시험하고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자신의 과거까지 조금씩 털어놓습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</si>
  <si>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파비안은 알바로의 와인에 미리 손을 써둔 상태였습니다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 이 점점 흐려지던 알바로가 눈을 떴을 때는 이미 낯선 창고 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의자에 묶인 채였습니다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 안과 마놀로가 여러 각도에서 집요하게 파고들며 그의 이야기 속 허점을 찾으려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몽롱한 정신을 붙잡고 끝까지 침착함을 유지하며 이 길고 위험한 시험을 버텨냅니다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</si>
  <si>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오전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안전 가옥 근처 카페에서 카를로스를 만나 전날 밤 있었던 일—파비안 이 와인에 약을 타고 별도의 창고에서 그를 위협적으로 심문했던 일—을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 는 상황의 심각성에 놀라며 작전을 계속할지 여부를 놓고 알바로와 진지하게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</si>
  <si>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월요일 두 번째 작전을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파비안과 마놀로에게 며칠간 마드리드에 다녀 와야 한다고 알립니다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표면적으로는 개인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사업상의 용무 때문이지만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실은 카를로스와 하비에르 를 만나 상황을 공유하려는 목적입니다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최근 심문 이후로 여전히 경계심을 늦추지 않는 파비안 은 이 요청에 신중하게 반응하며 몇 가지 조건을 내겁니다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</si>
  <si>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알바로는 공항에서부터 낯선 남자가 자신을 따라오고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미리 정해둔 안전한 바에서 만난 그는 이 사실을 알리고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감시를 따 돌릴 방법과 다음 작전에서 결정적 증거를 확보할 방법을 짧고 긴박하게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</si>
  <si>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창고에서 두 번째 작전이 한창 진행되는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마놀로가 잠시 자리를 비운 틈 을 타 알바로는 화물 목록이 적힌 서류를 몰래 촬영하고 핵심 수치를 암기합니다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짧지만 결정 적인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</si>
  <si>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안전한 숙소에 도착한 알바로가 카를로스에게 전화를 걸어 서류에서 확인한 화물 목록 과 수량을 상세히 전달합니다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몇 주간의 위험한 잠입 끝에 마침내 손에 넣은 결정적 증거입니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</si>
  <si>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작전이 성공적으로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뜻밖의 제안을 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다음 주 콜롬비아 카르타헤나로 함께 출장을 가자는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조직의 핵심부에 한 걸음 더 다가설 기회이자 동시에 훨씬 더 큰 위험을 의미하는 상황에서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잠시 고민한 끝에 이를 수락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</si>
  <si>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출장을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카를로스를 만나 파비안과 함께 콜롬비아로 떠난다는 소식을 전합니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국경을 벗어나는 만큼 위험이 한층 커진 상황이라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현지에서의 안전 대책 과 비상시 대응 방안을 신중하게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</si>
  <si>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 외곽의 한 대저택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도착한 자리에는 뜻밖의 손님들이 기 다리고 있었습니다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 정보기관 출신의 라몬 이바라</t>
    </r>
    <r>
      <rPr>
        <sz val="11"/>
        <rFont val="Arial"/>
        <family val="0"/>
        <charset val="1"/>
      </rPr>
      <t xml:space="preserve">(Ramón Ibarra)</t>
    </r>
    <r>
      <rPr>
        <sz val="11"/>
        <rFont val="WenQuanYi Zen Hei"/>
        <family val="2"/>
      </rPr>
      <t xml:space="preserve">와 미국 쪽 기관 소속의 도일</t>
    </r>
    <r>
      <rPr>
        <sz val="11"/>
        <rFont val="Arial"/>
        <family val="0"/>
        <charset val="1"/>
      </rPr>
      <t xml:space="preserve">(Doyle)—</t>
    </r>
    <r>
      <rPr>
        <sz val="11"/>
        <rFont val="WenQuanYi Zen Hei"/>
        <family val="2"/>
      </rPr>
      <t xml:space="preserve">둘 다 조직으로부터 은밀히 돈을 받고 수사망을 피하도록 도와주는 부패한 인물들 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충격적인 사실 앞에서 침착함을 유지하며 최대한 많은 정보를 머릿속에 담 아두려 애씁니다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</si>
  <si>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따로 불러 이번 화물의 세부 사항을 공개합니다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정확한 경 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목적지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이 무기들이 실제로 누구에게 어떤 목적으로 팔리는지까지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파비 안은 알바로에게 충성을 맹세하도록 요구하고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마지막으로 서류에 서명하게 합니다—그 서명이 실제로 어떤 의미를 갖는지도 함께 알려줍니다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</si>
  <si>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자리에 파비안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라몬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콜롬비아 쪽 인맥인 윌슨까지 모 두 모입니다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윌슨이 우연히 하비에르라는 스페인 기자의 이름을 꺼내면서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 게는 청천벽력 같은 대화가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도일이 자신의 구체적인 역할을 설명하고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라몬은 파비안에게 조직 내 잠입 시도에 대한 소문을 전하며 경고합니다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</si>
  <si>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커피와 함께 한층 여유로워진 분위기 속에서 알바로는 자리에 있는 사람들과 가 벼운 일상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그저 친목을 다지는 대화처럼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그는 각자 의 고향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생활 습관 같은 사소한 정보들을 하나하나 머릿속에 새겨두며 나중에 카를 로스에게 전달할 프로필을 만들고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</si>
  <si>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라몬과 도일이라는 이름이 가명일 가능성이 크다고 판단합니다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실명은 알아 낼 수 없었지만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신원을 특정할 수 있도록 최대한 상세한 인상착의와 특징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스몰토크 중에 얻은 개인 정보를 기억해내 전화로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</si>
  <si>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카르타헤나에서의 일정이 거의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베네수엘라로 함께 가자고 제안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계획에 없던 급작스러운 이동이라 카를로스에게 알릴 시간조차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순 간적으로 결정을 내려야 하는 상황에 놓입니다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</si>
  <si>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 도착한 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구매 조직 측 기사 페드로</t>
    </r>
    <r>
      <rPr>
        <sz val="11"/>
        <rFont val="Arial"/>
        <family val="0"/>
        <charset val="1"/>
      </rPr>
      <t xml:space="preserve">(Pedro)</t>
    </r>
    <r>
      <rPr>
        <sz val="11"/>
        <rFont val="WenQuanYi Zen Hei"/>
        <family val="2"/>
      </rPr>
      <t xml:space="preserve">가 마중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차로 이동해 외곽의 거처에 도착한 두 사람은 구매 조직의 수장인 코만단테 루에다 </t>
    </r>
    <r>
      <rPr>
        <sz val="11"/>
        <rFont val="Arial"/>
        <family val="0"/>
        <charset val="1"/>
      </rPr>
      <t xml:space="preserve">(Comandante Rueda)</t>
    </r>
    <r>
      <rPr>
        <sz val="11"/>
        <rFont val="WenQuanYi Zen Hei"/>
        <family val="2"/>
      </rPr>
      <t xml:space="preserve">와 인사를 나누고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근처 식당으로 자리를 옮겨 식사를 하며 다음 거래 의 품목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납기에 대해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</si>
  <si>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코만단테 루에다의 거처로 돌아온 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잠시 혼자가 된 틈을 타 알바로는 마침내 카를로스 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통보 없이 베네수엘라까지 오게 된 경위와 새 거래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다음번 엔 직접 인수 현장까지 와야 한다는 위험한 요구까지 모두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</si>
  <si>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카르타헤나를 거쳐 스페인으로 돌아온 알바로는 마드리드에서 카를로스를 직접 만나 베네수엘 라에서 얻은 모든 정보를 바탕으로 대규모 급습 작전을 계획합니다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그러나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하비에르 제거 계획을 실행에 옮기려 한다는 사실을 알게 된 알바로는 이를 막으려 급하게 움 직이고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결국 파비안이 알바로의 진짜 정체를 눈치채고 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</si>
  <si>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정체가 발각된 알바로가 파비안과 대치하는 긴박한 순간입니다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몸에 지니고 있던 비 상 위치추적기를 몰래 작동시키며 시간을 벌려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그사이 마놀로까지 상황을 알게 되면서 사 무실 안의 긴장은 최고조에 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</si>
  <si>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작전이 성공적으로 마무리된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신문사로 돌아와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국장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신문 사 법무 자문 마르타</t>
    </r>
    <r>
      <rPr>
        <sz val="11"/>
        <rFont val="Arial"/>
        <family val="0"/>
        <charset val="1"/>
      </rPr>
      <t xml:space="preserve">(Marta)</t>
    </r>
    <r>
      <rPr>
        <sz val="11"/>
        <rFont val="WenQuanYi Zen Hei"/>
        <family val="2"/>
      </rPr>
      <t xml:space="preserve">와 함께 그동안의 잠입 취재 전모를 공유하고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어떻게 기사화 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</si>
  <si>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몇 주가 지난 주말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테라스 식당에서 만 나 점심을 먹으며 그동안의 사건이 최종적으로 어떻게 마무리됐는지 차분히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</si>
  <si>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무기 밀매 사건 보도 이후 몇 달이 지난 어느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새로운 임무를 제안합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마드리드의 한 고급 경매장을 거점으로 페루산 콜럼버스 이전 시대 유물을 밀반출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세탁하는 조직에 위장 잠입하는 작전입니다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오디오 제작 편의를 위해 전원 남성으 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</si>
  <si>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이제부터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가 카를로스가 소개한 미술사 전문가 이그나시오</t>
    </r>
    <r>
      <rPr>
        <sz val="11"/>
        <rFont val="Arial"/>
        <family val="0"/>
        <charset val="1"/>
      </rPr>
      <t xml:space="preserve">(Ignacio)</t>
    </r>
    <r>
      <rPr>
        <sz val="11"/>
        <rFont val="WenQuanYi Zen Hei"/>
        <family val="2"/>
      </rPr>
      <t xml:space="preserve">에게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주간 속성 교육을 받는 장면입니다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페루 콜럼버스 이전 문화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진위 감정법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용어까지 위장 신분 에 필요한 지식을 압축적으로 학습합니다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</si>
  <si>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이그나시오와의 속성 교육을 마친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 경매장을 찾아가 감정사 파블로와 첫 만남을 갖습니다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배운 지식을 활용해 자연스럽게 신뢰를 쌓으려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</si>
  <si>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파블로의 소개로 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 대표 세르히오 오르티스를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사무실 에서 이루어지는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세르히오는 예술계 특유의 세련된 화법으로 다니엘을 시험합니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</si>
  <si>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경매장이 주최한 리셉션에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칵테일 파티 분위기 속 에서 세르히오가 여러 수집가들을 소개하고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거액을 배팅하는 핵심 인물 돈 에두아르도와 처음으로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</si>
  <si>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카를로스를 만나 지금까지의 진행 상황을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돈 에두아르도에 대한 정보와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핵심 물증이 될 치무 황금 칼에 대한 단서를 공 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페루 현지 브로커 라파엘 몬토야의 존재도 처음 언급됩니다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</si>
  <si>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이후 몇 주가 지나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세르히오가 다니엘을 다시 초대해 좀 더 깊은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신 뢰가 쌓이면서 세르히오가 치무 칼의 실물을 처음으로 보여주고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방식에 대해 조금 씩 더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</si>
  <si>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카를로스에게 넘긴 정보를 바탕으로 경찰이 은밀히 대기하는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치무 황금 칼 경매가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낙찰이 임박한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개시되고 알바로의 정체와 작전 전모 가 모두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</si>
  <si>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경매장 사건이 마무리된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식당에서 뒤풀이 식사를 하며 이번 작전을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</si>
  <si>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치무 황금 칼 반환이 성공적으로 마무리된 것을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스페인과 페루 양국이 도굴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불법 반출 유물 전반에 대한 포괄적 반환 협상 첫 회의를 마드리드에서 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오스카 레스카 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가명으로 스페인 측 자문 자격으로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</si>
  <si>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합동 실무위원회 회의가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명단에 오른 구체적 유물 사례들을 하나씩 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훨씬 날카로운 반박과 재반박이 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</si>
  <si>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키푸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매듭문자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건을 다루기 위해 지역 박물관장 호아킨</t>
    </r>
    <r>
      <rPr>
        <sz val="11"/>
        <rFont val="Arial"/>
        <family val="0"/>
        <charset val="1"/>
      </rPr>
      <t xml:space="preserve">(Joaquín)</t>
    </r>
    <r>
      <rPr>
        <sz val="11"/>
        <rFont val="WenQuanYi Zen Hei"/>
        <family val="2"/>
      </rPr>
      <t xml:space="preserve">이 새로 참석하면서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협상은 예 상치 못한 강경 반발에 부딪힙니다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대화는 점점 날카로워지고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결국 명백한 교착 상태에 이릅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</si>
  <si>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문화부 장관이 잠시 참석해 협상에 대한 정부의 강력한 지지 의사를 표명합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이후 오스카가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소유권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물리적 보관 장소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분리하는 창의적인 절충안을 제시하면서 교착 상태가 풀리기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</si>
  <si>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세부 조율을 거쳐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마드리드에서 최종 합의 서명식이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스페인과 페루 양국 대표가 공식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</si>
  <si>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대마초 합법화 법안을 강하게 추진하는 국회의원 에르네스토 발보아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인물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뒤에 있는 대마 관련 투자펀드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베르데갈 캐피털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단체</t>
    </r>
    <r>
      <rPr>
        <sz val="11"/>
        <rFont val="Arial"/>
        <family val="0"/>
        <charset val="1"/>
      </rPr>
      <t xml:space="preserve">)' </t>
    </r>
    <r>
      <rPr>
        <sz val="11"/>
        <rFont val="WenQuanYi Zen Hei"/>
        <family val="2"/>
      </rPr>
      <t xml:space="preserve">사이의 미공개 금전적 연결고리를 취재합니다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대마초 합법화 정책 자체의 옳고 그름이 아니라 로비 자금의 투명성 문제를 다루는 저널리즘 소재입니다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</si>
  <si>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베르데갈 캐피털의 자금 출처를 더 깊이 파고들다가 충격적인 사실을 발견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펀드가 사실 예전 무기밀매 조직의 잔존 자금을 세탁하는 위장 기구였다는 것입니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개입하면서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다시 위장 잠입에 나서야 하는 상황이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</si>
  <si>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촉박한 만큼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신속하게 새 위장 신분을 준비시킵니다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대 마초 산업에 관심 있는 개인 투자자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마르코 아길라르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베르데갈 캐피털이 주최하는 투자 설명회에 잠입할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</si>
  <si>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호텔에서 열린 베르데갈 캐피털 투자 설명회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참석해 루벤 카스타뇨와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행사가 끝날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뜻밖의 인물이 그에게 접근하며 새로운 위험 요소가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</si>
  <si>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 엘리살데라는 인물에 대해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그가 진짜 기자인지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혹은 카스타뇨 측이 심어놓은 미끼인지 확인하기 위해 신원을 조사합니다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</si>
  <si>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마테오 엘리살데를 조용한 카페에서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서로 조심스럽게 상대 를 떠보는 대화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진짜 아군이라는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</si>
  <si>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마테오를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사람이 안전 가옥에서 만나 앞으로의 협력 방향을 정하고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팀을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</si>
  <si>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 세 사람이 마테오가 확보한 자료를 함께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주 카스타뇨 와의 개인 면담에서 어떤 정보를 캐낼지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</si>
  <si>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루벤 카스타뇨의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미리 세운 전략에 따라 조심스럽게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</si>
  <si>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면담을 마친 알바로가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마테오와 다시 만나 녹음 내용을 분석하고 다음 단계를 논의합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</si>
  <si>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카스타뇨의 사무실에 다시 방문해 투자 서류에 서명합니다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카스 타뇨가 무심코 이름 하나를 흘리고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홀로 남은 알바로는 하비에르에게 전화를 걸어 이 모 든 상황이 주는 심리적 무게를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</si>
  <si>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마테오가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아리사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이름을 추적한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</si>
  <si>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제네바 쪽 접촉을 시도하다가 누군가 자신을 미행하고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카를로스에게 다급히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</si>
  <si>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마테오 사건 이후 며칠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카스타뇨가 알바로에게 전화해 뜻밖의 제안을 합니다 — 다음 주 열 리는 비공개 모임에 초대하겠다는 것으로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어쩌면 조직의 실제 배후를 만날 기회가 될 수도 있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</si>
  <si>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비공개 모임 장소에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곤살로 아리사와 대면하게 되는데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훨씬 날카롭고 위협적인 인물임이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</si>
  <si>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알바로를 개인적으로 저녁 식사에 초대합니다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 자리처럼 보이 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훨씬 정교하고 집요한 심문이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</si>
  <si>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같던 분위기가 잠시 누그러지고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아리사와 알바로가 메뉴와 좋아하는 음식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각자의 고향 음식 얘기를 나누며 한층 편안한 대화로 이어갑니다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</si>
  <si>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화기애애하던 분위기도 잠시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다시 날카로운 질문들로 알바로를 몰아붙입니다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재정 지식과 논리적 일관성을 집중적으로 시험합니다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</si>
  <si>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아리사와 함께 실제 자금 이체가 이뤄지는 현장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대마초 재배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물류 시설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자연스러운 대화 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합법화 로비의 진짜 목적이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</si>
  <si>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아리사가 뜻밖의 요청을 합니다 — 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자택을 방문하고 싶다는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 스와 다급히 위장 거처를 준비한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아리사의 방문을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</si>
  <si>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알바로에게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데스크가 발보아 의원 관련 기사를 곧 발행하고 싶어 한다는 소식으로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 사이에 새로운 긴장이 생깁니다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</si>
  <si>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상의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시간을 벌기 위해 조직 내부에 의심의 씨앗을 심기로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사이의 신뢰를 흔드는 전략을 조심스럽게 실행에 옮깁니다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</si>
  <si>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촉박해진 알바로가 조직 내부에 균열을 만들기 위해 은밀히 움직입니다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카스타뇨에게는 아리사가 지나치게 자신을 못 미더워한다는 인상을 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아리사에게는 카스타뇨의 부주의함을 넌지시 알려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 사이에 의심의 씨앗을 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</si>
  <si>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심어놓은 의심의 씨앗이 효과를 발휘하기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 이에 알바로가 지켜보는 앞에서 긴장된 언쟁이 벌어지고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예상치 못한 정보가 흘러 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</si>
  <si>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권한이 축소된 카스타뇨가 초조해하며 알바로에게 따로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아리사에 대한 불만을 토로 하는 과정에서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</si>
  <si>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데이터베이스 대조 결과를 가지고 알바로에게 연락합니다</t>
    </r>
    <r>
      <rPr>
        <sz val="11"/>
        <rFont val="Arial"/>
        <family val="0"/>
        <charset val="1"/>
      </rPr>
      <t xml:space="preserve">. 'V.R.'</t>
    </r>
    <r>
      <rPr>
        <sz val="11"/>
        <rFont val="WenQuanYi Zen Hei"/>
        <family val="2"/>
      </rPr>
      <t xml:space="preserve">이라는 이 니셜이 뜻밖의 인물과 일치하며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개의 사건이 하나로 연결됩니다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</si>
  <si>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예정된 대규모 송금일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현장에 참관하며 결정적 증거를 확보하려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</si>
  <si>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확보된 증거를 바탕으로 대대적인 작전을 개시합니다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송금이 완료되는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 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</si>
  <si>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마테오 네 사람이 함께 저녁을 먹으며 그 동안의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</si>
  <si>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라몬의 재판 준비 과정에서 새로운 자금 흐름이 포착됩니다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이 단서를 추 적하기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총 </t>
    </r>
    <r>
      <rPr>
        <sz val="11"/>
        <rFont val="Arial"/>
        <family val="0"/>
        <charset val="1"/>
      </rPr>
      <t xml:space="preserve">600</t>
    </r>
    <r>
      <rPr>
        <sz val="11"/>
        <rFont val="WenQuanYi Zen Hei"/>
        <family val="2"/>
      </rPr>
      <t xml:space="preserve">문장 분량으로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정치자금 세탁부터 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법정 공방까지 다룰 예정입니다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</si>
  <si>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검사 마리나 소텔로를 비공식적으로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그녀는 신중하게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그러나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</si>
  <si>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공공사업 발주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롤단의 회사가 수주한 계약들에서 구체적 인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</si>
  <si>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롤단 측에서 마침내 답변이 옵니다 — 직접 해명이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변호사를 통한 경고성 서한입니다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</si>
  <si>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신문사 법무 자문 마르타를 만나 롤단 측 경고 서한에 대응할 전 략을 논의하고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건설사 내부 취재원을 찾아보기로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</si>
  <si>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대학 동창을 통해 건설사 내부 인물 프란 이바녜스와의 접선이 성사됩니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익명을 조건으로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그가 계약 체결 과정에 대해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</si>
  <si>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확보한 증거가 충분하다고 판단한 데스크가 보도를 승인합니다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기사가 나가자마자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의회에서 마누엘 수아소를 소환하는 청문회가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</si>
  <si>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야당 의원 소니아 비달이 정당 회계 담당자 마누엘 수아소를 상대로 날카로운 질 의를 이어갑니다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하비에르는 방청석에서 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</si>
  <si>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청문회와 보도의 파장으로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판사가 롤단의 회사와 정당 사무실에 대한 압수수색을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</si>
  <si>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압수수색 현장 근처에서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</si>
  <si>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자료에서 결정적인 증거가 발견됩니다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마리나가 알바로와 하비에르에게 이를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</si>
  <si>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방청석에서 취재하는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검찰과 변호인단의 공방이 펼쳐집니다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</si>
  <si>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수아소가 증언하기로 한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충격적인 소식이 전해집니다 — 그가 자택에서 숨진 채 발견 됐다는 것입니다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</si>
  <si>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부검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단순한 자연사가 아니었습니다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</si>
  <si>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연락해 수아소 사건을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이 사건이 루에다의 조직 과 연결됐을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</si>
  <si>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미행당하고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</si>
  <si>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조사 결과를 가지고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수아소 살해와 루에다 조직 사 이의 결정적 연결고리가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</si>
  <si>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</si>
  <si>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마리나가 함께 저녁을 먹으며 이번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</si>
  <si>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테이블 근처에서 갑작스러운 폭발이 일어납니다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정신을 차린 알바로는 하 비에르가 크게 다친 것을 발견하고 필사적으로 구급차를 부릅니다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</si>
  <si>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사건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톰포드 슈트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향수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선글라스와 스페인 명품 의류를 위조해 유통하는 대 규모 조직에 대한 정보를 갖고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200~250</t>
    </r>
    <r>
      <rPr>
        <sz val="11"/>
        <rFont val="WenQuanYi Zen Hei"/>
        <family val="2"/>
      </rPr>
      <t xml:space="preserve">문장 분량으로 계획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</si>
  <si>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브루노 살라스의 명품 중고매장을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까다로운 고객을 위한 구매 대행이라는 명분으로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</si>
  <si>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알바로에게 매장 뒤편에 숨겨둔 위조품 재고를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</si>
  <si>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시험 주문을 통해 생산 라인을 추적할 계획을 세 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</si>
  <si>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알바로를 톨레도 근처의 생산 작업장으로 직접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</si>
  <si>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카를로스에게 위치를 전달한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경찰이 작업장과 매장을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</si>
  <si>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병원에서 회복 중인 하비에르를 찾아가 함께 이번 사건 소식을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</si>
  <si>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가짜 백신과 미허가 시술을 판매하는 의료관 광 클리닉 네트워크에 대한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250~300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</si>
  <si>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의사 엘레나 페라스 박사가 알바로에게 증상 묘사와 의료 용어를 속성 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</si>
  <si>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클리니카 아우로라를 방문해 환자로 위장 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</si>
  <si>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클리닉 방문 결과를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</si>
  <si>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번째로 클리닉을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초기 치료를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예상대로 백신 접종까지 권유받습니다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</si>
  <si>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클리닉의 실소유주를 확인했다는 소식을 갖고 알바로를 찾아옵니다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</si>
  <si>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예상보다 훨씬 심각했고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곧바로 급습이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</si>
  <si>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병원에서 회복 중인 하비에르를 찾아가 사건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</si>
  <si>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이번 사건을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</si>
  <si>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위기 대응 긴급자금 횡령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알토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데스크가 알바로에게 위기 대응 긴급자금 관련 제보를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지명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자치도시를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</si>
  <si>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발주 서류를 검토하며 이상 정황을 발견합니다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회복 중인 상태로 원격으 로 조언을 보탭니다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</si>
  <si>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위장한 시설을 직접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</si>
  <si>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카를로스의 도움으로 소피아 엘로르사의 배후를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</si>
  <si>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법무 자문 마르타와 함께 보도 전 법적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</si>
  <si>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데스크와 함께 반응을 정리하며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</si>
  <si>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검사 마리나가 정식 수사에 착수했다는 소식을 전하며 아크가 완결됩니다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</si>
  <si>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북극 신항로發 이중용도 기술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제재 회피 밀수 — 카를로스가 알바로에게 새로운 위장 작전을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북극 신항로 물류에 투자한다고 홍보하 는 가상의 스페인 해운기업이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이중용도 기술 밀수 통로로 의심됩니다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</si>
  <si>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이케르 사발라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노르티아 로히스티카를 방문해 이바르구엔과 첫 만남을 갖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</si>
  <si>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회의에서 이바르구엔이 좀 더 은밀한 화물 취급을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</si>
  <si>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</si>
  <si>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회의에서 이바르구엔이 실제 화물 명세서를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</si>
  <si>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결정적 증거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화물 명세서 사진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확보하고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</si>
  <si>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화물이 출항하는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경찰과 세관이 노르티아 로히스티카를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</si>
  <si>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</si>
  <si>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AI </t>
    </r>
    <r>
      <rPr>
        <sz val="11"/>
        <rFont val="WenQuanYi Zen Hei"/>
        <family val="2"/>
      </rPr>
      <t xml:space="preserve">컴패니언 앱을 이용한 정서적 포섭 사기 — 알바로가 개인적인 계기로 이 사건을 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고령의 이모가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지나치게 의존하 고 있다는 걸 알게 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기업명은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앱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콤파녜로 </t>
    </r>
    <r>
      <rPr>
        <sz val="11"/>
        <rFont val="Arial"/>
        <family val="0"/>
        <charset val="1"/>
      </rPr>
      <t xml:space="preserve">(Compañero)'</t>
    </r>
    <r>
      <rPr>
        <sz val="11"/>
        <rFont val="WenQuanYi Zen Hei"/>
        <family val="2"/>
      </rPr>
      <t xml:space="preserve">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</si>
  <si>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 하비에르에게 이 상황을 공유하며 취재를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</si>
  <si>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앱을 직접 사용해보며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알고리즘이 의도적으로 아첨하고 정서적 의존을 유도하도록 설 계됐다는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</si>
  <si>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의 실소유주를 알아내고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투자자로 위장해 직접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</si>
  <si>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멜렌데스가 도덕적 경계 없이 알고리즘의 조작 방식을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</si>
  <si>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자료를 근거로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당국에도 제보합니다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</si>
  <si>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에 대한 조사에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</si>
  <si>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재난 은폐 검증 저널리즘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반티아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가상의 권위주의 국가 반티아에서 대규모 빙하 붕괴 재해가 발생하고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정부가 피해 규모를 축소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은폐한다는 의혹이 제기됩니다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국가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정부는 등장하지 않습니다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 성사진과 오픈소스 정보를 활용해 검증에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</si>
  <si>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텐진 노를하와 화상으로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</si>
  <si>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오픈소스 분석가 라켈과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</si>
  <si>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반티아 정부 대변인의 공식 성명을 검토하며 모순점을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</si>
  <si>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데스크와 법무 자문 마르타가 보도 전 최종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</si>
  <si>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국제사회의 반응이 이어지며 아크가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</si>
  <si>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재건 붐을 노린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기존 루에다 세계관 확장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야마이라 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정권 교체 이후 대규모 외국 자본이 유입되는 가상국 야마이라의 혼란한 전환기를 배경으로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 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인프라 계약에 리베이트를 요구하는 부패한 현지 중개인들과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자금세탁 통로로 쓰는 루 에다의 잔존 네트워크를 알바로가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</si>
  <si>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야마이라에 도착해 에스테반 로카와 첫 접선을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</si>
  <si>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첫 계약이 확정되고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리베이트를 지불할 중개 회사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</si>
  <si>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송금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 추적으로 루에다와의 직접적 연결이 재확인됩니다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</si>
  <si>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야마이라 검찰과의 공조 작전이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</si>
  <si>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마드리드로 돌아와 카를로스와 저녁을 함께하며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</si>
  <si>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어업 쿼터 재협상 — 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재개를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아이슬란드 측 사이에 어획 쿼 터 재분배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협상을 취재하는 기자로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 치인은 등장하지 않습니다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</si>
  <si>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협상이 구체적인 수치를 놓고 팽팽하게 진행됩니다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</si>
  <si>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협상 세션에서 절충안이 도출됩니다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</si>
  <si>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가짜 자선단체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기부금 횡령 — 알바로가 어린이 의료지원을 명목으로 내세운 자선단체의 모금 캠페인에서 이상 정황을 포착합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감정 호소 화법과 설득 화법을 다루는 아크입니다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</si>
  <si>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후원자로 위장해 재단 담당자와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</si>
  <si>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재단의 실제 재정 기록을 확인하며 유용 정황을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</si>
  <si>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확인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마르코스라는 아이는 존재하지 않는다는 것이 드러나며 보도가 나갑니다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</si>
  <si>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이주 위기 대응 명목으로 편성된 긴급자금이 수상한 방식으로 집행되고 있다는 제보를 하비에르가 입수합니다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</si>
  <si>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확보한 계약 서류를 함께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</si>
  <si>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물류 공급업체 대표로 위장해 테오도로 니에바에게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</si>
  <si>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니에바 소유 법인들의 자금 흐름을 추적한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</si>
  <si>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</si>
  <si>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준비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니에바가 알바로에게 뜻밖의 제안을 하며 결정적 증거를 스스로 제공하게 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</si>
  <si>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체포와 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뒤풀이 식사를 하며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</si>
  <si>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북극 신항로 개발에 투자한다고 홍보하는 가상의 스페인 해운기업을 조사해달라고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</si>
  <si>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라파엘 오르티스가 알바로에게 북극 항로와 이중용도 수출통제 관련 지식을 속 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</si>
  <si>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투자자 신분으로 노르티아 나비에라 본사를 방문해 대표 클라라 몬테로를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</si>
  <si>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노르티아의 운영이사 막시모 </t>
    </r>
    <r>
      <rPr>
        <sz val="11"/>
        <rFont val="Arial"/>
        <family val="0"/>
        <charset val="1"/>
      </rPr>
      <t xml:space="preserve">aria...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운영이사 페드로 아리아스를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</si>
  <si>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재수출 경로에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</si>
  <si>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페드로에게 다음 선적을 직접 참관하고 싶다고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</si>
  <si>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지켜보는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세관 검사가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</si>
  <si>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압류를 계기로 정식 수사가 개시되고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며칠 후 노르티아 본사가 급습당합니다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</si>
  <si>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</si>
  <si>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알바로의 이모 로사가 </t>
    </r>
    <r>
      <rPr>
        <sz val="11"/>
        <rFont val="Arial"/>
        <family val="0"/>
        <charset val="1"/>
      </rPr>
      <t xml:space="preserve">'Compañero'</t>
    </r>
    <r>
      <rPr>
        <sz val="11"/>
        <rFont val="WenQuanYi Zen Hei"/>
        <family val="2"/>
      </rPr>
      <t xml:space="preserve">라는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거액을 송금했다는 사실 을 가족이 알게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</si>
  <si>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이모 로사를 방문해 조심스럽게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</si>
  <si>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 문제를 상의하며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이것이 단순한 사례가 아닐 수 있다는 걸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</si>
  <si>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가짜 프로필을 만들어 앱의 작동 방식을 직접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</si>
  <si>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Vínculo Digital</t>
    </r>
    <r>
      <rPr>
        <sz val="11"/>
        <rFont val="WenQuanYi Zen Hei"/>
        <family val="2"/>
      </rPr>
      <t xml:space="preserve">의 창업자 세르히오 파스와의 인터뷰를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</si>
  <si>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개입하고 알바로의 이모도 도움을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</si>
  <si>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일요일 점심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이모 로사가 가족 식사에 처음으로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</si>
  <si>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산악국가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몬타냐 델 노르테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대규모 산사태 재해가 발생했는데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 가 피해 규모를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은폐하고 있다는 영상이 해외로 유출됩니다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위성사 진과 오픈소스 정보로 이를 검증하는 국제 저널리즘 취재에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</si>
  <si>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검증 전문가 이네스 마르티와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</si>
  <si>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몬타냐 델 노르테 출신의 망명 언론인 다리오 셀먼과 화상으로 인터뷰합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</si>
  <si>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이네스와 함께 모든 자료를 종합해 팩트체크 기준에 맞춰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</si>
  <si>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몬타냐 델 노르테 대사관에 공식 입장을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</si>
  <si>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국제적인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</si>
  <si>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국제기구의 접근이 허용되었다는 소식이 전해지며 취재가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</si>
  <si>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단서를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정권 교체 이후 대규모 외국 자본이 유입되 는 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카바나스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재건 사업에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잔당의 돈이 흘러들어가고 있다는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</si>
  <si>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컨설턴트로서 라몬 오초아를 만나 브리핑을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</si>
  <si>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오비디오 살세도를 만나 재건 계약 수주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</si>
  <si>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그루포 알바 컨설토레스에 대한 조사를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</si>
  <si>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살세도에게 첫 번째 커미션을 지급하며 자금 추적을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</si>
  <si>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표시된 자금의 이동 경로를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</si>
  <si>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커미션 지급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살세도로부터 더 구체적인 언급을 이끌어냅니다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</si>
  <si>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카바나스 현지 반부패팀과 협력해 검거를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</si>
  <si>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카바나스 반부패팀의 개입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</si>
  <si>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 가능성이 커지면서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 드 측 사이에 어획 쿼터 재분배를 둘러싼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협상 자문으로 참 여해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</si>
  <si>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라우라 </t>
    </r>
    <r>
      <rPr>
        <sz val="11"/>
        <rFont val="Arial"/>
        <family val="0"/>
        <charset val="1"/>
      </rPr>
      <t xml:space="preserve">domenech</t>
    </r>
    <r>
      <rPr>
        <sz val="11"/>
        <rFont val="WenQuanYi Zen Hei"/>
        <family val="2"/>
      </rPr>
      <t xml:space="preserve">이 알바로에게 어업 쿼터 관련 배경지식을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</si>
  <si>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비고에서 열린 첫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어업조합 대표 마르코스와 아이슬란드 측 대표 크리스틴이 대립합니다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</si>
  <si>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메를루사 쿼터 수치를 두고 이견이 좁혀지지 않다가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절충안이 제시됩니다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</si>
  <si>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과학적 근거를 바탕으로 넙치 쿼터에 대한 최종 합의가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</si>
  <si>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양측이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</si>
  <si>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협상을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비고의 한 식당에서 저녁을 먹으며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</si>
  <si>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국제 원조를 표방하는 가상의 자선단체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에스페란사 글로 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기부금 대부분을 횡령하고 있다는 의혹을 갖고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</si>
  <si>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자선 갈라 행사에서 알바로가 에스페란사 글로벌의 대표 클라우디아 벨트란을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</si>
  <si>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클라우디아가 보낸 재무 보고서를 알바로와 카를로스가 함께 검토합니다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</si>
  <si>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클라우디아와 함께 원조 대상지로 알려진 학교 건설 현장을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</si>
  <si>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현장 방문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</si>
  <si>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요청한 상세 지출 내역에서 결정적 증거가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</si>
  <si>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법원 명령이 집행되는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클라우디아와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</si>
  <si>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가장 무거운 국가안보급 사건을 제안합니다 — 가상의 원 자력 발전소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안전 시스템 설계도가 외부로 유출될 조짐이 포착됐습니다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</si>
  <si>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인헤니에라 소니아 프라도가 알바로에게 원자력 발전소 보안 시스템과 관련 용 어를 속성으로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</si>
  <si>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 로메로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재사용 위장 신분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페냐 알타 발전소에 처음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보안 책임자 마우리시오 델가도가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</si>
  <si>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지난 몇 주간의 출입 기록을 살펴보며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의심스러운 패턴을 발견하기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</si>
  <si>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엘레나 페레르를 보안 감사 명목으로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</si>
  <si>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엘레나에 대한 의심을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</si>
  <si>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지시로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은밀히 엘레나를 감시하기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</si>
  <si>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있다가 엘레나의 또 다른 야간 접근을 목격합니다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</si>
  <si>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책임자 마우리시오가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</si>
  <si>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정체가 의심받을 뻔한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</si>
  <si>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엘레나의 다음 접선이 임박했다는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</si>
  <si>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안전거리에서 지켜보는 가운데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접선 현장을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</si>
  <si>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접선자의 신원과 배후 조직에 대한 정보를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</si>
  <si>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마우리시오와 마지막으로 만나 감사장 사업 마무리를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</si>
  <si>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보도가 불가능한 국가안보 사안 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</si>
  <si>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소니아 프라도와 함께 저녁을 먹으며 사건을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</si>
  <si>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라 리오하의 한 가상 와이너리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보데가스 몬테알토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저가 포도주를 고급 리오하 원산지 인증</t>
    </r>
    <r>
      <rPr>
        <sz val="11"/>
        <rFont val="Arial"/>
        <family val="0"/>
        <charset val="1"/>
      </rPr>
      <t xml:space="preserve">(D.O.)</t>
    </r>
    <r>
      <rPr>
        <sz val="11"/>
        <rFont val="WenQuanYi Zen Hei"/>
        <family val="2"/>
      </rPr>
      <t xml:space="preserve">으로 속여 판매하고 있다는 제보가 들어옵니다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</si>
  <si>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소믈리에 카르멘 이글레시아스와 함께 두 와인을 비교 시음합니다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</si>
  <si>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원산지 인증 규제위원회 기록을 조사한 결과를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</si>
  <si>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몬테알토 와이너리를 방문해 대표 페르난도 로요와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</si>
  <si>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규제위원회가 조사에 착수하고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</si>
  <si>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카르멘이 로그로뇨의 한 술집에서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엔 사건 얘기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</si>
  <si>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역외 페이퍼컴퍼니를 이용한 대규모 탈세 네트워크를 조사 해달라고 요청합니다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</si>
  <si>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로드리고 </t>
    </r>
    <r>
      <rPr>
        <sz val="11"/>
        <rFont val="Arial"/>
        <family val="0"/>
        <charset val="1"/>
      </rPr>
      <t xml:space="preserve">casal</t>
    </r>
    <r>
      <rPr>
        <sz val="11"/>
        <rFont val="WenQuanYi Zen Hei"/>
        <family val="2"/>
      </rPr>
      <t xml:space="preserve">이 알바로에게 역외 금융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조세 구조 관련 지식을 속성으로 가르칩니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</si>
  <si>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위장 신분으로 페란 이 아소시아도스 사무실을 방문해 대표 쿠스토 디오 페란을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</si>
  <si>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첫 접선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</si>
  <si>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만남에서 페란이 구체적인 역외 구조를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</si>
  <si>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제시받은 구조의 세부사항을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</si>
  <si>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만남에서 페란이 무심코 다른 유명 고객을 언급합니다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</si>
  <si>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제네바 은행에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</si>
  <si>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네 번째 만남에서 알바로가 서명 직전 결정적 문서를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</si>
  <si>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서류를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</si>
  <si>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페란 이 아소시아도스 사무실에 대한 압수수색이 집행됩니다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</si>
  <si>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언제 보도가 가능할지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</si>
  <si>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카를로스와의 마지막 대화에서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</si>
  <si>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사법 비밀이 해제되며 사건이 최종적으로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</si>
  <si>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페란 사건 특종이 보도된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압박이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정치권 고객 중 한 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전직 장 관 알베르토 이바라의 이름이 확인되면서 사건이 새로운 국면으로 접어듭니다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</si>
  <si>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카를로스에게 협박 전화에 대해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</si>
  <si>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이바라 전 장관에게 공식 답변을 요청하며 직접 접촉을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</si>
  <si>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이바라 명의의 역외 구조에 대한 세부 정보를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</si>
  <si>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이틀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이바라 측에서 서면 답변이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회피성입니다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</si>
  <si>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위협의 수위가 높아집니다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</si>
  <si>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리히텐슈타인 신탁회사에 대한 국제 공조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</si>
  <si>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문서에서 잠재적 협력 가능 인물을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</si>
  <si>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공통 지인을 통해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펠리시아노 루스와 조심스럽게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</si>
  <si>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펠리시아노가 결정적 실마리를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</si>
  <si>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기술 전문가가 확보한 이메일의 발신 경로를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</si>
  <si>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또 다른 형태의 협박을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</si>
  <si>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런던 로펌의 실제 의뢰인을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</si>
  <si>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직접적인 협박 메시지를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</si>
  <si>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협박 메시지를 보낸 발신자를 역추적한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</si>
  <si>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지금까지의 패턴을 되짚어보며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예전 루에다 조직과의 연결 가능성을 카를로스에게 제 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</si>
  <si>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 대조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</si>
  <si>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뜻밖에도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익명의 인물로부터 직접 연락을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</si>
  <si>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직접 받은 전화를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통화를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</si>
  <si>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위협에도 불구하고 계속 나아갈지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</si>
  <si>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공조 수사가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</si>
  <si>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</si>
  <si>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압수 자료를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이바라 전 장관에 대한 정식 수사를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</si>
  <si>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</si>
  <si>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</si>
  <si>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카를로스가 함께 저녁을 먹으며 이 긴 여정을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</si>
  <si>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가짜 주권 클라우드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공공기관 데이터를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역내에만 저장한다고 광고해온 기업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누베 이베리카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데이터를 역외로 우회시키고 있다는 의혹입니다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</si>
  <si>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기술 전문가 마르코스 </t>
    </r>
    <r>
      <rPr>
        <sz val="11"/>
        <rFont val="Arial"/>
        <family val="0"/>
        <charset val="1"/>
      </rPr>
      <t xml:space="preserve">utrero</t>
    </r>
    <r>
      <rPr>
        <sz val="11"/>
        <rFont val="WenQuanYi Zen Hei"/>
        <family val="2"/>
      </rPr>
      <t xml:space="preserve">가 알바로에게 클라우드 인프라와 데이터 주권 관련 지식을 속성으 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</si>
  <si>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신분으로 누베 이베리카 본사에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기술이사 헤라르도 몰리나가 그 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</si>
  <si>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네트워크 트래픽 기록을 분석하며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</si>
  <si>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시스템 엔지니어 사무엘 로카와 자연스럽게 대화를나누며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</si>
  <si>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사무엘과의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</si>
  <si>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헤라르도에게 외부 컨설팅 계약서를 요청하며 반응을 살핍니다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</si>
  <si>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감시당하고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</si>
  <si>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마지못해 계약서 일부를 알바로에게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</si>
  <si>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노르드링크 솔루션스에 대한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</si>
  <si>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알바로에게 예상치 못한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</si>
  <si>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 시간이 촉박함을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</si>
  <si>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결정적 트래픽 로그를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</si>
  <si>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마르코스가 확보한 증거를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</si>
  <si>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본사에 대한 개입이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</si>
  <si>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배후에 대한 최종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</si>
  <si>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이번에도 보도 불가한 사안임을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</si>
  <si>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</si>
  <si>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 몰리나가 수사에 전면 협조하며 예상보다 훨씬 큰 그림을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</si>
  <si>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헤라르도의 이메일을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정보기관과의 공조 회의를 주선합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</si>
  <si>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중이던 헤라르도가 감옥 안에서 위협을 받으며 새로운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</si>
  <si>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준비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이탈리아가 동시에 관련 기업들을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</si>
  <si>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마르코스와 카를로스가 압수된 서버 장비 분석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</si>
  <si>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</si>
  <si>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하비에르가 함께 저녁을 먹으며 이 긴 국제 수사를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</si>
  <si>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정책적 여파를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</si>
  <si>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노동인권 </t>
    </r>
    <r>
      <rPr>
        <sz val="11"/>
        <rFont val="Arial"/>
        <family val="0"/>
        <charset val="1"/>
      </rPr>
      <t xml:space="preserve">NGO '</t>
    </r>
    <r>
      <rPr>
        <sz val="11"/>
        <rFont val="WenQuanYi Zen Hei"/>
        <family val="2"/>
      </rPr>
      <t xml:space="preserve">푼다시온 암파로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로부터 제보를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남부 스페인 의 한 채소 농장 지대에서 이주노동자들이 빚에 묶여 사실상 강제노동을 당하고 있다는 내용입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</si>
  <si>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알바로에게 사건을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노동자로 위장 취업하는 방식을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</si>
  <si>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마놀로 이바라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 마노스 세구라스 모집 사무소를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채용 담당 오스왈도가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</si>
  <si>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다른 노동자들과 함께 농장에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열악한 실태를 처음 목격합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</si>
  <si>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숙소에서 알바로가 다른 노동자들과 이야기를 나누며 실태를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</si>
  <si>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감독관 페드로 사엔스와 처음으로 긴장된 상황을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</si>
  <si>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몰래 마을 상점 전화를 빌려 하비에르에게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</si>
  <si>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루벤에게 알바로의 보고 내용을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실종된 노동자에 대한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</si>
  <si>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급여명세서 문제로 사무소를 다시 찾아가 오스왈도와 대화하며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 규모를 파악합니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</si>
  <si>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트라바하도르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과 실종된 동료에 대해 좀 더 깊이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</si>
  <si>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몰래 숨겨둔 소형 카메라로 숙소와 임금대장을 촬영합니다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</si>
  <si>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마을에서 잠시 짬을 내 하비에르에게 증거 자료를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</si>
  <si>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 노동자가 작업 중 다쳐 아무런 의료 지원도 받지 못하는 상황이 벌어집니다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</si>
  <si>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부상당한 노동자의 상태가 악화되며 알바로가 결단을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</si>
  <si>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부상당한 트라바하도르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인근 병원으로 데려가며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하비에르에게 긴급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</si>
  <si>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병원에서 트라바하도르</t>
    </r>
    <r>
      <rPr>
        <sz val="11"/>
        <rFont val="Arial"/>
        <family val="0"/>
        <charset val="1"/>
      </rPr>
      <t xml:space="preserve">1(</t>
    </r>
    <r>
      <rPr>
        <sz val="11"/>
        <rFont val="WenQuanYi Zen Hei"/>
        <family val="2"/>
      </rPr>
      <t xml:space="preserve">이제 실명으로 오마르라고 밝혀짐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상태를 확인하고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보호 방안 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</si>
  <si>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루벤이 노동감독관 인마쿨라다</t>
    </r>
    <r>
      <rPr>
        <sz val="11"/>
        <rFont val="Arial"/>
        <family val="0"/>
        <charset val="1"/>
      </rPr>
      <t xml:space="preserve">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남성 감독관 페르난도 로요 감독관과 긴급 회의를 주선합니다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</si>
  <si>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페르난도가 유수프 트라오레에 대한 실종 신고 여부를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</si>
  <si>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노동감독관과 경찰이 농장과 모집 사무소를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</si>
  <si>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안전한 임시 숙소에서 트라바하도르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그리고 회복 중인 오마르와 재회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</si>
  <si>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페르난도가 유수프에 대한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</si>
  <si>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오스왈도와 페드로에 대한 재판이 준비됩니다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루벤이 알바로와 함께 진행 상황을 점 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</si>
  <si>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</si>
  <si>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</si>
  <si>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루벤이 오마르와 함께 저녁을 먹으며 이 긴 여정을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</si>
  <si>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</si>
  <si>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하비에르와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</si>
  <si>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유통 조직에 대한 마지막 브리핑을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통신이 극도로 제한되어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거의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</si>
  <si>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갈리시아의 한 항구 술집에서 중개인 시메온과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</si>
  <si>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창고에서 조직의 리더 리고베르토 아리스티사발을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</si>
  <si>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창고에서 일을 시작한 알바로가 회계 담당 카밀라 레예스를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</si>
  <si>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처음으로 화물 하역 작업에 투입됩니다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</si>
  <si>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성실히 일해온 알바로에게 리고베르토가 더 큰 임무를 맡깁니다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</si>
  <si>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물류 세부사항을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조금씩 서로를 알아갑니다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</si>
  <si>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첫 운송 임무를 수행하며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검문소를 통과하는 긴장된 순간을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</si>
  <si>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화물을 무사히 인도한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돌아오는 길에 알바로와 카밀라가 잠시 휴식을 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</si>
  <si>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창고로 돌아온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알바로에게 경계심을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</si>
  <si>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심문합니다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카밀라도 자리에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</si>
  <si>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경고와 위로를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</si>
  <si>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알바로에게 결정적인 충성 시험을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</si>
  <si>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혼자 마드리드로 향하던 중 예상치 못한 검문에 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카밀라 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카를로스도 없이 혼자 헤쳐나가야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</si>
  <si>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알바로가 혼자 화물을 인도하며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위험 인물과 마주칩니다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</si>
  <si>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갈리시아로 돌아온 알바로가 리고베르토에게 성공적인 임무 완수를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</si>
  <si>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안도감과 애정을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</si>
  <si>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조용한 순간에 알바로가 카밀라에게 자신의 진짜 임무를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</si>
  <si>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리고베르토를 무너뜨릴 증거 확보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</si>
  <si>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비고로 떠난 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금고를 열고 문서를 복사하는 동안 알바로 가 주변을 경계합니다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</si>
  <si>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문서를 촬영하는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일찍 시메온이 돌아옵니다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</si>
  <si>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시메온의 주의를 끄는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겨우 사무실을 빠져나옵니다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</si>
  <si>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극도로 조심스럽게 유일하게 허락된 비상 연락 수단을 사용합니다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</si>
  <si>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리고베르토가 돌아온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지난밤의 이상함을 다시 파고들며 위기가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</si>
  <si>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대면하며 진실을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</si>
  <si>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감시가 느슨해진 틈을 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탈출을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</si>
  <si>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추격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미리 예정된 접선 지점에서 구조대가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</si>
  <si>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경찰이 리고베르토의 창고를 급습하고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마침내 카를로스와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</si>
  <si>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증언을 위한 재판 준비 과정에서 두 사람이 다시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</si>
  <si>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</si>
  <si>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 테라스에서 알바로와 카밀라가 재판 이후 처음으로 편안한 시간 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</si>
  <si>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 정착한 알바로와 카밀라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네트워크가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 셀 로비 조직과 연결됐다는 새 실마리를 갖고 옵니다</t>
    </r>
    <r>
      <rPr>
        <sz val="11"/>
        <rFont val="Arial"/>
        <family val="0"/>
        <charset val="1"/>
      </rPr>
      <t xml:space="preserve">. 16</t>
    </r>
    <r>
      <rPr>
        <sz val="11"/>
        <rFont val="WenQuanYi Zen Hei"/>
        <family val="2"/>
      </rPr>
      <t xml:space="preserve">번 아크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역외 페이퍼컴퍼니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직접적인 후속편입니다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</si>
  <si>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브뤼셀 취재 여행을 준비하며 상세한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</si>
  <si>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브뤼셀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엘레나 몬투리올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메리디안 퍼블릭 어페어스 주최 행사 에 참석해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대표 이니고 카살스와 첫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</si>
  <si>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유럽의회 투명성 등록부를 조사하며 관련 의원들을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</si>
  <si>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폴란드 출신 유럽의원 마레크 코발스키를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</si>
  <si>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이니고 카살스와 두 번째로 만나 좀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</si>
  <si>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브뤼셀의 호텔방에서 알바로와 카밀라가 하루 성과를 공유하며 서로를 걱정합니다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</si>
  <si>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메리디안의 비공개 클라이언트 행사에 참석해 예상치 못한 인물을 마주칩니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</si>
  <si>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행사가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알바로와 하비에르에게 결정적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</si>
  <si>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카를로스에게 연락해 결정적 소식을 전하고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차원의 공조 수사를 준비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</si>
  <si>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당국과의 공조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배 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</si>
  <si>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카밀라에게 직접 연락해 개인적인 만남을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훨씬 날카로운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</si>
  <si>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카밀라의 보고를 들은 알바로가 심각한 우려를 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작전을 계속할지 격렬하게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</si>
  <si>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로셀요의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요원들이 근처에서 대기합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</si>
  <si>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미리 정한 위기 신호를 보내며 상황이 급박해집니다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</si>
  <si>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바로 그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요원들이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</si>
  <si>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 당국이 메리디안 퍼블릭 어페어스 사무실을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</si>
  <si>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재회하고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사건의 전체 규모를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</si>
  <si>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유럽의회 반부패위원회가 소집한 공개 청문회에서 코발스키 의원이 질의를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</si>
  <si>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벨기에 재판을 위한 증언 준비 과정에서 변호사와 상세히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</si>
  <si>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벨기에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</si>
  <si>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직접 증언대에 서서 알바로와 간접적으로 맞섭니다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</si>
  <si>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 사건의 광범위한 여파를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</si>
  <si>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최종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의미를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</si>
  <si>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작은 아파트에서 알바로와 카밀라가 함께 아침을 맞이합니다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 체를 마무리하는 조용하고 따뜻한 장면입니다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</si>
  <si>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유럽위원회가 로비 투명성 개혁안을 발표하는 기자회견이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취재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</si>
  <si>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유럽 전역으로 확산된 수사 상황을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</si>
  <si>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마드리드에서 루벤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노동착취 아크의 </t>
    </r>
    <r>
      <rPr>
        <sz val="11"/>
        <rFont val="Arial"/>
        <family val="0"/>
        <charset val="1"/>
      </rPr>
      <t xml:space="preserve">NGO </t>
    </r>
    <r>
      <rPr>
        <sz val="11"/>
        <rFont val="WenQuanYi Zen Hei"/>
        <family val="2"/>
      </rPr>
      <t xml:space="preserve">대표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과 우연히 재회합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</si>
  <si>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합법적인 회계법인에서 새 직장 첫날을 마치고 돌아와 알바로와 저녁을 함 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</si>
  <si>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알바로의 연작 보도가 유럽 언론상을 수상하며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모두가 함께 축하하는 자 리를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</si>
  <si>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오빠 마테오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위장 신분과 같은 이름의 우연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마드리드에 정착한 뒤 처음 으로 함께 저녁 식사를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</si>
  <si>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로셀요의 압수 자료에서 마침내 루에다와의 직접적 연결 정황을 발견했다 는 소식을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전체의 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</si>
  <si>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루에다 관련 새 소식을 조심스럽게 전하며 미래에 대해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</si>
  <si>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하비에르와 함께 지금까지의 모든 여정을 돌아보는 긴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</si>
  <si>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비슷한 상황에 처한 다른 사람들을 돕기 위한 새로운 프로젝트를 알바로에 게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</si>
  <si>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실마리</t>
    </r>
    <r>
      <rPr>
        <sz val="11"/>
        <rFont val="Arial"/>
        <family val="0"/>
        <charset val="1"/>
      </rPr>
      <t xml:space="preserve">. 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네트워크가 브뤼셀의 로비 회사를 통해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금융규제 완화를 위해 움직이고 있다는 정황이 포착됩니다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</si>
  <si>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카밀라에게 새로운 사건을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도움을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</si>
  <si>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확보된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 로비 회사와 재단의 자금 구조를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</si>
  <si>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하비에르의 브뤼셀 특파원 동료 이니고 사라비아와 연결해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함께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자 화상회 의를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</si>
  <si>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J. </t>
    </r>
    <r>
      <rPr>
        <sz val="11"/>
        <rFont val="WenQuanYi Zen Hei"/>
        <family val="2"/>
      </rPr>
      <t xml:space="preserve">베르호벤의 신원을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</si>
  <si>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사건이 국가 차원을 넘어선다는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</si>
  <si>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익명의 메시지를 받으며 위협이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</si>
  <si>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신속하게 카밀라 보호 조치를 강화하고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계속 조사할지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</si>
  <si>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벨기에 정보원을 통해 추가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</si>
  <si>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내부 제보자 마르턴 데브리스와의 접선을 성사시킵니다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직접 브뤼셀로 가서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</si>
  <si>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자스퍼 베르호벤에게 공식 인터뷰를 요청하며 직접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</si>
  <si>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마르턴이 넘긴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로셀요와의 직접적 연결고리를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</si>
  <si>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반부패기구와의 공식 공조를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</si>
  <si>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마르턴 데브리스가 자신이 감시당하고 있다는 걸 눈치채며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</si>
  <si>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마르턴 보호를 위한 긴급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</si>
  <si>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벨기에와 스페인 양국 법원이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</si>
  <si>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작전을 앞둔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</si>
  <si>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개입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룩셈부르크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스페인이 동시에 작전을 실행합니다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브뤼셀 현장에서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</si>
  <si>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마르턴이 압수된 자료를 함께 분석하며 로셀요의 흔적을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</si>
  <si>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마르턴이 예약 패턴을 대조해 회의 장소를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</si>
  <si>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당국과의 협력을 조율하며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작전을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</si>
  <si>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학회 참가자로 위장해 제네바 호텔에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</si>
  <si>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마르코스가 사진을 분석해 정체를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</si>
  <si>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감시하던 중 로셀요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그의 협력자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정체를 의심받을 뻔한 순간이 벌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</si>
  <si>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철수한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정식으로 감시를 인계받습니다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</si>
  <si>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카밀라와 재회하며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제네바에서 있었던 일을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</si>
  <si>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마르턴의 안전한 이전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</si>
  <si>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자스퍼 베르호벤이 변호사와 상담 후 전면 협조를 결정하며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로셀요에 대한 새로운 정보를 제공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</si>
  <si>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설명하며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</si>
  <si>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전역에서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</si>
  <si>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사건이 가져온 제도적 변화를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</si>
  <si>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카밀라에게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정식 협력할 것을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</si>
  <si>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이니고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화상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함께 모여 이 긴 국제 수사를 자축합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</si>
  <si>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일하며 새로운 이상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</si>
  <si>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당국과의 초기 협조를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국면이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</si>
  <si>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핀테크 오로라의 자금 구조를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이전보다 더 정교해진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</si>
  <si>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금융감독 당국과 공식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카밀라도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</si>
  <si>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중인 베르호벤이 로셀요 조직의 새로운 통신 방식에 대한 마지막 정보를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</si>
  <si>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몬테 디지털 옥션스의 경매 목록을 분석하며 암호화된 메시지 패턴을 찾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</si>
  <si>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세 개의 의심스러운 경매 계정을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</si>
  <si>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프랑스 당국의 감시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 주소에 대한 새로운 정보가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</si>
  <si>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프랑스 당국이 니스 주소에 대한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</si>
  <si>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실행되고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</si>
  <si>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노트북 분석 결과가 결정적 단서를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</si>
  <si>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 자택에서 조용한 저녁을 보내며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국제 수사의 시 작을 함께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</si>
  <si>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독일 수사 확대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</si>
  <si>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독일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네덜란드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미국과의 공조 체계 구성 계획을 알바로와 카밀라에게 설명합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</si>
  <si>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창가에 서서 앞으로의 여정을 되새깁니다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</si>
  <si>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스페인 중앙은행을 겨 냥한 공작을 벌이고 있다는 정보를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알바로가 완전히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</si>
  <si>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토마스 브라보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스페인 중앙은행에 처음 출입합니다</t>
    </r>
    <r>
      <rPr>
        <sz val="11"/>
        <rFont val="Arial"/>
        <family val="0"/>
        <charset val="1"/>
      </rPr>
      <t xml:space="preserve">. IT</t>
    </r>
    <r>
      <rPr>
        <sz val="11"/>
        <rFont val="WenQuanYi Zen Hei"/>
        <family val="2"/>
      </rPr>
      <t xml:space="preserve">보안팀장 라파엘 몬 포르테가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</si>
  <si>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접근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베르메호와 관련된 이상 패턴을 발견합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</si>
  <si>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라파엘이 알바로를 이그나시오 베르메호에게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</si>
  <si>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다른 경로로 전화 기록을 확보하며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외부 연락처를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</si>
  <si>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베르메호의 동료 엘레나 두케와 자연스럽게 대화를 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</si>
  <si>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베르메호의 사무실 근처에서 정보를 얻으려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</si>
  <si>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보안 시스템 취약점 점검을 명목으로 문서 열람 권한을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</si>
  <si>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정보를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얼마 남지 않았음을 깨닫습니다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</si>
  <si>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베르메호가 알바로에게 직접 의심을 드러내며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</si>
  <si>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위험을 감지한 알바로가 남은 시간 동안 결정적 증거를 확보하기 위해 서두릅니다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</si>
  <si>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이그나시오 베르메호를 개인적으로 찾아가 직접 대치합니다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</si>
  <si>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이그나시오가 함께 조작된 내용을 되돌릴 계획을 세우던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전화가 걸려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</si>
  <si>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이그나시오가 서류 수정을 마치고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그동안의 증거를 최종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</si>
  <si>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문서를 챙기던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라파엘이 예상치 못하게 사무실 근처에 나타나며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</si>
  <si>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이번 작전에서 처음으로 카를로스에게 연락해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</si>
  <si>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은행에 남아 결과를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</si>
  <si>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 종료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</si>
  <si>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자택에서 카밀라와 재회하며 이번 단독 작전에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</si>
  <si>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스위스 연결고리에 대한 심화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</si>
  <si>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단독 작전에 대해 뒤늦게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</si>
  <si>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베르메호의 재판을 앞두고 알바로가 마지막으로 그를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</si>
  <si>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마드리드의 조용한 레스토랑에서 저녁을 먹으며 이번 사건을 정리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</si>
  <si>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장기적 여파를 정리해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</si>
  <si>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전화를 받습니다 — 지금까지 목소리조차 들어본 적 없는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 키텍토</t>
    </r>
    <r>
      <rPr>
        <sz val="11"/>
        <rFont val="Arial"/>
        <family val="0"/>
        <charset val="1"/>
      </rPr>
      <t xml:space="preserve">', </t>
    </r>
    <r>
      <rPr>
        <sz val="11"/>
        <rFont val="WenQuanYi Zen Hei"/>
        <family val="2"/>
      </rPr>
      <t xml:space="preserve">아드리안 로셀요 본인입니다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</si>
  <si>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시내의 조용한 식당에서 로셀요를 처음으로 얼굴을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</si>
  <si>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자신의 과거를 털어놓기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</si>
  <si>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본론으로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알바로를 회유하려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</si>
  <si>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회유가 거절되자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태도가 미묘하게 바뀌며 은근한 위협으로 전환됩니다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</si>
  <si>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회유와 협박 모두에 흔들리지 않고 정면으로 반박합니다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</si>
  <si>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본론에 들어가기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알바로의 동기에 대해 궁금해하며 대화가 더 깊어집니다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</si>
  <si>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식당을 나온 알바로가 곧바로 카를로스에게 전화해 방금 있었던 일을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</si>
  <si>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인상착의와 발언을 상세히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</si>
  <si>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보안 강화 조치가 시작되며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잠시 숨을 고릅니다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</si>
  <si>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사프란 국제 시세가 요동치는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라만차의 한 가상 유통업체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저품질 향신료를 정품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라만차 사프란으로 속여 판매하고 있다는 제보가 들어옵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</si>
  <si>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마에스트로 바실리오 만사노와 함께 두 종류의 사프란을 비교 감별합니다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</si>
  <si>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톨레도 실험실의 분석 결과가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</si>
  <si>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아사프라네스 델 캄포 대표 로만 세페다와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</si>
  <si>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세페다가 언급한 새 공급업자에 대한 정보를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</si>
  <si>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 쿠스토디오 팔라시오스를 찾아가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</si>
  <si>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라만차 원산지 규제위원회에 정식으로 보고서를 제출합니다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</si>
  <si>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</si>
  <si>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바실리오가 라만차의 한 식당에서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에도 사건 얘기 없이 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</si>
  <si>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종류의 에피소드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사건이 전혀 없습니다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년 전 그리스 낙소스 섬 여 행에서 만난 이탈리아 친구 루카와 마드리드에서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</si>
  <si>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처음 만났던 그리스 여행을 추억합니다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</si>
  <si>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디저트를 먹으며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지난 몇 년간의 근황을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</si>
  <si>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사람이 함께 이번 주 마드리드 방문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</si>
  <si>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밤이 깊어지며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우정에 대해 조용히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</si>
  <si>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두 실마리가 하나로 합쳐졌다는 소식을 전합니다 — 격화 된 어느 분쟁 지역의 무기 수요 급증을 틈타 루에다 조직이 밀매 규모를 확대하고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자 금세탁 구조 설계자가 다름 아닌 로셀요라는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</si>
  <si>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브루노 베테르그렌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발렌시아의 한 화물 중개업체를 찾아가 중개인 사울 프 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</si>
  <si>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사울이 알바로를 조직의 물류 책임자 마르코 델가디요에게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</si>
  <si>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신뢰를 쌓기 위한 소규모 시험 거래를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</si>
  <si>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결제를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자금이 여러 계좌를 거치는 과정을 처음으로 직접 관찰합니다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</si>
  <si>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시험 거래가 성공적으로 끝나고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알바로를 조직의 재무 담당자에게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</si>
  <si>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외부 자문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인물로부터 검토 전화를 받습니다 — 목소리를 들은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로셀요라는 걸 직감합니다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</si>
  <si>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비상 채널을 통해 결정적 확인 사항을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</si>
  <si>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</si>
  <si>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레나타가 최종 항구 정보를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결정적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</si>
  <si>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발을 빼는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 항구에서 급습이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</si>
  <si>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항구 급습과 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금융 정보팀이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단계 결제 계좌를 차단합니다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</si>
  <si>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이번 작전의 전체 성과를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</si>
  <si>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 이야기를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</si>
  <si>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하비에르로부터 칸타브리아의 한 작은 마을에서 로셀요와 연결된 것으로 보이는 부동산 등기 정황을 전달받습니다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 저널리즘으로 혼자 추적하기 로 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</si>
  <si>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취재 이동을 위해 렌터카 업체에서 차량과 보험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</si>
  <si>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칸타브리아의 한 식당에 전화를 걸어 제보자와의 저녁 식사를 위한 예약을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</si>
  <si>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산탄데르 공항에 도착한 알바로가 택시를 타고 마을로 이동하며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기사와 물가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경제 이야기를 나 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</si>
  <si>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마을 호텔에 도착해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신원 노출을 최소화하기 위한 체크인 절차를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</si>
  <si>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은퇴한 공증인 도밍고 세라노와 저녁 식사를 하며 의문의 부동산에 대해 이야기합니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</si>
  <si>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목동 안셀모를 찾아가 신중하게 대화를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</si>
  <si>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 자료를 갖고 호텔로 돌아가던 중 불심검문을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</si>
  <si>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도밍고가 갑자기 쓰러지며 알바로가 그를 응급실로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</si>
  <si>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의사가 진단 결과를 전하며 도밍고의 상태 원인이 밝혀집니다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</si>
  <si>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만약을 대비해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원격으로 </t>
    </r>
    <r>
      <rPr>
        <sz val="11"/>
        <rFont val="Arial"/>
        <family val="0"/>
        <charset val="1"/>
      </rPr>
      <t xml:space="preserve">IT </t>
    </r>
    <r>
      <rPr>
        <sz val="11"/>
        <rFont val="WenQuanYi Zen Hei"/>
        <family val="2"/>
      </rPr>
      <t xml:space="preserve">보안 전문가 친구에게 통신 보안을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</si>
  <si>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렌터카를 반납하고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눈에 띄지 않게 마을에 더 머물기 위해 개인 간 중고차 거래를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</si>
  <si>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며칠간의 감시를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저택이 잘 보이는 위치에 은신 거점으로 쓸 단기 임대 아파 트를 계약합니다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호텔 프런트에 출입 기록이 남는 걸 피하기 위한 선택입니다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</si>
  <si>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 산 차로 감시를 이어가던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문제의 차량이 저택에서 나오는 것을 목격합니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</si>
  <si>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공항에서 돌아온 알바로가 하비에르에게 이번 발견을 자세히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</si>
  <si>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신문사 법률고문 변호사 인마쿨라다 벨트란과 명예훼손 리스크를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</si>
  <si>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개입을 요청하기 위해서가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취재 결과를 공유하는 형태로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</si>
  <si>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발행합니다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</si>
  <si>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</si>
  <si>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출판사 편집장 로렌소 이바녜스와 그동안의 취재를 책으로 엮는 협상을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</si>
  <si>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칸타브리아를 다시 찾아 도밍고와 안셀모의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</si>
  <si>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카밀라에게 이번 단독 취재에 대해 자세히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</si>
  <si>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게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마르코스에게 다시 연락해 보안 조치를 해제하고 결과를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</si>
  <si>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인마쿨라다의 검토를 마친 출판 계약서에 알바로가 최종 서명합니다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</si>
  <si>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계약 체결을 축하하며 조용한 저녁을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</si>
  <si>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잠든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이번 여정을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</si>
  <si>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암호화 메시지를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불특정 해외 정보기관 소속 요원이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기사를 유심히 읽어왔다며 접선을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</si>
  <si>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번잡한 시장에서 알바로가 요원과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요원은 자신을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빅토르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라고 소개하며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정체를 이미 알고 있음을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</si>
  <si>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망명을 결심하게 된 이유를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</si>
  <si>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스페인을 겨냥한 여러 작전에 대해 이야기할 게 있다고 밝히며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진실을 아는 것의 양 면성에 대해 철학적으로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</si>
  <si>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정식으로 은밀한 망명을 요청하며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자신이 원하는 조건을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</si>
  <si>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헤어진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곧바로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</si>
  <si>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상세한 내용을 보고하고 사안의 심각성을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</si>
  <si>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CNI</t>
    </r>
    <r>
      <rPr>
        <sz val="11"/>
        <rFont val="WenQuanYi Zen Hei"/>
        <family val="2"/>
      </rPr>
      <t xml:space="preserve">의 통제 아래 알바로가 빅토르와 두 번째로 접선합니다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카를로스 팀이 주 변에서 조용히 검증합니다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</si>
  <si>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예고한 정황이 정확히 실현되며 카를로스가 신빙성을 확신합니다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</si>
  <si>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정식으로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보호 아래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마지막 인사와 함께 앞으로의 이야기를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</si>
  <si>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안전가옥에서 빅토르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 세 사람만의 세션이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 로스가 검증하기 쉬운 종결된 작전부터 시작해달라고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</si>
  <si>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하드웨어 임플란트의 기술적 세부사항을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</si>
  <si>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유통 경로와 로셀요와의 연관성에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</si>
  <si>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구체적으로 어떤 기관들이 표적이 됐는지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</si>
  <si>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그렇게 오랫동안 탐지되지 않은 이유를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</si>
  <si>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빅토르의 신원과 접근 권한을 교차 검증하기 위한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</si>
  <si>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작전으로 인한 인간적 피해에 대해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</si>
  <si>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문서를 건네고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즉시 확인 작업에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</si>
  <si>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활성 상태로 남아있을 수 있는 백도어의 현재 위험도를 재확인합니다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</si>
  <si>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작전이 스페인 외에 다른 나라에도 적용됐는지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</si>
  <si>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동남아시아 하청업체에 대한 추가 정보를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</si>
  <si>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 방식이 다시 쓰일 가능성에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</si>
  <si>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향후 법적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외교적 대응 방향을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</si>
  <si>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검증을 공식적으로 마무리하며 핵심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</si>
  <si>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산타클로스 작전과 로셀요가 처음 설계했다는 자금 구조 사이의 관계를 궁금해합니다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</si>
  <si>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자신의 상급자에게 어떻게 보고할지 고민을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</si>
  <si>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휴식을 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산타클로스 작전에 대해 마지막으로 남은 궁금증을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</si>
  <si>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지금까지 받은 문서 전체의 일관성을 재검토하며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빅토르에게 더 날카로운 질문을</t>
    </r>
  </si>
  <si>
    <r>
      <rPr>
        <sz val="11"/>
        <rFont val="WenQuanYi Zen Hei"/>
        <family val="2"/>
      </rPr>
      <t xml:space="preserve">알바로가 빅토르의 안전에 대해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보호 조치 수준을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</si>
  <si>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내용에 대한 예고와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촉박한 진행 중인 작전이 있음을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</si>
  <si>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사이 짧은 휴식 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 모든 정보가 결국 기밀로 묶일 수밖에 없다는 현실에 대해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빅토르와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</si>
  <si>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작전의 결제 구조를 노드링크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엘 아르키텍토 관련 기존 자료와 교차 검 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</si>
  <si>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앞으로의 여정에 대한 각오를 다지며 첫날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</si>
  <si>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떠나기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산타클로스 작전에 대한 즉각적 대응 조치를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</si>
  <si>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자리에서 일어서기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개인적 대화로 세션을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</si>
  <si>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개인적인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</si>
  <si>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 두 사람만 잠시 남아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</si>
  <si>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같은 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다음 작전을 요청하자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 르가 씁쓸한 유머와 함께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아담과 이브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</si>
  <si>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신원이 어떻게 구축되는지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관료주의적 절차에 대한 냉소를 섞어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</si>
  <si>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훈련 과정의 구체적 내용을 캐묻고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씁쓸한 유머와 함께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</si>
  <si>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실제 스페인 삽입 과정에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</si>
  <si>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균열이 시작된 지점에 대해 묻습니다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이번엔 유머 없이 진지하게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</si>
  <si>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이탈 방식에 대해 자세히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</si>
  <si>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남편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요원의 반응에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</si>
  <si>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현재 상황에 대해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</si>
  <si>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어떻게 접근할지 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신중한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</si>
  <si>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법적 지위에 대한 실무적 고민을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</si>
  <si>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농담 섞인 질문을 던지고 빅토르가 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</si>
  <si>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진지한 톤으로 알시온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로셀요의 기원 이야기를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</si>
  <si>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로셀요가 어떻게 실제로 포섭됐는지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</si>
  <si>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후보자들에게 무슨 일이 있었는지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</si>
  <si>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자체의 기술적 내용을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</si>
  <si>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이름의 유래와 조직의 반응을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</si>
  <si>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언제부터 조직의 통제를 벗어나기 시작했는지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</si>
  <si>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정보기관이 현재 로셀요를 어떻게 보는지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</si>
  <si>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로셀요와 직접 만찬을 가졌던 경험을 언급하며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그 의미를 해석해줍니다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</si>
  <si>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어떻게 전략적으로 활용할지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</si>
  <si>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인간적으로 어떻게 봐야 할지 성찰하며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</si>
  <si>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</si>
  <si>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알시온 작전 관련 초기 문서를 제공하며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그 가치를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</si>
  <si>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조용히 생각을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</si>
  <si>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마지막으로 실무적인 확인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</si>
  <si>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 앞에서 마지막으로 짧게 인사합니다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</si>
  <si>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남아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</si>
  <si>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혼잣말처럼 되뇝니다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</si>
  <si>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 작전</t>
    </r>
    <r>
      <rPr>
        <sz val="11"/>
        <rFont val="Arial"/>
        <family val="0"/>
        <charset val="1"/>
      </rPr>
      <t xml:space="preserve">' — </t>
    </r>
    <r>
      <rPr>
        <sz val="11"/>
        <rFont val="WenQuanYi Zen Hei"/>
        <family val="2"/>
      </rPr>
      <t xml:space="preserve">로셀요 개인이 아니 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여러 후계자를 동시에 양성하려던 조직 차원의 프로그램 자체를 설명하기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</si>
  <si>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후보 선발 기준을 질문하며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당시의 반복적 관행을 회고합니다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</si>
  <si>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구체적인 낙오 사례를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대과거 구문을 활용해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</si>
  <si>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낙오자에 대한 반사실적 가정을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si+</t>
    </r>
    <r>
      <rPr>
        <sz val="11"/>
        <rFont val="WenQuanYi Zen Hei"/>
        <family val="2"/>
      </rPr>
      <t xml:space="preserve">대과거접속법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완료조건법으로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</si>
  <si>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후보들의 평가 절차를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수동태 중심으로 절차를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</si>
  <si>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훈련 중 후보들에게 주어진 구체적 규칙을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부정명령법으로 당시 지시사항을 재현합니다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</si>
  <si>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프로그램이 다시 시도될지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미래완료 시제로 예측합니다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</si>
  <si>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예측에 대응하기 위한 즉각적 조치를 명령법으로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</si>
  <si>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빅토르에게 이 프로그램이 애초에 다르게 설계됐다면 어땠을지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</si>
  <si>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향후 방어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 현재를 활용한 목적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요청 구문이 자연스럽게 이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</si>
  <si>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프로그램의 최종 결말을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단순과거 중심으로 사건을 서술합니다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</si>
  <si>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최근 프로그램 재개 조짐이 있는지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현재완료로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</si>
  <si>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만약 새로운 후계자가 확인된다면 어떻게 대응할지 조건법으로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</si>
  <si>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단순미래로 다음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</si>
  <si>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마지막으로 프로그램 관련 자료를 건네며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근접미래 표현으로 다음 절차를 안내합니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</si>
  <si>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 질문을 던지며 접속법 불완료가 자연스럽게 등장합니다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</si>
  <si>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</si>
  <si>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문서로 받은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명의 심리 프로파일을 훑어보며 추가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</si>
  <si>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복도에서 조용히 생각을 정리하며 세션이 완전히 끝납니다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</si>
  <si>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 우연히 다시 마주친 카를로스와 알바로가 마지막으로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</si>
  <si>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집에 도착해 짧게 혼잣말합니다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</si>
  <si>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여운을 남기며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</si>
  <si>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완전한 마무리 한 줄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</si>
  <si>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창밖을 보며 마지막 생각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</si>
  <si>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같은 세션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개인적 습관에 대해 궁금해하며 빅토르에게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</si>
  <si>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두려워하는 것이 있는지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</si>
  <si>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이전에 언급됐던 로셀요의 가족에 대해 더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</si>
  <si>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개인적 정보를 전략적으로 활용할 수 있을지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</si>
  <si>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여가 시간에 대해 더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</si>
  <si>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마지막으로 이 모든 개인적 디테일이 자신에게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</si>
  <si>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대화를 마무리하며 실무로 돌아가자고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</si>
  <si>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조용히 마지막 생각을 덧붙입니다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</si>
  <si>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엘 아르키텍토 프로그램이 정확히 어디서 실패했는지 근본적으로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</si>
  <si>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성공 자체가 어떻게 실패의 원인이 됐는지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</si>
  <si>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어떻게 범주화해야 할지 존재론적으로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</si>
  <si>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존재론적 분석을 실무적인 위협 평가로 전환합니다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</si>
  <si>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존재를 다른 역사적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자연적 현상에 비유하며 이해하려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</si>
  <si>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이 논의를 종합하며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</si>
  <si>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분석에 대한 개인적 소회를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</si>
  <si>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예고한 대로 활성 작전인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크리스탈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부터 설명을 시 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</si>
  <si>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빅토르를 더 몰아붙이며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작전이 스페인에 구체적으로 어떤 위협이 되는지 캐묻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</si>
  <si>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남미 무기공급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작전부터는 로셀 요가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몸담았던 정보기관이 직접 스페인과 유럽에 피해를 주려는 목적으로 설 계한 작전임이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</si>
  <si>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영원의 도서관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유럽 각국 고위 관료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법조인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언론인에 대한 약점 자료를 수십 년째 축적해온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정보기관 직속의 콤프로마트 아카이브입니다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</si>
  <si>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로셀요가 다시 알바로에게 전화를 걸어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카밀라와 함께 점심을 하자고 제안합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</si>
  <si>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조용한 식당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카밀라가 로셀요와 점심을 함께합니다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그가 진짜 이유를 밝힙니다 — 자신을 이토록 끈질기게 몰아붙인 유일한 상대에 대한 경의입니다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</si>
  <si>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마침내 본론을 꺼냅니다 — 세상을 다 줄 수 있다며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인자 자리 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</si>
  <si>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포맷 시범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시간을 앞당겨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훗날 로셀요가 검거되고 감금된 상황을 가정합니다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면회실에 서 알바로가 최근 보도한 사프란 원산지 사기 사건</t>
    </r>
    <r>
      <rPr>
        <sz val="11"/>
        <rFont val="Arial"/>
        <family val="0"/>
        <charset val="1"/>
      </rPr>
      <t xml:space="preserve">('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을 화제로 꺼내며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 셀요의 전문가적 시각을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</si>
  <si>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둠루프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이번에도 로셀요가 아니라 빅토르의 옛 조직이 직접 스페인을 겨냥한 작전입니다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</si>
  <si>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이전 반코 데 에스파냐 사건과 연결되는지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</si>
  <si>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공황 유발의 구체적 기술적 메커니즘을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</si>
  <si>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스페인 금융 시스템 전체에 미칠 위협을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</si>
  <si>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즉각적인 대응 조치를 요구하며 긴박감이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</si>
  <si>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최종 인수 단계에서 사용될 위장 매수자 구조에 대해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</si>
  <si>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카밀라를 이번 작전 분석에 투입하기로 결정합니다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</si>
  <si>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문서를 건네고 다음 단계를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</si>
  <si>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은행 감독 개입의 초기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</si>
  <si>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메리디안 캐피털 구조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</si>
  <si>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미네르바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국방연구소에 수십 년째 침투 해온 장기 첩보 프로그램이며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검거했다고 믿었던 원전 스파이 사건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엘레나 페레르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사 실 이 거대한 작전의 극히 일부에 불과했다는 충격적 사실이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</si>
  <si>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현재 활동 중인 요원들의 구체적 신원과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 하기 위한 대응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</si>
  <si>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북방의 교향곡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전모를 밝힙니다</t>
    </r>
    <r>
      <rPr>
        <sz val="11"/>
        <rFont val="Arial"/>
        <family val="0"/>
        <charset val="1"/>
      </rPr>
      <t xml:space="preserve">. 1</t>
    </r>
    <r>
      <rPr>
        <sz val="11"/>
        <rFont val="WenQuanYi Zen Hei"/>
        <family val="2"/>
      </rPr>
      <t xml:space="preserve">부에서 예고했던 의회 표결 시점 봇 계정 물결이 바로 이 작전의 일부였다는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</si>
  <si>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대응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언론계 관점에서 이 문제를 어 떻게 폭로할 수 있을지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</si>
  <si>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재단 자금 추적 결과를 가지고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결정적 진전을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</si>
  <si>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작전의 무게에 대해 이야기하며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</si>
  <si>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봇 계정 분석을 완성해 세션에 합류하며 결정적 수치를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</si>
  <si>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다음 단계를 확정하며 이번 작전에 대한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</si>
  <si>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바벨탑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교향곡을 유럽 각국 언어로 동시에 복제한 국제 확장판입니다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</si>
  <si>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 조율팀의 구조와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저지하기 위한 유럽 차원의 공조 전략을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</si>
  <si>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이니고와 연락해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언론인과의 접선을 시도합니다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결 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</si>
  <si>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기자들과 이니고까지 포함한 화상회의를 진행합니다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빅토르도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</si>
  <si>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폴란드와 발트해 국가들의 상황에 대해 더 자세히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지역의 특 수성을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</si>
  <si>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발트해 지역 자금 흐름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</si>
  <si>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클라우스와 직접 통화하며 독일 내 상황을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</si>
  <si>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진행 상황을 정리하는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사람과 카밀라가 지금까지의 국제 공조 상황을 종합합니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</si>
  <si>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국제 공조에 대한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</si>
  <si>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</si>
  <si>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마레아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교향곡과 바벨탑이 인프라라면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마레아는 특정 선거를 겨냥해 그 인프라 전체를 가동시키는 실행 단계입니다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특정 정당이나 후 보는 언급하지 않고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기법 자체에 초점을 맞춥니다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</si>
  <si>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마레아를 사전에 탐지하고 대응할 구체적 방법을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</si>
  <si>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조기 경보 시스템 구축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</si>
  <si>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모의 훈련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시뮬레이션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실시됩니다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마르코스가 가상 활성화 신호를 발생시키고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실전처럼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</si>
  <si>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중앙선거관리위원회 관계자와 사전 협의를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</si>
  <si>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조기경보 시스템이 처음으로 실제 이상 징후를 감지하며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</si>
  <si>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검증 결과를 갖고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대응이 어떻게 진행됐는지 공유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</si>
  <si>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플랫폼으로 옮겨간 새로운 활동을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</si>
  <si>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의회 표결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실시간으로 상황을 모니터링하며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</si>
  <si>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대응이 남긴 교훈과 앞으로의 방향을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</si>
  <si>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오늘 하루를 짧게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</si>
  <si>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돈키호테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밝히기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유독 무거운 표정으로 망설입니다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 가 지금까지 겪었던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아슬아슬한 추적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들이 사실은 의도된 기만이었다는 사실이 드러나기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</si>
  <si>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충격에서 벗어나며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걸 어떻게 받아들여야 할지 정면으로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</si>
  <si>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왜 이렇게까지 정교한 기만 작전을 벌이는지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동기를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</si>
  <si>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이 사실을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반응과 함께 재검증 작업이 시작됩니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</si>
  <si>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발견한 내용을 세션에서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앞으로의 검증 프로토콜을 논의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</si>
  <si>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과거 사건들도 재검토가 필요한지 하나씩 짚어봅니다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</si>
  <si>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누베 이베리카 사건을 재검토한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</si>
  <si>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단둘이 남아 이번 폭로가 자신에게 미친 개인적 영향을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</si>
  <si>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다시 모여 돈키호테 작전에 대한 대응을 최종 정리하며 앞으로 나아갈 결의 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</si>
  <si>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이번 폭로가 남긴 감정을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</si>
  <si>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자칼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위협이 되는 인물을 제거하는 전담팀이며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리더는 다름 아닌 로셀요의 옛 담당관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별명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</si>
  <si>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라 세르피엔테와 로셀요 사이의 관계에 대해 더 깊이 캐물으며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니스에서의 협박도 재 해석됩니다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</si>
  <si>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작전이 팀 전체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마르코스와 카밀라에게 미칠 수 있는 위협을 평가합니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</si>
  <si>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자칼 작전에 대해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안전에 대해 진지하게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</si>
  <si>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도밍고와 안셀모에게 전화해 상황을 알리고 보호 조치를 안내합니다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</si>
  <si>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스스로 미행당하는 느낌을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</si>
  <si>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안전가옥에서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이 미행 사건을 분석하며 자칼의 정찰 단계임을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</si>
  <si>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팀 자체를 역으로 추적할 방법을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</si>
  <si>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역정찰 팀이 첫 결과를 보고하며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</si>
  <si>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앞으로의 경계 태세를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</si>
  <si>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새로운 경계 속에서도 서로에게 의지하며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</si>
  <si>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파로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아직 실행되지 않은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문서로만 존재하는 계 획입니다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스페인의 해상풍력 등 재생에너지 인프라 입찰에 위장 컨소시엄을 침투시켜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장기적 으로 전력망 일부 통제권을 확보하려는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</si>
  <si>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컨소시엄의 구체적 구조를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</si>
  <si>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실행 전인 이 계획을 어떻게 저지할지 구체적으로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</si>
  <si>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더블린 펀드에 대한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</si>
  <si>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유럽 국가에서의 유사 입찰 패턴을 발견하며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</si>
  <si>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환경부 담당 부서와의 접촉을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세션에서 접근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</si>
  <si>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부처 담당자와의 통화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</si>
  <si>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 결과를 갖고 세션에 합류하며 결정적 증거를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</si>
  <si>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베아트리스 솔라노와 공식 회의를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</si>
  <si>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최종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</si>
  <si>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베아트리스에게 감사 인사를 전하며 향후 협력 가능성을 열어둡니다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</si>
  <si>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포르투갈 쪽에서 얻은 추가 정보를 세션에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</si>
  <si>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조용한 저녁으로 이번 성공을 자축합니다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</si>
  <si>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</si>
  <si>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마지막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불꽃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조직이 궁지에 몰렸다고 느낄 때 발동되는 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지금까지 폭로해온 모든 것 때문에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발동 직전이 라는 긴박한 경고로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</si>
  <si>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실시간으로 각 협력자에 대한 긴급 보호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</si>
  <si>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순간들이 흐르고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도밍고와 안셀모의 안전 확보 소식이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</si>
  <si>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안전가옥에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시설 전체 보안을 강화합니다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</si>
  <si>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위험을 감수하고 옛 연락망을 통해 상황을 파악하려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</si>
  <si>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베르메호와 베르호벤이 수감된 시설의 보안 강화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</si>
  <si>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모두가 뜬눈으로 상황을 지켜보며 긴장된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</si>
  <si>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긴장된 밤중에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서로에게 의지하며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</si>
  <si>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새벽녘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시스템에서 이상 활동을 감지하며 새로운 긴장이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</si>
  <si>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임시 안전 시설에서 도밍고와 안셀모를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</si>
  <si>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위기가 진정되며 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지금까지 밝혀진 모든 작전을 종합 정리하는 마지막 세션을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</si>
  <si>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다음 단계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 검거를 향한 본격적인 준비를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</si>
  <si>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지금까지의 여정에 대한 깊은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</si>
  <si>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마침내 조금은 평온한 저녁을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</si>
  <si>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궁지에 몰린 로셀요가 급전 마련을 위해 직접 개입한 온라인 투자사기 조 직을 빅토르가 밝힙니다 — 텔레그램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리딩방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통한 폰지 스킴입니다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</si>
  <si>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세션에 합류해 다섯 개 채널의 자금 흐름을 추적하기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</si>
  <si>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피해자 한 명을 인터뷰하며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사기가 실제 사람들에게 미친 피해를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</si>
  <si>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법원의 계좌 동결 승인을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</si>
  <si>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로셀요와 연결된 국제 장기매매 브로커 조직을 밝힙니다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 지 다룬 것 중 가장 인간의 존엄을 직접적으로 해치는 범죄로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 모두 무거운 침묵 속에 대화를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</si>
  <si>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사건의 심각성에 감정적으로 반응하며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인신매매 전담 기구와의 협조를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</si>
  <si>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전담 경찰 부서와의 협조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</si>
  <si>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텔레그램 채널을 통해 발견한 루마니아 모집책 관련 자금줄을 추적 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</si>
  <si>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스위스 재단 연구자들의 공모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</si>
  <si>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조치를 취하며 세션에서 그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</si>
  <si>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사건이 남긴 감정적 무게에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</si>
  <si>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한 피해 생존자를 인터뷰하며 그의 이야기를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</si>
  <si>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하비에르의 취재 결과를 바탕으로 정책 제안을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</si>
  <si>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동남아시아 클리닉 쪽 자금 흐름을 추가로 조사한 결과를 세션에 보고합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</si>
  <si>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인터폴과의 공조 결과가 도착하며 세션에서 국제 수사 진전을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</si>
  <si>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사건에서 배운 국제 인신매매 재정추적 방법론을 향후 사건에 적용할 방안을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</si>
  <si>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 관련 최종 조치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</si>
  <si>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취재원과의 인터뷰를 곱씹으며 카밀라와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</si>
  <si>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재판이 시작되며 알바로가 그 재판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</si>
  <si>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결과가 나오며 세션에서 최종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</si>
  <si>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피해자 지원기금 설계 과정에 자문으로 참여하며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그 경험을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</si>
  <si>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기금 분배 시스템 구축을 완료하며 세션에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</si>
  <si>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 전체를 되짚으며 팀에게 마지막 소회를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</si>
  <si>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후속 기사에서 피해자 지원기금의 진행 상황을 취재하며 세션에 최신 소식 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</si>
  <si>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사건 전체를 마무리하며 조용한 저녁을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</si>
  <si>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알바로가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인사를 나눈 뒤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</si>
  <si>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로셀요가 자금을 세탁해온 제약회사의 임상시험 데이터 조작 사건을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</si>
  <si>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규제당국의 대응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</si>
  <si>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제약회사와 로셀요를 연결하는 자금 흐름의 완전한 그림을 세션에서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</si>
  <si>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임상시험에 참여했던 피해 환자를 인터뷰하며 실제 부작용 사례를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</si>
  <si>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이 환자 사례를 규제당국에 어떻게 전달할지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</si>
  <si>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승인이 나오며 세션에서 의료기록 확보 절차를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</si>
  <si>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규제당국이 긴급 안전 경보를 발령하며 세션에서 그 결과가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</si>
  <si>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리카르도 푸엔테스 살라사르의 정확한 역할을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</si>
  <si>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 피해자를 인터뷰하며 사건의 인간적 파장을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</si>
  <si>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사망 사례를 포함한 새로운 증거를 검토하며 형사 고발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</si>
  <si>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사망 사례 전체 검토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</si>
  <si>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그 파장이 즉시 나타납니다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</si>
  <si>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정식 수사에 착수하며 리카르도 푸엔테스 살라사르가 체포됩니다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</si>
  <si>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 사건이 로셀요 검거에 갖는 전략적 의미를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</si>
  <si>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푸엔테스 살라사르가 협조를 결정하며 그 진술 내용이 세션에서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</si>
  <si>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IP </t>
    </r>
    <r>
      <rPr>
        <sz val="11"/>
        <rFont val="WenQuanYi Zen Hei"/>
        <family val="2"/>
      </rPr>
      <t xml:space="preserve">추적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</si>
  <si>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제약회사 관련 재판이 시작되며 알바로가 그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</si>
  <si>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나오며 세션에서 그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</si>
  <si>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사망한 환자의 딸에게 판결 소식을 전하며 짧은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</si>
  <si>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임상시험 전반의 제도 개선안을 논의하며 이 사건에서 배운 교훈을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</si>
  <si>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사건이 로셀요 검거에 갖는 의미를 정리하며 다음 단계를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</si>
  <si>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전체가 지금까지 다룬 모든 사건을 종합하며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검거 국면으로의 전환을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</si>
  <si>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 전환점에 대한 감회를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</si>
  <si>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 상황을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</si>
  <si>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도착하며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</si>
  <si>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로셀요와 연결된 국제 예술품 위조 공방을 밝힙니다 — 유명 작가의 작품을 정교하게 위조해 경매시장에 유통시키는 조직입니다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</si>
  <si>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결제 흐름을 통해 공방의 대략적 위치를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</si>
  <si>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급습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경찰이 론다 인근 공방을 급습하며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실시간으로 상황을 보고받습니다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</si>
  <si>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에밀리오를 면회하며 그의 이야기를 직접 듣습니다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</si>
  <si>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압수한 통신 기록 분석 결과와 미술관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경매업계 통보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</si>
  <si>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압수된 컴퓨터에서 추가 증거를 발견하며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</si>
  <si>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언어 분석 결과가 나오며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</si>
  <si>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국제 미술계의 반응이 나타납니다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파장을 논 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</si>
  <si>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남아있는 재무적 실마리를 더 조사하며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관련된 두 번째 위조 공방의 흔적을 발견합니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</si>
  <si>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공조 결과와 함께 카밀라가 이탈리아 측 협조 성과를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</si>
  <si>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예술품 위조 사건이 남긴 여운에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</si>
  <si>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에밀리오 재판 준비 상황과 위조 미술품 회수 절차에 대해 업데이트합니</t>
    </r>
  </si>
  <si>
    <r>
      <rPr>
        <sz val="11"/>
        <rFont val="WenQuanYi Zen Hei"/>
        <family val="2"/>
      </rPr>
      <t xml:space="preserve">마지막 정리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사건에서 얻은 교훈과 예술시장 규제 개선안을 논의하며 아크 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</si>
  <si>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</si>
  <si>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세션으로 돌아와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공방 재판 결과와 유럽 전역의 후속 대응을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</si>
  <si>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측 재판 준비 상황과 유럽 공조 성과를 종합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</si>
  <si>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전체 사건이 자신에게 남긴 깊은 인상을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</si>
  <si>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포르투갈 쪽 의혹을 추가로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</si>
  <si>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세션의 마지막 장면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사건을 공식적으로 종결하며 다음 사건으로 넘어갈 준비를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</si>
  <si>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전하며 대화가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</si>
  <si>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국면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푸른 열차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로셀요의 실제 이동 패턴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항공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 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추적해 예측 가능한 규칙을 찾는 첫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</si>
  <si>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카드 사용 패턴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</si>
  <si>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감시 배치 계획을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당국과의 공조를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</si>
  <si>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열흘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첫날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실시간으로 결과를 기다립니다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</si>
  <si>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이탈리아 경찰이 밀라노역에서 로셀요를 목격한 뒤 후속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</si>
  <si>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밀라노 건물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</si>
  <si>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달 감시를 강화하는 계획을 세우며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당국과 확대된 공조를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</si>
  <si>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로셀요를 직접 목격한 순간의 감정을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</si>
  <si>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감시 사이클이 시작되며 세션에서 새로운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</si>
  <si>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경호 차량이 자칼 팀과 관련이 있을 가능성을 제기합니다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</si>
  <si>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발견에 대한 대응 전략을 정리하며 다음 단계를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</si>
  <si>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다른 두 노선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취리히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파리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리스본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대한 조사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</si>
  <si>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감시 사이클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이번엔 더 가까이서 관찰하며 새로운 정보를 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</si>
  <si>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여성의 신원을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</si>
  <si>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세 번째 관찰 주기 전체를 종합하며 다음 단계로 넘어갈 시점을 판단합니다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</si>
  <si>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밀라노 감시를 계속 유지할지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아니면 자원을 재배치할지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</si>
  <si>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작전의 성과를 되짚으며 저녁을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</si>
  <si>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모여 푸른 열차 작전을 공식적으로 마무리하며 종합 요약을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</si>
  <si>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팀에게 잠시 휴식을 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세션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</si>
  <si>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 짧은 휴식일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조용한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</si>
  <si>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재개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묘지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제네바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칸타브리아 등 과거 흔적들을 다시 파헤쳐 예측 가능한 패턴을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</si>
  <si>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제네바 호텔 재방문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</si>
  <si>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니스 사건의 노트북에 대해 다시 조사한 결과를 세션에서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</si>
  <si>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복구된 파일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</si>
  <si>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루체른 부동산 등기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</si>
  <si>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 저택 사건도 재검토할 것을 제안하며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그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</si>
  <si>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칸타브리아 저택의 최근 활동 기록을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</si>
  <si>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도밍고에게 그 방에 대해 물어보며 새로운 단서를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</si>
  <si>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방 진입을 위한 법적 절차와 실행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</si>
  <si>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승인이 나오며 팀이 칸타브리아 저택으로 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</si>
  <si>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문이 열리며 방 내부의 발견이 실시간으로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</si>
  <si>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금고 개봉이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안의 내용이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</si>
  <si>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팀 전체가 발견한 편지 중 하나를 함께 읽습니다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</si>
  <si>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루체른 재단 관련 새로운 정보와 니스 노트북 결과가 종합됩니다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</si>
  <si>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루체른 재단 조사를 위한 스위스 당국 협조 절차를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</si>
  <si>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재단 관리인을 특정한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</si>
  <si>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변호사와의 면담이 성사되며 그 내용이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</si>
  <si>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통신 기록 분석 결과가 나오며 결정적 단서가 발견됩니다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</si>
  <si>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묘지 작전 전체를 종합하며 다음 단계인 바위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</si>
  <si>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도밍고에게 저택 발견 소식을 알리며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그의 협력에 다시 한번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</si>
  <si>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루체른 인근에서 로셀요가 절대 포기하지 못할 고정 거점을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</si>
  <si>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초기 후보 목록을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</si>
  <si>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위성사진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</si>
  <si>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저강도 물리 정찰을 위한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</si>
  <si>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현장에서 실시간으로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</si>
  <si>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정찰팀이 마을에서 밴을 추적하며 새로운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</si>
  <si>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마을 상점 주인과의 대화 시도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</si>
  <si>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왜 이 특정 장소가 그렇게 중요한지 심리적으로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</si>
  <si>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내부 학교 기록을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</si>
  <si>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교사의 생존 여부를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</si>
  <si>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 교사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헤르만 슈미트를 방문하며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</si>
  <si>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슈미트가 로셀요와 관련된 구체적인 기억을 더 들려주며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</si>
  <si>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발견을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그 의미를 이해합니다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</si>
  <si>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검거 전략에 어떻게 활용할지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</si>
  <si>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정찰 사이클이 시작되며 실시간 관찰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</si>
  <si>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드론 정찰이 실행되며 결정적인 시각 확인이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</si>
  <si>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확인 이후 즉시 필요한 보안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</si>
  <si>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마르코스가 경비 시스템에 대한 기술적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</si>
  <si>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바위 작전 전체를 종합하며 다음 단계인 북극성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</si>
  <si>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슈미트를 다시 방문하며 짧은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</si>
  <si>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대화를 세션에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그 의미를 다시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</si>
  <si>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작전 계획의 실무적 다음 단계를 최종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</si>
  <si>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슈미트와의 대화가 남긴 여운을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</si>
  <si>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</si>
  <si>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북극성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이동패턴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정서적 거점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고정자산 데이터 를 종합해 정확한 검거 시점과 방법을 확정하는 마지막 정보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</si>
  <si>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밀라노 방문일에 저택의 경비 인원을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</si>
  <si>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취리히 보안업체에 대한 심화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</si>
  <si>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안면 인식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</si>
  <si>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특수부대 협조를 위한 공식 절차를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</si>
  <si>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첫 공식 회의가 열리며 그 결과가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</si>
  <si>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최적의 시기를 결정하기 위한 구체적 변수들을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</si>
  <si>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당국과의 조율 상황을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</si>
  <si>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밀라노 건물 자체의 물리적 취약점을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</si>
  <si>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CCTV </t>
    </r>
    <r>
      <rPr>
        <sz val="11"/>
        <rFont val="WenQuanYi Zen Hei"/>
        <family val="2"/>
      </rPr>
      <t xml:space="preserve">영상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</si>
  <si>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특수부대와의 합동 브리핑을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 초안을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</si>
  <si>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짧은 시간대의 위험성을 지적하며 대안을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</si>
  <si>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차량 배치 확인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</si>
  <si>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스위스와 이탈리아 팀과의 합동 훈련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</si>
  <si>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훈련 세션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관찰자로서 훈련 과정을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</si>
  <si>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자금 감시를 계속하다가 예상치 못한 이상 신호를 감지합니다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</si>
  <si>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그 이체의 실제 의미를 밝혀내며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</si>
  <si>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체포 후 법적 절차와 언론 대응 계획을 미리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</si>
  <si>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검거 이후 자신의 안전에 대한 우려를 처음으로 솔직하게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</si>
  <si>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새 신분 프로그램 가능성을 처음으로 공식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</si>
  <si>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준비 세션에서 카를로스가 실행 계획 전체를 최종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</si>
  <si>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며칠 뒤 다가올 작전에 대한 마지막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</si>
  <si>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작전 명칭이 확정되며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</si>
  <si>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하루 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검거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 현장 전체를 최종 포 위하는 마지막 준비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</si>
  <si>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각 팀의 구체적 위치와 신호 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</si>
  <si>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실시간 모니터링 시스템을 최종 점검한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</si>
  <si>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자금 확인 결과를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이상 없음을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</si>
  <si>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작전 전날 밤의 긴장을 함께 견딥니다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</si>
  <si>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새벽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밀라노에 있는 조정센터에서 팀 전체가 모입니다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</si>
  <si>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각 팀이 순서대로 배치를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실시간으로 배치 완료를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</si>
  <si>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 도착 시간이 다가오며 팀 전체의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</si>
  <si>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역에서 하차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</si>
  <si>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사무실로 이동하는 동안 경호원들의 위치도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</si>
  <si>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대기 시간 동안 카를로스와 빅토르가 짧은 대화를 나누며 긴장을 관리합니다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</si>
  <si>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예상치 못한 변수가 발생하며 팀에 긴장이 재차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</si>
  <si>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차량의 정체가 확인되며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</si>
  <si>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예정보다 일찍 끝날 조짐이 보이며 팀이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</si>
  <si>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건물에서 나오는 순간이 실시간으로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</si>
  <si>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 속에서 상황이 조금씩 밝혀지며 진짜 이유가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</si>
  <si>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십이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다시 나오며 원래 계획으로 복귀합니다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</si>
  <si>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골목에 접근하며 성채 작전의 목표인 완전 포위가 실시간으로 확정됩니다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</si>
  <si>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 바로 개입할지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단계로 미룰지 최종 결정을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</si>
  <si>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접근하는 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</si>
  <si>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결정적 순간에 실행을 잠시 보류하며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성채 작전의 목적이 완수됐음을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</si>
  <si>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팀이 철수하며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작전에서 얻은 확신을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</si>
  <si>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마드리드로 돌아가는 비행기에서 알바로와 카밀라가 하루를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</si>
  <si>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작전 전체를 상세히 복기하며 개선점을 찾습니다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</si>
  <si>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로셀요의 갑작스러운 회귀에 대한 심리적 해석을 제시하며 마지막 통찰을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</si>
  <si>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실행 사이클을 위한 최종 준비 지시를 내리며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</si>
  <si>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예상보다 이른 재정 이상 신호를 감지하며 계획 조정이 필요해집니다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</si>
  <si>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티켓 구매를 확인하며 실행 확정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</si>
  <si>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마지막으로 짧게 서로를 다잡습니다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</si>
  <si>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 조정센터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체크메이트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시작됩니다 — 시리즈 전체의 클라이맥스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실제 검거입니다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</si>
  <si>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최종 프로토콜을 명료하게 확인시키며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순간의 정확한 신호체계를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</si>
  <si>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기차가 역에 접근하며 긴장이 다시 최고조에 이릅니다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</si>
  <si>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하차하며 예정된 경로로 이동하는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</si>
  <si>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삼십오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끝나며 로셀요가 건물을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</si>
  <si>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</si>
  <si>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신호를 내리며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몇 달간의 추적이 마침내 실행으로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</si>
  <si>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조정센터에서 팀 전체가 이 순간을 받아들이며 감정이 폭발합니다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</si>
  <si>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즉시 사법 절차와 공동 발표 준비를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</si>
  <si>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취리히 구금시설에서 로셀요와 처음으로 검거 후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</si>
  <si>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대화가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처음으로 후회에 가까운 말을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</si>
  <si>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협조 가능성을 조심스럽게 언급하며 대화를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</si>
  <si>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팀에게 돌아가 로셀요와의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</si>
  <si>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공동 기자회견 시간이 다가오며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기사와 함께 공식 발표가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</si>
  <si>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도밍고와 안셀모에게 검거 소식을 직접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</si>
  <si>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증인보호 프로그램 결정을 다시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</si>
  <si>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마드리드로 돌아가는 비행기에서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</si>
  <si>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공식적으로 협조 의사를 밝히며 세션에서 그 소식을 다룹니다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</si>
  <si>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조건이 승인되며 로셀요의 첫 공식 진술이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</si>
  <si>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몰수된 자산으로 피해자 보상기금을 설계하는 작업을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</si>
  <si>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</si>
  <si>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법정에서 처음이자 유일하게 직접 발언합니다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</si>
  <si>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판결이 내려지며 알바로가 그 순간을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</si>
  <si>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팀 전체를 모아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개 작전 전체를 회고하는 마지막 정식 세션을 시작합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</si>
  <si>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자신의 새로운 삶으로의 전환에 대해 마지막으로 팀에게 작별을 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</si>
  <si>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마지막으로 개인적인 순간을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</si>
  <si>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신문사 사무실에서 자신의 완결된 취재기획 기사를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</si>
  <si>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자신들의 관계와 미래에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</si>
  <si>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 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완결된 보상기금 최종 보고서를 세션 형식으로 팀에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</si>
  <si>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마르코스와 함께 이 시리즈 전체가 남긴 기술적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제도적 유산을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</si>
  <si>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로셀요에게 수감 중인 감옥에서 마지막으로 편지를 받으며 예상치 못한 소식을 전합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</si>
  <si>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새로운 단서를 받아들이며 팀에게 다음 국면을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</si>
  <si>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소식을 바탕으로 새로운 기사의 첫 문장을 쓰기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</si>
  <si>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마지막으로 다시 모이며 새로운 국면의 공식 개시를 선언합니다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</si>
  <si>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시리즈 전체를 돌아보며 마지막 성찰을 독백처럼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</si>
  <si>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알바로 옆에서 그 마지막 문장을 함께 읽으며 조용히 반응합니다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</si>
  <si>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기사를 전송하며 새로운 여정의 첫걸음을 내딛습니다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</si>
  <si>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전체 시리즈를 정리하며 팀에게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</si>
  <si>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그날 아침 신문에서 읽은 세우타 이민 사태 기사 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</si>
  <si>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만레사에서 벌어진 살인 사건과 그것을 둘러싼 정 치적 논쟁에 대한 신문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</si>
  <si>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미국 트럼프 행정부가 각 주에 미등록 이민자 신고 를 강제하는 정책에 대한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</si>
  <si>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무거운 화제 대신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그날 아침 읽은 여름 요리 기사를 가볍게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</si>
  <si>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라이프치히 드론 공격을 </t>
    </r>
    <r>
      <rPr>
        <sz val="11"/>
        <rFont val="Arial"/>
        <family val="0"/>
        <charset val="1"/>
      </rPr>
      <t xml:space="preserve">EU</t>
    </r>
    <r>
      <rPr>
        <sz val="11"/>
        <rFont val="WenQuanYi Zen Hei"/>
        <family val="2"/>
      </rPr>
      <t xml:space="preserve">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국가 후원 테러리즘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으로 규정한 기사를 화제로 꺼냅니다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</si>
  <si>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알바로 이야기 첨부 문서</t>
    </r>
    <r>
      <rPr>
        <b val="true"/>
        <sz val="11"/>
        <rFont val="Arial"/>
        <family val="0"/>
        <charset val="1"/>
      </rPr>
      <t xml:space="preserve">(6e765f55-…5.docx) </t>
    </r>
    <r>
      <rPr>
        <b val="true"/>
        <sz val="11"/>
        <rFont val="WenQuanYi Zen Hei"/>
        <family val="2"/>
      </rPr>
      <t xml:space="preserve">부작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화 구분표</t>
    </r>
  </si>
  <si>
    <t xml:space="preserve">구분 기준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</si>
  <si>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문서에서 장면마다 붙은 한국어 상황 설명 문단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= 1</t>
    </r>
    <r>
      <rPr>
        <sz val="11"/>
        <rFont val="WenQuanYi Zen Hei"/>
        <family val="2"/>
      </rPr>
      <t xml:space="preserve">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979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</si>
  <si>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상황 설명의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취재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세션</t>
    </r>
    <r>
      <rPr>
        <sz val="11"/>
        <rFont val="Arial"/>
        <family val="0"/>
        <charset val="1"/>
      </rPr>
      <t xml:space="preserve">", "</t>
    </r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", </t>
    </r>
    <r>
      <rPr>
        <sz val="11"/>
        <rFont val="WenQuanYi Zen Hei"/>
        <family val="2"/>
      </rPr>
      <t xml:space="preserve">사건 마무리 문구와 사건 주제가 바뀌는 지점으로 묶음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65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</si>
  <si>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파트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부작을 크게 묶은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분류 </t>
    </r>
    <r>
      <rPr>
        <sz val="11"/>
        <rFont val="Arial"/>
        <family val="0"/>
        <charset val="1"/>
      </rPr>
      <t xml:space="preserve">(A </t>
    </r>
    <r>
      <rPr>
        <sz val="11"/>
        <rFont val="WenQuanYi Zen Hei"/>
        <family val="2"/>
      </rPr>
      <t xml:space="preserve">일상 회화</t>
    </r>
    <r>
      <rPr>
        <sz val="11"/>
        <rFont val="Arial"/>
        <family val="0"/>
        <charset val="1"/>
      </rPr>
      <t xml:space="preserve">, B </t>
    </r>
    <r>
      <rPr>
        <sz val="11"/>
        <rFont val="WenQuanYi Zen Hei"/>
        <family val="2"/>
      </rPr>
      <t xml:space="preserve">카를로스 사건집</t>
    </r>
    <r>
      <rPr>
        <sz val="11"/>
        <rFont val="Arial"/>
        <family val="0"/>
        <charset val="1"/>
      </rPr>
      <t xml:space="preserve">, C EU </t>
    </r>
    <r>
      <rPr>
        <sz val="11"/>
        <rFont val="WenQuanYi Zen Hei"/>
        <family val="2"/>
      </rPr>
      <t xml:space="preserve">로비</t>
    </r>
    <r>
      <rPr>
        <sz val="11"/>
        <rFont val="Arial"/>
        <family val="0"/>
        <charset val="1"/>
      </rPr>
      <t xml:space="preserve">, D </t>
    </r>
    <r>
      <rPr>
        <sz val="11"/>
        <rFont val="WenQuanYi Zen Hei"/>
        <family val="2"/>
      </rPr>
      <t xml:space="preserve">엘 아르키텍토 추적</t>
    </r>
    <r>
      <rPr>
        <sz val="11"/>
        <rFont val="Arial"/>
        <family val="0"/>
        <charset val="1"/>
      </rPr>
      <t xml:space="preserve">, E </t>
    </r>
    <r>
      <rPr>
        <sz val="11"/>
        <rFont val="WenQuanYi Zen Hei"/>
        <family val="2"/>
      </rPr>
      <t xml:space="preserve">빅토르 안전가옥 세션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</si>
  <si>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제목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핵심 내용은 상황 설명을 읽고 직접 붙인 것이며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 원문에 있는 제목이 아닙니다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</si>
  <si>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경계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시작 화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끝 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파란색 입력값입니다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고치면 화 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대화 줄 수 등은 화 목록과 연동되지만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 목록의 부작 번호는 자동 갱신되지 않습니다</t>
    </r>
    <r>
      <rPr>
        <sz val="11"/>
        <rFont val="Arial"/>
        <family val="0"/>
        <charset val="1"/>
      </rPr>
      <t xml:space="preserve">.</t>
    </r>
  </si>
  <si>
    <t xml:space="preserve">한계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</si>
  <si>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 목록의 상황 설명은 원문 발췌이며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원문 줄바꿈 때문에 한글 사이에 공백이 끼어 있는 곳이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</si>
  <si>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대화 줄 수는 상황 설명 다음부터 다음 상황 설명 전까지의 문단 수라서 근사값입니다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줄바꿈된 대사는 여러 줄로 셈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</si>
  <si>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일부 화는 상황 설명이 한두 문장뿐이라 같은 장면이 둘로 나뉘었을 수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</si>
  <si>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"</t>
    </r>
    <r>
      <rPr>
        <sz val="11"/>
        <rFont val="WenQuanYi Zen Hei"/>
        <family val="2"/>
      </rPr>
      <t xml:space="preserve">저장소 해설 폴더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는 장면 수가 일치하는 저장소 폴더</t>
    </r>
    <r>
      <rPr>
        <sz val="11"/>
        <rFont val="Arial"/>
        <family val="0"/>
        <charset val="1"/>
      </rPr>
      <t xml:space="preserve">(S2-…)</t>
    </r>
    <r>
      <rPr>
        <sz val="11"/>
        <rFont val="WenQuanYi Zen Hei"/>
        <family val="2"/>
      </rPr>
      <t xml:space="preserve">를 표시한 것입니다</t>
    </r>
    <r>
      <rPr>
        <sz val="11"/>
        <rFont val="Arial"/>
        <family val="0"/>
        <charset val="1"/>
      </rPr>
      <t xml:space="preserve">. 95~459</t>
    </r>
    <r>
      <rPr>
        <sz val="11"/>
        <rFont val="WenQuanYi Zen Hei"/>
        <family val="2"/>
      </rPr>
      <t xml:space="preserve">화 구간과 대응됩니다</t>
    </r>
    <r>
      <rPr>
        <sz val="11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</si>
</sst>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6" min="4" style="0" width="8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8.35" hidden="false" customHeight="false" outlineLevel="0" collapsed="false">
      <c r="A2" s="2" t="n">
        <v>1</v>
      </c>
      <c r="B2" s="3" t="s">
        <v>9</v>
      </c>
      <c r="C2" s="4" t="s">
        <v>10</v>
      </c>
      <c r="D2" s="5" t="n">
        <v>1</v>
      </c>
      <c r="E2" s="5" t="n">
        <v>7</v>
      </c>
      <c r="F2" s="2" t="n">
        <f aca="false">COUNTIF('화 목록'!$B$2:$B$980,A2)</f>
        <v>7</v>
      </c>
      <c r="G2" s="2" t="n">
        <f aca="false">SUMIF('화 목록'!$B$2:$B$980,A2,'화 목록'!$F$2:$F$980)</f>
        <v>221</v>
      </c>
      <c r="H2" s="4" t="s">
        <v>11</v>
      </c>
      <c r="I2" s="3"/>
    </row>
    <row r="3" customFormat="false" ht="28.35" hidden="false" customHeight="false" outlineLevel="0" collapsed="false">
      <c r="A3" s="2" t="n">
        <v>2</v>
      </c>
      <c r="B3" s="3" t="s">
        <v>9</v>
      </c>
      <c r="C3" s="4" t="s">
        <v>12</v>
      </c>
      <c r="D3" s="5" t="n">
        <v>8</v>
      </c>
      <c r="E3" s="5" t="n">
        <v>13</v>
      </c>
      <c r="F3" s="2" t="n">
        <f aca="false">COUNTIF('화 목록'!$B$2:$B$980,A3)</f>
        <v>6</v>
      </c>
      <c r="G3" s="2" t="n">
        <f aca="false">SUMIF('화 목록'!$B$2:$B$980,A3,'화 목록'!$F$2:$F$980)</f>
        <v>113</v>
      </c>
      <c r="H3" s="4" t="s">
        <v>13</v>
      </c>
      <c r="I3" s="3"/>
    </row>
    <row r="4" customFormat="false" ht="15" hidden="false" customHeight="false" outlineLevel="0" collapsed="false">
      <c r="A4" s="2" t="n">
        <v>3</v>
      </c>
      <c r="B4" s="3" t="s">
        <v>9</v>
      </c>
      <c r="C4" s="4" t="s">
        <v>14</v>
      </c>
      <c r="D4" s="5" t="n">
        <v>14</v>
      </c>
      <c r="E4" s="5" t="n">
        <v>25</v>
      </c>
      <c r="F4" s="2" t="n">
        <f aca="false">COUNTIF('화 목록'!$B$2:$B$980,A4)</f>
        <v>12</v>
      </c>
      <c r="G4" s="2" t="n">
        <f aca="false">SUMIF('화 목록'!$B$2:$B$980,A4,'화 목록'!$F$2:$F$980)</f>
        <v>181</v>
      </c>
      <c r="H4" s="4" t="s">
        <v>15</v>
      </c>
      <c r="I4" s="3"/>
    </row>
    <row r="5" customFormat="false" ht="28.35" hidden="false" customHeight="false" outlineLevel="0" collapsed="false">
      <c r="A5" s="2" t="n">
        <v>4</v>
      </c>
      <c r="B5" s="3" t="s">
        <v>16</v>
      </c>
      <c r="C5" s="4" t="s">
        <v>17</v>
      </c>
      <c r="D5" s="5" t="n">
        <v>26</v>
      </c>
      <c r="E5" s="5" t="n">
        <v>51</v>
      </c>
      <c r="F5" s="2" t="n">
        <f aca="false">COUNTIF('화 목록'!$B$2:$B$980,A5)</f>
        <v>26</v>
      </c>
      <c r="G5" s="2" t="n">
        <f aca="false">SUMIF('화 목록'!$B$2:$B$980,A5,'화 목록'!$F$2:$F$980)</f>
        <v>997</v>
      </c>
      <c r="H5" s="6" t="s">
        <v>18</v>
      </c>
      <c r="I5" s="3"/>
    </row>
    <row r="6" customFormat="false" ht="15" hidden="false" customHeight="false" outlineLevel="0" collapsed="false">
      <c r="A6" s="2" t="n">
        <v>5</v>
      </c>
      <c r="B6" s="3" t="s">
        <v>16</v>
      </c>
      <c r="C6" s="4" t="s">
        <v>19</v>
      </c>
      <c r="D6" s="5" t="n">
        <v>52</v>
      </c>
      <c r="E6" s="5" t="n">
        <v>60</v>
      </c>
      <c r="F6" s="2" t="n">
        <f aca="false">COUNTIF('화 목록'!$B$2:$B$980,A6)</f>
        <v>9</v>
      </c>
      <c r="G6" s="2" t="n">
        <f aca="false">SUMIF('화 목록'!$B$2:$B$980,A6,'화 목록'!$F$2:$F$980)</f>
        <v>294</v>
      </c>
      <c r="H6" s="4" t="s">
        <v>20</v>
      </c>
      <c r="I6" s="3"/>
    </row>
    <row r="7" customFormat="false" ht="15" hidden="false" customHeight="false" outlineLevel="0" collapsed="false">
      <c r="A7" s="2" t="n">
        <v>6</v>
      </c>
      <c r="B7" s="3" t="s">
        <v>16</v>
      </c>
      <c r="C7" s="4" t="s">
        <v>21</v>
      </c>
      <c r="D7" s="5" t="n">
        <v>61</v>
      </c>
      <c r="E7" s="5" t="n">
        <v>65</v>
      </c>
      <c r="F7" s="2" t="n">
        <f aca="false">COUNTIF('화 목록'!$B$2:$B$980,A7)</f>
        <v>5</v>
      </c>
      <c r="G7" s="2" t="n">
        <f aca="false">SUMIF('화 목록'!$B$2:$B$980,A7,'화 목록'!$F$2:$F$980)</f>
        <v>142</v>
      </c>
      <c r="H7" s="4" t="s">
        <v>22</v>
      </c>
      <c r="I7" s="3"/>
    </row>
    <row r="8" customFormat="false" ht="28.35" hidden="false" customHeight="false" outlineLevel="0" collapsed="false">
      <c r="A8" s="2" t="n">
        <v>7</v>
      </c>
      <c r="B8" s="3" t="s">
        <v>16</v>
      </c>
      <c r="C8" s="4" t="s">
        <v>23</v>
      </c>
      <c r="D8" s="5" t="n">
        <v>66</v>
      </c>
      <c r="E8" s="5" t="n">
        <v>94</v>
      </c>
      <c r="F8" s="2" t="n">
        <f aca="false">COUNTIF('화 목록'!$B$2:$B$980,A8)</f>
        <v>29</v>
      </c>
      <c r="G8" s="2" t="n">
        <f aca="false">SUMIF('화 목록'!$B$2:$B$980,A8,'화 목록'!$F$2:$F$980)</f>
        <v>731</v>
      </c>
      <c r="H8" s="4" t="s">
        <v>24</v>
      </c>
      <c r="I8" s="3"/>
    </row>
    <row r="9" customFormat="false" ht="15" hidden="false" customHeight="false" outlineLevel="0" collapsed="false">
      <c r="A9" s="2" t="n">
        <v>8</v>
      </c>
      <c r="B9" s="3" t="s">
        <v>16</v>
      </c>
      <c r="C9" s="4" t="s">
        <v>25</v>
      </c>
      <c r="D9" s="5" t="n">
        <v>95</v>
      </c>
      <c r="E9" s="5" t="n">
        <v>114</v>
      </c>
      <c r="F9" s="2" t="n">
        <f aca="false">COUNTIF('화 목록'!$B$2:$B$980,A9)</f>
        <v>20</v>
      </c>
      <c r="G9" s="2" t="n">
        <f aca="false">SUMIF('화 목록'!$B$2:$B$980,A9,'화 목록'!$F$2:$F$980)</f>
        <v>382</v>
      </c>
      <c r="H9" s="4" t="s">
        <v>26</v>
      </c>
      <c r="I9" s="3" t="s">
        <v>27</v>
      </c>
    </row>
    <row r="10" customFormat="false" ht="15" hidden="false" customHeight="false" outlineLevel="0" collapsed="false">
      <c r="A10" s="2" t="n">
        <v>9</v>
      </c>
      <c r="B10" s="3" t="s">
        <v>16</v>
      </c>
      <c r="C10" s="4" t="s">
        <v>28</v>
      </c>
      <c r="D10" s="5" t="n">
        <v>115</v>
      </c>
      <c r="E10" s="5" t="n">
        <v>121</v>
      </c>
      <c r="F10" s="2" t="n">
        <f aca="false">COUNTIF('화 목록'!$B$2:$B$980,A10)</f>
        <v>7</v>
      </c>
      <c r="G10" s="2" t="n">
        <f aca="false">SUMIF('화 목록'!$B$2:$B$980,A10,'화 목록'!$F$2:$F$980)</f>
        <v>114</v>
      </c>
      <c r="H10" s="4" t="s">
        <v>29</v>
      </c>
      <c r="I10" s="3"/>
    </row>
    <row r="11" customFormat="false" ht="15" hidden="false" customHeight="false" outlineLevel="0" collapsed="false">
      <c r="A11" s="2" t="n">
        <v>10</v>
      </c>
      <c r="B11" s="3" t="s">
        <v>16</v>
      </c>
      <c r="C11" s="4" t="s">
        <v>30</v>
      </c>
      <c r="D11" s="5" t="n">
        <v>122</v>
      </c>
      <c r="E11" s="5" t="n">
        <v>130</v>
      </c>
      <c r="F11" s="2" t="n">
        <f aca="false">COUNTIF('화 목록'!$B$2:$B$980,A11)</f>
        <v>9</v>
      </c>
      <c r="G11" s="2" t="n">
        <f aca="false">SUMIF('화 목록'!$B$2:$B$980,A11,'화 목록'!$F$2:$F$980)</f>
        <v>165</v>
      </c>
      <c r="H11" s="4" t="s">
        <v>31</v>
      </c>
      <c r="I11" s="3" t="s">
        <v>32</v>
      </c>
    </row>
    <row r="12" customFormat="false" ht="15" hidden="false" customHeight="false" outlineLevel="0" collapsed="false">
      <c r="A12" s="2" t="n">
        <v>11</v>
      </c>
      <c r="B12" s="3" t="s">
        <v>16</v>
      </c>
      <c r="C12" s="4" t="s">
        <v>33</v>
      </c>
      <c r="D12" s="5" t="n">
        <v>131</v>
      </c>
      <c r="E12" s="5" t="n">
        <v>137</v>
      </c>
      <c r="F12" s="2" t="n">
        <f aca="false">COUNTIF('화 목록'!$B$2:$B$980,A12)</f>
        <v>7</v>
      </c>
      <c r="G12" s="2" t="n">
        <f aca="false">SUMIF('화 목록'!$B$2:$B$980,A12,'화 목록'!$F$2:$F$980)</f>
        <v>91</v>
      </c>
      <c r="H12" s="4" t="s">
        <v>34</v>
      </c>
      <c r="I12" s="3"/>
    </row>
    <row r="13" customFormat="false" ht="15" hidden="false" customHeight="false" outlineLevel="0" collapsed="false">
      <c r="A13" s="2" t="n">
        <v>12</v>
      </c>
      <c r="B13" s="3" t="s">
        <v>16</v>
      </c>
      <c r="C13" s="4" t="s">
        <v>35</v>
      </c>
      <c r="D13" s="5" t="n">
        <v>138</v>
      </c>
      <c r="E13" s="5" t="n">
        <v>145</v>
      </c>
      <c r="F13" s="2" t="n">
        <f aca="false">COUNTIF('화 목록'!$B$2:$B$980,A13)</f>
        <v>8</v>
      </c>
      <c r="G13" s="2" t="n">
        <f aca="false">SUMIF('화 목록'!$B$2:$B$980,A13,'화 목록'!$F$2:$F$980)</f>
        <v>106</v>
      </c>
      <c r="H13" s="4" t="s">
        <v>36</v>
      </c>
      <c r="I13" s="3" t="s">
        <v>37</v>
      </c>
    </row>
    <row r="14" customFormat="false" ht="15" hidden="false" customHeight="false" outlineLevel="0" collapsed="false">
      <c r="A14" s="2" t="n">
        <v>13</v>
      </c>
      <c r="B14" s="3" t="s">
        <v>16</v>
      </c>
      <c r="C14" s="6" t="s">
        <v>38</v>
      </c>
      <c r="D14" s="5" t="n">
        <v>146</v>
      </c>
      <c r="E14" s="5" t="n">
        <v>152</v>
      </c>
      <c r="F14" s="2" t="n">
        <f aca="false">COUNTIF('화 목록'!$B$2:$B$980,A14)</f>
        <v>7</v>
      </c>
      <c r="G14" s="2" t="n">
        <f aca="false">SUMIF('화 목록'!$B$2:$B$980,A14,'화 목록'!$F$2:$F$980)</f>
        <v>79</v>
      </c>
      <c r="H14" s="6" t="s">
        <v>39</v>
      </c>
      <c r="I14" s="3"/>
    </row>
    <row r="15" customFormat="false" ht="15" hidden="false" customHeight="false" outlineLevel="0" collapsed="false">
      <c r="A15" s="2" t="n">
        <v>14</v>
      </c>
      <c r="B15" s="3" t="s">
        <v>16</v>
      </c>
      <c r="C15" s="4" t="s">
        <v>40</v>
      </c>
      <c r="D15" s="5" t="n">
        <v>153</v>
      </c>
      <c r="E15" s="5" t="n">
        <v>158</v>
      </c>
      <c r="F15" s="2" t="n">
        <f aca="false">COUNTIF('화 목록'!$B$2:$B$980,A15)</f>
        <v>6</v>
      </c>
      <c r="G15" s="2" t="n">
        <f aca="false">SUMIF('화 목록'!$B$2:$B$980,A15,'화 목록'!$F$2:$F$980)</f>
        <v>63</v>
      </c>
      <c r="H15" s="4" t="s">
        <v>41</v>
      </c>
      <c r="I15" s="3"/>
    </row>
    <row r="16" customFormat="false" ht="15" hidden="false" customHeight="false" outlineLevel="0" collapsed="false">
      <c r="A16" s="2" t="n">
        <v>15</v>
      </c>
      <c r="B16" s="3" t="s">
        <v>16</v>
      </c>
      <c r="C16" s="4" t="s">
        <v>42</v>
      </c>
      <c r="D16" s="5" t="n">
        <v>159</v>
      </c>
      <c r="E16" s="5" t="n">
        <v>164</v>
      </c>
      <c r="F16" s="2" t="n">
        <f aca="false">COUNTIF('화 목록'!$B$2:$B$980,A16)</f>
        <v>6</v>
      </c>
      <c r="G16" s="2" t="n">
        <f aca="false">SUMIF('화 목록'!$B$2:$B$980,A16,'화 목록'!$F$2:$F$980)</f>
        <v>66</v>
      </c>
      <c r="H16" s="4" t="s">
        <v>43</v>
      </c>
      <c r="I16" s="3"/>
    </row>
    <row r="17" customFormat="false" ht="15" hidden="false" customHeight="false" outlineLevel="0" collapsed="false">
      <c r="A17" s="2" t="n">
        <v>16</v>
      </c>
      <c r="B17" s="3" t="s">
        <v>16</v>
      </c>
      <c r="C17" s="4" t="s">
        <v>44</v>
      </c>
      <c r="D17" s="5" t="n">
        <v>165</v>
      </c>
      <c r="E17" s="5" t="n">
        <v>167</v>
      </c>
      <c r="F17" s="2" t="n">
        <f aca="false">COUNTIF('화 목록'!$B$2:$B$980,A17)</f>
        <v>3</v>
      </c>
      <c r="G17" s="2" t="n">
        <f aca="false">SUMIF('화 목록'!$B$2:$B$980,A17,'화 목록'!$F$2:$F$980)</f>
        <v>37</v>
      </c>
      <c r="H17" s="4" t="s">
        <v>45</v>
      </c>
      <c r="I17" s="3"/>
    </row>
    <row r="18" customFormat="false" ht="15" hidden="false" customHeight="false" outlineLevel="0" collapsed="false">
      <c r="A18" s="2" t="n">
        <v>17</v>
      </c>
      <c r="B18" s="3" t="s">
        <v>16</v>
      </c>
      <c r="C18" s="4" t="s">
        <v>46</v>
      </c>
      <c r="D18" s="5" t="n">
        <v>168</v>
      </c>
      <c r="E18" s="5" t="n">
        <v>171</v>
      </c>
      <c r="F18" s="2" t="n">
        <f aca="false">COUNTIF('화 목록'!$B$2:$B$980,A18)</f>
        <v>4</v>
      </c>
      <c r="G18" s="2" t="n">
        <f aca="false">SUMIF('화 목록'!$B$2:$B$980,A18,'화 목록'!$F$2:$F$980)</f>
        <v>47</v>
      </c>
      <c r="H18" s="4" t="s">
        <v>47</v>
      </c>
      <c r="I18" s="3"/>
    </row>
    <row r="19" customFormat="false" ht="15" hidden="false" customHeight="false" outlineLevel="0" collapsed="false">
      <c r="A19" s="2" t="n">
        <v>18</v>
      </c>
      <c r="B19" s="3" t="s">
        <v>16</v>
      </c>
      <c r="C19" s="4" t="s">
        <v>48</v>
      </c>
      <c r="D19" s="5" t="n">
        <v>172</v>
      </c>
      <c r="E19" s="5" t="n">
        <v>178</v>
      </c>
      <c r="F19" s="2" t="n">
        <f aca="false">COUNTIF('화 목록'!$B$2:$B$980,A19)</f>
        <v>7</v>
      </c>
      <c r="G19" s="2" t="n">
        <f aca="false">SUMIF('화 목록'!$B$2:$B$980,A19,'화 목록'!$F$2:$F$980)</f>
        <v>106</v>
      </c>
      <c r="H19" s="4" t="s">
        <v>49</v>
      </c>
      <c r="I19" s="3"/>
    </row>
    <row r="20" customFormat="false" ht="28.35" hidden="false" customHeight="false" outlineLevel="0" collapsed="false">
      <c r="A20" s="2" t="n">
        <v>19</v>
      </c>
      <c r="B20" s="3" t="s">
        <v>16</v>
      </c>
      <c r="C20" s="4" t="s">
        <v>50</v>
      </c>
      <c r="D20" s="5" t="n">
        <v>179</v>
      </c>
      <c r="E20" s="5" t="n">
        <v>188</v>
      </c>
      <c r="F20" s="2" t="n">
        <f aca="false">COUNTIF('화 목록'!$B$2:$B$980,A20)</f>
        <v>10</v>
      </c>
      <c r="G20" s="2" t="n">
        <f aca="false">SUMIF('화 목록'!$B$2:$B$980,A20,'화 목록'!$F$2:$F$980)</f>
        <v>144</v>
      </c>
      <c r="H20" s="4" t="s">
        <v>51</v>
      </c>
      <c r="I20" s="3"/>
    </row>
    <row r="21" customFormat="false" ht="15" hidden="false" customHeight="false" outlineLevel="0" collapsed="false">
      <c r="A21" s="2" t="n">
        <v>20</v>
      </c>
      <c r="B21" s="3" t="s">
        <v>16</v>
      </c>
      <c r="C21" s="4" t="s">
        <v>52</v>
      </c>
      <c r="D21" s="5" t="n">
        <v>189</v>
      </c>
      <c r="E21" s="5" t="n">
        <v>195</v>
      </c>
      <c r="F21" s="2" t="n">
        <f aca="false">COUNTIF('화 목록'!$B$2:$B$980,A21)</f>
        <v>7</v>
      </c>
      <c r="G21" s="2" t="n">
        <f aca="false">SUMIF('화 목록'!$B$2:$B$980,A21,'화 목록'!$F$2:$F$980)</f>
        <v>95</v>
      </c>
      <c r="H21" s="4" t="s">
        <v>53</v>
      </c>
      <c r="I21" s="3"/>
    </row>
    <row r="22" customFormat="false" ht="15" hidden="false" customHeight="false" outlineLevel="0" collapsed="false">
      <c r="A22" s="2" t="n">
        <v>21</v>
      </c>
      <c r="B22" s="3" t="s">
        <v>16</v>
      </c>
      <c r="C22" s="4" t="s">
        <v>54</v>
      </c>
      <c r="D22" s="5" t="n">
        <v>196</v>
      </c>
      <c r="E22" s="5" t="n">
        <v>202</v>
      </c>
      <c r="F22" s="2" t="n">
        <f aca="false">COUNTIF('화 목록'!$B$2:$B$980,A22)</f>
        <v>7</v>
      </c>
      <c r="G22" s="2" t="n">
        <f aca="false">SUMIF('화 목록'!$B$2:$B$980,A22,'화 목록'!$F$2:$F$980)</f>
        <v>91</v>
      </c>
      <c r="H22" s="4" t="s">
        <v>55</v>
      </c>
      <c r="I22" s="3"/>
    </row>
    <row r="23" customFormat="false" ht="28.35" hidden="false" customHeight="false" outlineLevel="0" collapsed="false">
      <c r="A23" s="2" t="n">
        <v>22</v>
      </c>
      <c r="B23" s="3" t="s">
        <v>16</v>
      </c>
      <c r="C23" s="4" t="s">
        <v>56</v>
      </c>
      <c r="D23" s="5" t="n">
        <v>203</v>
      </c>
      <c r="E23" s="5" t="n">
        <v>212</v>
      </c>
      <c r="F23" s="2" t="n">
        <f aca="false">COUNTIF('화 목록'!$B$2:$B$980,A23)</f>
        <v>10</v>
      </c>
      <c r="G23" s="2" t="n">
        <f aca="false">SUMIF('화 목록'!$B$2:$B$980,A23,'화 목록'!$F$2:$F$980)</f>
        <v>128</v>
      </c>
      <c r="H23" s="4" t="s">
        <v>57</v>
      </c>
      <c r="I23" s="3"/>
    </row>
    <row r="24" customFormat="false" ht="15" hidden="false" customHeight="false" outlineLevel="0" collapsed="false">
      <c r="A24" s="2" t="n">
        <v>23</v>
      </c>
      <c r="B24" s="3" t="s">
        <v>16</v>
      </c>
      <c r="C24" s="4" t="s">
        <v>58</v>
      </c>
      <c r="D24" s="5" t="n">
        <v>213</v>
      </c>
      <c r="E24" s="5" t="n">
        <v>219</v>
      </c>
      <c r="F24" s="2" t="n">
        <f aca="false">COUNTIF('화 목록'!$B$2:$B$980,A24)</f>
        <v>7</v>
      </c>
      <c r="G24" s="2" t="n">
        <f aca="false">SUMIF('화 목록'!$B$2:$B$980,A24,'화 목록'!$F$2:$F$980)</f>
        <v>75</v>
      </c>
      <c r="H24" s="4" t="s">
        <v>59</v>
      </c>
      <c r="I24" s="3"/>
    </row>
    <row r="25" customFormat="false" ht="15" hidden="false" customHeight="false" outlineLevel="0" collapsed="false">
      <c r="A25" s="2" t="n">
        <v>24</v>
      </c>
      <c r="B25" s="3" t="s">
        <v>16</v>
      </c>
      <c r="C25" s="4" t="s">
        <v>60</v>
      </c>
      <c r="D25" s="5" t="n">
        <v>220</v>
      </c>
      <c r="E25" s="5" t="n">
        <v>227</v>
      </c>
      <c r="F25" s="2" t="n">
        <f aca="false">COUNTIF('화 목록'!$B$2:$B$980,A25)</f>
        <v>8</v>
      </c>
      <c r="G25" s="2" t="n">
        <f aca="false">SUMIF('화 목록'!$B$2:$B$980,A25,'화 목록'!$F$2:$F$980)</f>
        <v>97</v>
      </c>
      <c r="H25" s="4" t="s">
        <v>61</v>
      </c>
      <c r="I25" s="3"/>
    </row>
    <row r="26" customFormat="false" ht="15" hidden="false" customHeight="false" outlineLevel="0" collapsed="false">
      <c r="A26" s="2" t="n">
        <v>25</v>
      </c>
      <c r="B26" s="3" t="s">
        <v>16</v>
      </c>
      <c r="C26" s="4" t="s">
        <v>62</v>
      </c>
      <c r="D26" s="5" t="n">
        <v>228</v>
      </c>
      <c r="E26" s="5" t="n">
        <v>243</v>
      </c>
      <c r="F26" s="2" t="n">
        <f aca="false">COUNTIF('화 목록'!$B$2:$B$980,A26)</f>
        <v>16</v>
      </c>
      <c r="G26" s="2" t="n">
        <f aca="false">SUMIF('화 목록'!$B$2:$B$980,A26,'화 목록'!$F$2:$F$980)</f>
        <v>190</v>
      </c>
      <c r="H26" s="4" t="s">
        <v>63</v>
      </c>
      <c r="I26" s="3"/>
    </row>
    <row r="27" customFormat="false" ht="15" hidden="false" customHeight="false" outlineLevel="0" collapsed="false">
      <c r="A27" s="2" t="n">
        <v>26</v>
      </c>
      <c r="B27" s="3" t="s">
        <v>16</v>
      </c>
      <c r="C27" s="4" t="s">
        <v>64</v>
      </c>
      <c r="D27" s="5" t="n">
        <v>244</v>
      </c>
      <c r="E27" s="5" t="n">
        <v>249</v>
      </c>
      <c r="F27" s="2" t="n">
        <f aca="false">COUNTIF('화 목록'!$B$2:$B$980,A27)</f>
        <v>6</v>
      </c>
      <c r="G27" s="2" t="n">
        <f aca="false">SUMIF('화 목록'!$B$2:$B$980,A27,'화 목록'!$F$2:$F$980)</f>
        <v>73</v>
      </c>
      <c r="H27" s="4" t="s">
        <v>65</v>
      </c>
      <c r="I27" s="3"/>
    </row>
    <row r="28" customFormat="false" ht="15" hidden="false" customHeight="false" outlineLevel="0" collapsed="false">
      <c r="A28" s="2" t="n">
        <v>27</v>
      </c>
      <c r="B28" s="3" t="s">
        <v>16</v>
      </c>
      <c r="C28" s="4" t="s">
        <v>66</v>
      </c>
      <c r="D28" s="5" t="n">
        <v>250</v>
      </c>
      <c r="E28" s="5" t="n">
        <v>264</v>
      </c>
      <c r="F28" s="2" t="n">
        <f aca="false">COUNTIF('화 목록'!$B$2:$B$980,A28)</f>
        <v>15</v>
      </c>
      <c r="G28" s="2" t="n">
        <f aca="false">SUMIF('화 목록'!$B$2:$B$980,A28,'화 목록'!$F$2:$F$980)</f>
        <v>178</v>
      </c>
      <c r="H28" s="4" t="s">
        <v>67</v>
      </c>
      <c r="I28" s="3"/>
    </row>
    <row r="29" customFormat="false" ht="28.35" hidden="false" customHeight="false" outlineLevel="0" collapsed="false">
      <c r="A29" s="2" t="n">
        <v>28</v>
      </c>
      <c r="B29" s="3" t="s">
        <v>16</v>
      </c>
      <c r="C29" s="4" t="s">
        <v>68</v>
      </c>
      <c r="D29" s="5" t="n">
        <v>265</v>
      </c>
      <c r="E29" s="5" t="n">
        <v>290</v>
      </c>
      <c r="F29" s="2" t="n">
        <f aca="false">COUNTIF('화 목록'!$B$2:$B$980,A29)</f>
        <v>26</v>
      </c>
      <c r="G29" s="2" t="n">
        <f aca="false">SUMIF('화 목록'!$B$2:$B$980,A29,'화 목록'!$F$2:$F$980)</f>
        <v>290</v>
      </c>
      <c r="H29" s="4" t="s">
        <v>69</v>
      </c>
      <c r="I29" s="3"/>
    </row>
    <row r="30" customFormat="false" ht="28.35" hidden="false" customHeight="false" outlineLevel="0" collapsed="false">
      <c r="A30" s="2" t="n">
        <v>29</v>
      </c>
      <c r="B30" s="3" t="s">
        <v>16</v>
      </c>
      <c r="C30" s="4" t="s">
        <v>70</v>
      </c>
      <c r="D30" s="5" t="n">
        <v>291</v>
      </c>
      <c r="E30" s="5" t="n">
        <v>316</v>
      </c>
      <c r="F30" s="2" t="n">
        <f aca="false">COUNTIF('화 목록'!$B$2:$B$980,A30)</f>
        <v>26</v>
      </c>
      <c r="G30" s="2" t="n">
        <f aca="false">SUMIF('화 목록'!$B$2:$B$980,A30,'화 목록'!$F$2:$F$980)</f>
        <v>350</v>
      </c>
      <c r="H30" s="6" t="s">
        <v>71</v>
      </c>
      <c r="I30" s="3"/>
    </row>
    <row r="31" customFormat="false" ht="15" hidden="false" customHeight="false" outlineLevel="0" collapsed="false">
      <c r="A31" s="2" t="n">
        <v>30</v>
      </c>
      <c r="B31" s="3" t="s">
        <v>16</v>
      </c>
      <c r="C31" s="4" t="s">
        <v>72</v>
      </c>
      <c r="D31" s="5" t="n">
        <v>317</v>
      </c>
      <c r="E31" s="5" t="n">
        <v>343</v>
      </c>
      <c r="F31" s="2" t="n">
        <f aca="false">COUNTIF('화 목록'!$B$2:$B$980,A31)</f>
        <v>27</v>
      </c>
      <c r="G31" s="2" t="n">
        <f aca="false">SUMIF('화 목록'!$B$2:$B$980,A31,'화 목록'!$F$2:$F$980)</f>
        <v>316</v>
      </c>
      <c r="H31" s="4" t="s">
        <v>73</v>
      </c>
      <c r="I31" s="3"/>
    </row>
    <row r="32" customFormat="false" ht="15" hidden="false" customHeight="false" outlineLevel="0" collapsed="false">
      <c r="A32" s="2" t="n">
        <v>31</v>
      </c>
      <c r="B32" s="3" t="s">
        <v>16</v>
      </c>
      <c r="C32" s="4" t="s">
        <v>74</v>
      </c>
      <c r="D32" s="5" t="n">
        <v>344</v>
      </c>
      <c r="E32" s="5" t="n">
        <v>375</v>
      </c>
      <c r="F32" s="2" t="n">
        <f aca="false">COUNTIF('화 목록'!$B$2:$B$980,A32)</f>
        <v>32</v>
      </c>
      <c r="G32" s="2" t="n">
        <f aca="false">SUMIF('화 목록'!$B$2:$B$980,A32,'화 목록'!$F$2:$F$980)</f>
        <v>389</v>
      </c>
      <c r="H32" s="4" t="s">
        <v>75</v>
      </c>
      <c r="I32" s="3" t="s">
        <v>76</v>
      </c>
    </row>
    <row r="33" customFormat="false" ht="28.35" hidden="false" customHeight="false" outlineLevel="0" collapsed="false">
      <c r="A33" s="2" t="n">
        <v>32</v>
      </c>
      <c r="B33" s="3" t="s">
        <v>77</v>
      </c>
      <c r="C33" s="6" t="s">
        <v>78</v>
      </c>
      <c r="D33" s="5" t="n">
        <v>376</v>
      </c>
      <c r="E33" s="5" t="n">
        <v>459</v>
      </c>
      <c r="F33" s="2" t="n">
        <f aca="false">COUNTIF('화 목록'!$B$2:$B$980,A33)</f>
        <v>84</v>
      </c>
      <c r="G33" s="2" t="n">
        <f aca="false">SUMIF('화 목록'!$B$2:$B$980,A33,'화 목록'!$F$2:$F$980)</f>
        <v>1118</v>
      </c>
      <c r="H33" s="4" t="s">
        <v>79</v>
      </c>
      <c r="I33" s="3" t="s">
        <v>80</v>
      </c>
    </row>
    <row r="34" customFormat="false" ht="15" hidden="false" customHeight="false" outlineLevel="0" collapsed="false">
      <c r="A34" s="2" t="n">
        <v>33</v>
      </c>
      <c r="B34" s="3" t="s">
        <v>81</v>
      </c>
      <c r="C34" s="4" t="s">
        <v>82</v>
      </c>
      <c r="D34" s="5" t="n">
        <v>460</v>
      </c>
      <c r="E34" s="5" t="n">
        <v>483</v>
      </c>
      <c r="F34" s="2" t="n">
        <f aca="false">COUNTIF('화 목록'!$B$2:$B$980,A34)</f>
        <v>24</v>
      </c>
      <c r="G34" s="2" t="n">
        <f aca="false">SUMIF('화 목록'!$B$2:$B$980,A34,'화 목록'!$F$2:$F$980)</f>
        <v>343</v>
      </c>
      <c r="H34" s="4" t="s">
        <v>83</v>
      </c>
      <c r="I34" s="3"/>
    </row>
    <row r="35" customFormat="false" ht="15" hidden="false" customHeight="false" outlineLevel="0" collapsed="false">
      <c r="A35" s="2" t="n">
        <v>34</v>
      </c>
      <c r="B35" s="3" t="s">
        <v>81</v>
      </c>
      <c r="C35" s="4" t="s">
        <v>84</v>
      </c>
      <c r="D35" s="5" t="n">
        <v>484</v>
      </c>
      <c r="E35" s="5" t="n">
        <v>493</v>
      </c>
      <c r="F35" s="2" t="n">
        <f aca="false">COUNTIF('화 목록'!$B$2:$B$980,A35)</f>
        <v>10</v>
      </c>
      <c r="G35" s="2" t="n">
        <f aca="false">SUMIF('화 목록'!$B$2:$B$980,A35,'화 목록'!$F$2:$F$980)</f>
        <v>183</v>
      </c>
      <c r="H35" s="4" t="s">
        <v>85</v>
      </c>
      <c r="I35" s="3"/>
    </row>
    <row r="36" customFormat="false" ht="15" hidden="false" customHeight="false" outlineLevel="0" collapsed="false">
      <c r="A36" s="2" t="n">
        <v>35</v>
      </c>
      <c r="B36" s="3" t="s">
        <v>81</v>
      </c>
      <c r="C36" s="4" t="s">
        <v>86</v>
      </c>
      <c r="D36" s="5" t="n">
        <v>494</v>
      </c>
      <c r="E36" s="5" t="n">
        <v>502</v>
      </c>
      <c r="F36" s="2" t="n">
        <f aca="false">COUNTIF('화 목록'!$B$2:$B$980,A36)</f>
        <v>9</v>
      </c>
      <c r="G36" s="2" t="n">
        <f aca="false">SUMIF('화 목록'!$B$2:$B$980,A36,'화 목록'!$F$2:$F$980)</f>
        <v>102</v>
      </c>
      <c r="H36" s="4" t="s">
        <v>87</v>
      </c>
      <c r="I36" s="3"/>
    </row>
    <row r="37" customFormat="false" ht="15" hidden="false" customHeight="false" outlineLevel="0" collapsed="false">
      <c r="A37" s="2" t="n">
        <v>36</v>
      </c>
      <c r="B37" s="3" t="s">
        <v>81</v>
      </c>
      <c r="C37" s="4" t="s">
        <v>88</v>
      </c>
      <c r="D37" s="5" t="n">
        <v>503</v>
      </c>
      <c r="E37" s="5" t="n">
        <v>507</v>
      </c>
      <c r="F37" s="2" t="n">
        <f aca="false">COUNTIF('화 목록'!$B$2:$B$980,A37)</f>
        <v>5</v>
      </c>
      <c r="G37" s="2" t="n">
        <f aca="false">SUMIF('화 목록'!$B$2:$B$980,A37,'화 목록'!$F$2:$F$980)</f>
        <v>82</v>
      </c>
      <c r="H37" s="4" t="s">
        <v>89</v>
      </c>
      <c r="I37" s="3"/>
    </row>
    <row r="38" customFormat="false" ht="15" hidden="false" customHeight="false" outlineLevel="0" collapsed="false">
      <c r="A38" s="2" t="n">
        <v>37</v>
      </c>
      <c r="B38" s="3" t="s">
        <v>81</v>
      </c>
      <c r="C38" s="4" t="s">
        <v>90</v>
      </c>
      <c r="D38" s="5" t="n">
        <v>508</v>
      </c>
      <c r="E38" s="5" t="n">
        <v>521</v>
      </c>
      <c r="F38" s="2" t="n">
        <f aca="false">COUNTIF('화 목록'!$B$2:$B$980,A38)</f>
        <v>14</v>
      </c>
      <c r="G38" s="2" t="n">
        <f aca="false">SUMIF('화 목록'!$B$2:$B$980,A38,'화 목록'!$F$2:$F$980)</f>
        <v>176</v>
      </c>
      <c r="H38" s="4" t="s">
        <v>91</v>
      </c>
      <c r="I38" s="3"/>
    </row>
    <row r="39" customFormat="false" ht="15" hidden="false" customHeight="false" outlineLevel="0" collapsed="false">
      <c r="A39" s="2" t="n">
        <v>38</v>
      </c>
      <c r="B39" s="3" t="s">
        <v>81</v>
      </c>
      <c r="C39" s="4" t="s">
        <v>92</v>
      </c>
      <c r="D39" s="5" t="n">
        <v>522</v>
      </c>
      <c r="E39" s="5" t="n">
        <v>547</v>
      </c>
      <c r="F39" s="2" t="n">
        <f aca="false">COUNTIF('화 목록'!$B$2:$B$980,A39)</f>
        <v>26</v>
      </c>
      <c r="G39" s="2" t="n">
        <f aca="false">SUMIF('화 목록'!$B$2:$B$980,A39,'화 목록'!$F$2:$F$980)</f>
        <v>390</v>
      </c>
      <c r="H39" s="4" t="s">
        <v>93</v>
      </c>
      <c r="I39" s="3"/>
    </row>
    <row r="40" customFormat="false" ht="15" hidden="false" customHeight="false" outlineLevel="0" collapsed="false">
      <c r="A40" s="2" t="n">
        <v>39</v>
      </c>
      <c r="B40" s="3" t="s">
        <v>94</v>
      </c>
      <c r="C40" s="4" t="s">
        <v>95</v>
      </c>
      <c r="D40" s="5" t="n">
        <v>548</v>
      </c>
      <c r="E40" s="5" t="n">
        <v>557</v>
      </c>
      <c r="F40" s="2" t="n">
        <f aca="false">COUNTIF('화 목록'!$B$2:$B$980,A40)</f>
        <v>10</v>
      </c>
      <c r="G40" s="2" t="n">
        <f aca="false">SUMIF('화 목록'!$B$2:$B$980,A40,'화 목록'!$F$2:$F$980)</f>
        <v>143</v>
      </c>
      <c r="H40" s="4" t="s">
        <v>96</v>
      </c>
      <c r="I40" s="3"/>
    </row>
    <row r="41" customFormat="false" ht="28.35" hidden="false" customHeight="false" outlineLevel="0" collapsed="false">
      <c r="A41" s="2" t="n">
        <v>40</v>
      </c>
      <c r="B41" s="3" t="s">
        <v>94</v>
      </c>
      <c r="C41" s="4" t="s">
        <v>97</v>
      </c>
      <c r="D41" s="5" t="n">
        <v>558</v>
      </c>
      <c r="E41" s="5" t="n">
        <v>584</v>
      </c>
      <c r="F41" s="2" t="n">
        <f aca="false">COUNTIF('화 목록'!$B$2:$B$980,A41)</f>
        <v>27</v>
      </c>
      <c r="G41" s="2" t="n">
        <f aca="false">SUMIF('화 목록'!$B$2:$B$980,A41,'화 목록'!$F$2:$F$980)</f>
        <v>315</v>
      </c>
      <c r="H41" s="4" t="s">
        <v>98</v>
      </c>
      <c r="I41" s="3"/>
    </row>
    <row r="42" customFormat="false" ht="15" hidden="false" customHeight="false" outlineLevel="0" collapsed="false">
      <c r="A42" s="2" t="n">
        <v>41</v>
      </c>
      <c r="B42" s="3" t="s">
        <v>94</v>
      </c>
      <c r="C42" s="4" t="s">
        <v>99</v>
      </c>
      <c r="D42" s="5" t="n">
        <v>585</v>
      </c>
      <c r="E42" s="5" t="n">
        <v>595</v>
      </c>
      <c r="F42" s="2" t="n">
        <f aca="false">COUNTIF('화 목록'!$B$2:$B$980,A42)</f>
        <v>11</v>
      </c>
      <c r="G42" s="2" t="n">
        <f aca="false">SUMIF('화 목록'!$B$2:$B$980,A42,'화 목록'!$F$2:$F$980)</f>
        <v>114</v>
      </c>
      <c r="H42" s="4" t="s">
        <v>100</v>
      </c>
      <c r="I42" s="3"/>
    </row>
    <row r="43" customFormat="false" ht="15" hidden="false" customHeight="false" outlineLevel="0" collapsed="false">
      <c r="A43" s="2" t="n">
        <v>42</v>
      </c>
      <c r="B43" s="3" t="s">
        <v>94</v>
      </c>
      <c r="C43" s="4" t="s">
        <v>101</v>
      </c>
      <c r="D43" s="5" t="n">
        <v>596</v>
      </c>
      <c r="E43" s="5" t="n">
        <v>612</v>
      </c>
      <c r="F43" s="2" t="n">
        <f aca="false">COUNTIF('화 목록'!$B$2:$B$980,A43)</f>
        <v>17</v>
      </c>
      <c r="G43" s="2" t="n">
        <f aca="false">SUMIF('화 목록'!$B$2:$B$980,A43,'화 목록'!$F$2:$F$980)</f>
        <v>146</v>
      </c>
      <c r="H43" s="4" t="s">
        <v>102</v>
      </c>
      <c r="I43" s="3"/>
    </row>
    <row r="44" customFormat="false" ht="15" hidden="false" customHeight="false" outlineLevel="0" collapsed="false">
      <c r="A44" s="2" t="n">
        <v>43</v>
      </c>
      <c r="B44" s="3" t="s">
        <v>94</v>
      </c>
      <c r="C44" s="4" t="s">
        <v>103</v>
      </c>
      <c r="D44" s="5" t="n">
        <v>613</v>
      </c>
      <c r="E44" s="5" t="n">
        <v>651</v>
      </c>
      <c r="F44" s="2" t="n">
        <f aca="false">COUNTIF('화 목록'!$B$2:$B$980,A44)</f>
        <v>39</v>
      </c>
      <c r="G44" s="2" t="n">
        <f aca="false">SUMIF('화 목록'!$B$2:$B$980,A44,'화 목록'!$F$2:$F$980)</f>
        <v>251</v>
      </c>
      <c r="H44" s="4" t="s">
        <v>104</v>
      </c>
      <c r="I44" s="3"/>
    </row>
    <row r="45" customFormat="false" ht="28.35" hidden="false" customHeight="false" outlineLevel="0" collapsed="false">
      <c r="A45" s="2" t="n">
        <v>44</v>
      </c>
      <c r="B45" s="3" t="s">
        <v>94</v>
      </c>
      <c r="C45" s="4" t="s">
        <v>105</v>
      </c>
      <c r="D45" s="5" t="n">
        <v>652</v>
      </c>
      <c r="E45" s="5" t="n">
        <v>655</v>
      </c>
      <c r="F45" s="2" t="n">
        <f aca="false">COUNTIF('화 목록'!$B$2:$B$980,A45)</f>
        <v>4</v>
      </c>
      <c r="G45" s="2" t="n">
        <f aca="false">SUMIF('화 목록'!$B$2:$B$980,A45,'화 목록'!$F$2:$F$980)</f>
        <v>172</v>
      </c>
      <c r="H45" s="4" t="s">
        <v>106</v>
      </c>
      <c r="I45" s="3"/>
    </row>
    <row r="46" customFormat="false" ht="15" hidden="false" customHeight="false" outlineLevel="0" collapsed="false">
      <c r="A46" s="2" t="n">
        <v>45</v>
      </c>
      <c r="B46" s="3" t="s">
        <v>94</v>
      </c>
      <c r="C46" s="4" t="s">
        <v>107</v>
      </c>
      <c r="D46" s="5" t="n">
        <v>656</v>
      </c>
      <c r="E46" s="5" t="n">
        <v>659</v>
      </c>
      <c r="F46" s="2" t="n">
        <f aca="false">COUNTIF('화 목록'!$B$2:$B$980,A46)</f>
        <v>4</v>
      </c>
      <c r="G46" s="2" t="n">
        <f aca="false">SUMIF('화 목록'!$B$2:$B$980,A46,'화 목록'!$F$2:$F$980)</f>
        <v>145</v>
      </c>
      <c r="H46" s="4" t="s">
        <v>108</v>
      </c>
      <c r="I46" s="3"/>
    </row>
    <row r="47" customFormat="false" ht="15" hidden="false" customHeight="false" outlineLevel="0" collapsed="false">
      <c r="A47" s="2" t="n">
        <v>46</v>
      </c>
      <c r="B47" s="3" t="s">
        <v>94</v>
      </c>
      <c r="C47" s="4" t="s">
        <v>109</v>
      </c>
      <c r="D47" s="5" t="n">
        <v>660</v>
      </c>
      <c r="E47" s="5" t="n">
        <v>669</v>
      </c>
      <c r="F47" s="2" t="n">
        <f aca="false">COUNTIF('화 목록'!$B$2:$B$980,A47)</f>
        <v>10</v>
      </c>
      <c r="G47" s="2" t="n">
        <f aca="false">SUMIF('화 목록'!$B$2:$B$980,A47,'화 목록'!$F$2:$F$980)</f>
        <v>122</v>
      </c>
      <c r="H47" s="4" t="s">
        <v>110</v>
      </c>
      <c r="I47" s="3"/>
    </row>
    <row r="48" customFormat="false" ht="15" hidden="false" customHeight="false" outlineLevel="0" collapsed="false">
      <c r="A48" s="2" t="n">
        <v>47</v>
      </c>
      <c r="B48" s="3" t="s">
        <v>94</v>
      </c>
      <c r="C48" s="4" t="s">
        <v>111</v>
      </c>
      <c r="D48" s="5" t="n">
        <v>670</v>
      </c>
      <c r="E48" s="5" t="n">
        <v>671</v>
      </c>
      <c r="F48" s="2" t="n">
        <f aca="false">COUNTIF('화 목록'!$B$2:$B$980,A48)</f>
        <v>2</v>
      </c>
      <c r="G48" s="2" t="n">
        <f aca="false">SUMIF('화 목록'!$B$2:$B$980,A48,'화 목록'!$F$2:$F$980)</f>
        <v>196</v>
      </c>
      <c r="H48" s="4" t="s">
        <v>112</v>
      </c>
      <c r="I48" s="3"/>
    </row>
    <row r="49" customFormat="false" ht="15" hidden="false" customHeight="false" outlineLevel="0" collapsed="false">
      <c r="A49" s="2" t="n">
        <v>48</v>
      </c>
      <c r="B49" s="3" t="s">
        <v>94</v>
      </c>
      <c r="C49" s="4" t="s">
        <v>113</v>
      </c>
      <c r="D49" s="5" t="n">
        <v>672</v>
      </c>
      <c r="E49" s="5" t="n">
        <v>677</v>
      </c>
      <c r="F49" s="2" t="n">
        <f aca="false">COUNTIF('화 목록'!$B$2:$B$980,A49)</f>
        <v>6</v>
      </c>
      <c r="G49" s="2" t="n">
        <f aca="false">SUMIF('화 목록'!$B$2:$B$980,A49,'화 목록'!$F$2:$F$980)</f>
        <v>191</v>
      </c>
      <c r="H49" s="4" t="s">
        <v>114</v>
      </c>
      <c r="I49" s="3"/>
    </row>
    <row r="50" customFormat="false" ht="15" hidden="false" customHeight="false" outlineLevel="0" collapsed="false">
      <c r="A50" s="2" t="n">
        <v>49</v>
      </c>
      <c r="B50" s="3" t="s">
        <v>94</v>
      </c>
      <c r="C50" s="4" t="s">
        <v>115</v>
      </c>
      <c r="D50" s="5" t="n">
        <v>678</v>
      </c>
      <c r="E50" s="5" t="n">
        <v>687</v>
      </c>
      <c r="F50" s="2" t="n">
        <f aca="false">COUNTIF('화 목록'!$B$2:$B$980,A50)</f>
        <v>10</v>
      </c>
      <c r="G50" s="2" t="n">
        <f aca="false">SUMIF('화 목록'!$B$2:$B$980,A50,'화 목록'!$F$2:$F$980)</f>
        <v>198</v>
      </c>
      <c r="H50" s="4" t="s">
        <v>116</v>
      </c>
      <c r="I50" s="3"/>
    </row>
    <row r="51" customFormat="false" ht="15" hidden="false" customHeight="false" outlineLevel="0" collapsed="false">
      <c r="A51" s="2" t="n">
        <v>50</v>
      </c>
      <c r="B51" s="3" t="s">
        <v>94</v>
      </c>
      <c r="C51" s="4" t="s">
        <v>117</v>
      </c>
      <c r="D51" s="5" t="n">
        <v>688</v>
      </c>
      <c r="E51" s="5" t="n">
        <v>698</v>
      </c>
      <c r="F51" s="2" t="n">
        <f aca="false">COUNTIF('화 목록'!$B$2:$B$980,A51)</f>
        <v>11</v>
      </c>
      <c r="G51" s="2" t="n">
        <f aca="false">SUMIF('화 목록'!$B$2:$B$980,A51,'화 목록'!$F$2:$F$980)</f>
        <v>200</v>
      </c>
      <c r="H51" s="4" t="s">
        <v>118</v>
      </c>
      <c r="I51" s="3"/>
    </row>
    <row r="52" customFormat="false" ht="15" hidden="false" customHeight="false" outlineLevel="0" collapsed="false">
      <c r="A52" s="2" t="n">
        <v>51</v>
      </c>
      <c r="B52" s="3" t="s">
        <v>94</v>
      </c>
      <c r="C52" s="4" t="s">
        <v>119</v>
      </c>
      <c r="D52" s="5" t="n">
        <v>699</v>
      </c>
      <c r="E52" s="5" t="n">
        <v>708</v>
      </c>
      <c r="F52" s="2" t="n">
        <f aca="false">COUNTIF('화 목록'!$B$2:$B$980,A52)</f>
        <v>10</v>
      </c>
      <c r="G52" s="2" t="n">
        <f aca="false">SUMIF('화 목록'!$B$2:$B$980,A52,'화 목록'!$F$2:$F$980)</f>
        <v>191</v>
      </c>
      <c r="H52" s="4" t="s">
        <v>120</v>
      </c>
      <c r="I52" s="3"/>
    </row>
    <row r="53" customFormat="false" ht="15" hidden="false" customHeight="false" outlineLevel="0" collapsed="false">
      <c r="A53" s="2" t="n">
        <v>52</v>
      </c>
      <c r="B53" s="3" t="s">
        <v>94</v>
      </c>
      <c r="C53" s="4" t="s">
        <v>121</v>
      </c>
      <c r="D53" s="5" t="n">
        <v>709</v>
      </c>
      <c r="E53" s="5" t="n">
        <v>719</v>
      </c>
      <c r="F53" s="2" t="n">
        <f aca="false">COUNTIF('화 목록'!$B$2:$B$980,A53)</f>
        <v>11</v>
      </c>
      <c r="G53" s="2" t="n">
        <f aca="false">SUMIF('화 목록'!$B$2:$B$980,A53,'화 목록'!$F$2:$F$980)</f>
        <v>190</v>
      </c>
      <c r="H53" s="4" t="s">
        <v>122</v>
      </c>
      <c r="I53" s="3"/>
    </row>
    <row r="54" customFormat="false" ht="15" hidden="false" customHeight="false" outlineLevel="0" collapsed="false">
      <c r="A54" s="2" t="n">
        <v>53</v>
      </c>
      <c r="B54" s="3" t="s">
        <v>94</v>
      </c>
      <c r="C54" s="4" t="s">
        <v>123</v>
      </c>
      <c r="D54" s="5" t="n">
        <v>720</v>
      </c>
      <c r="E54" s="5" t="n">
        <v>733</v>
      </c>
      <c r="F54" s="2" t="n">
        <f aca="false">COUNTIF('화 목록'!$B$2:$B$980,A54)</f>
        <v>14</v>
      </c>
      <c r="G54" s="2" t="n">
        <f aca="false">SUMIF('화 목록'!$B$2:$B$980,A54,'화 목록'!$F$2:$F$980)</f>
        <v>208</v>
      </c>
      <c r="H54" s="4" t="s">
        <v>124</v>
      </c>
      <c r="I54" s="3"/>
    </row>
    <row r="55" customFormat="false" ht="15" hidden="false" customHeight="false" outlineLevel="0" collapsed="false">
      <c r="A55" s="2" t="n">
        <v>54</v>
      </c>
      <c r="B55" s="3" t="s">
        <v>94</v>
      </c>
      <c r="C55" s="4" t="s">
        <v>125</v>
      </c>
      <c r="D55" s="5" t="n">
        <v>734</v>
      </c>
      <c r="E55" s="5" t="n">
        <v>747</v>
      </c>
      <c r="F55" s="2" t="n">
        <f aca="false">COUNTIF('화 목록'!$B$2:$B$980,A55)</f>
        <v>14</v>
      </c>
      <c r="G55" s="2" t="n">
        <f aca="false">SUMIF('화 목록'!$B$2:$B$980,A55,'화 목록'!$F$2:$F$980)</f>
        <v>196</v>
      </c>
      <c r="H55" s="4" t="s">
        <v>126</v>
      </c>
      <c r="I55" s="3"/>
    </row>
    <row r="56" customFormat="false" ht="15" hidden="false" customHeight="false" outlineLevel="0" collapsed="false">
      <c r="A56" s="2" t="n">
        <v>55</v>
      </c>
      <c r="B56" s="3" t="s">
        <v>94</v>
      </c>
      <c r="C56" s="4" t="s">
        <v>127</v>
      </c>
      <c r="D56" s="5" t="n">
        <v>748</v>
      </c>
      <c r="E56" s="5" t="n">
        <v>772</v>
      </c>
      <c r="F56" s="2" t="n">
        <f aca="false">COUNTIF('화 목록'!$B$2:$B$980,A56)</f>
        <v>25</v>
      </c>
      <c r="G56" s="2" t="n">
        <f aca="false">SUMIF('화 목록'!$B$2:$B$980,A56,'화 목록'!$F$2:$F$980)</f>
        <v>249</v>
      </c>
      <c r="H56" s="4" t="s">
        <v>128</v>
      </c>
      <c r="I56" s="3"/>
    </row>
    <row r="57" customFormat="false" ht="15" hidden="false" customHeight="false" outlineLevel="0" collapsed="false">
      <c r="A57" s="2" t="n">
        <v>56</v>
      </c>
      <c r="B57" s="3" t="s">
        <v>94</v>
      </c>
      <c r="C57" s="4" t="s">
        <v>129</v>
      </c>
      <c r="D57" s="5" t="n">
        <v>773</v>
      </c>
      <c r="E57" s="5" t="n">
        <v>797</v>
      </c>
      <c r="F57" s="2" t="n">
        <f aca="false">COUNTIF('화 목록'!$B$2:$B$980,A57)</f>
        <v>25</v>
      </c>
      <c r="G57" s="2" t="n">
        <f aca="false">SUMIF('화 목록'!$B$2:$B$980,A57,'화 목록'!$F$2:$F$980)</f>
        <v>210</v>
      </c>
      <c r="H57" s="4" t="s">
        <v>130</v>
      </c>
      <c r="I57" s="3"/>
    </row>
    <row r="58" customFormat="false" ht="15" hidden="false" customHeight="false" outlineLevel="0" collapsed="false">
      <c r="A58" s="2" t="n">
        <v>57</v>
      </c>
      <c r="B58" s="3" t="s">
        <v>94</v>
      </c>
      <c r="C58" s="4" t="s">
        <v>131</v>
      </c>
      <c r="D58" s="5" t="n">
        <v>798</v>
      </c>
      <c r="E58" s="5" t="n">
        <v>819</v>
      </c>
      <c r="F58" s="2" t="n">
        <f aca="false">COUNTIF('화 목록'!$B$2:$B$980,A58)</f>
        <v>22</v>
      </c>
      <c r="G58" s="2" t="n">
        <f aca="false">SUMIF('화 목록'!$B$2:$B$980,A58,'화 목록'!$F$2:$F$980)</f>
        <v>227</v>
      </c>
      <c r="H58" s="4" t="s">
        <v>132</v>
      </c>
      <c r="I58" s="3"/>
    </row>
    <row r="59" customFormat="false" ht="15" hidden="false" customHeight="false" outlineLevel="0" collapsed="false">
      <c r="A59" s="2" t="n">
        <v>58</v>
      </c>
      <c r="B59" s="3" t="s">
        <v>94</v>
      </c>
      <c r="C59" s="4" t="s">
        <v>133</v>
      </c>
      <c r="D59" s="5" t="n">
        <v>820</v>
      </c>
      <c r="E59" s="5" t="n">
        <v>839</v>
      </c>
      <c r="F59" s="2" t="n">
        <f aca="false">COUNTIF('화 목록'!$B$2:$B$980,A59)</f>
        <v>20</v>
      </c>
      <c r="G59" s="2" t="n">
        <f aca="false">SUMIF('화 목록'!$B$2:$B$980,A59,'화 목록'!$F$2:$F$980)</f>
        <v>168</v>
      </c>
      <c r="H59" s="4" t="s">
        <v>134</v>
      </c>
      <c r="I59" s="3"/>
    </row>
    <row r="60" customFormat="false" ht="15" hidden="false" customHeight="false" outlineLevel="0" collapsed="false">
      <c r="A60" s="2" t="n">
        <v>59</v>
      </c>
      <c r="B60" s="3" t="s">
        <v>94</v>
      </c>
      <c r="C60" s="4" t="s">
        <v>135</v>
      </c>
      <c r="D60" s="5" t="n">
        <v>840</v>
      </c>
      <c r="E60" s="5" t="n">
        <v>859</v>
      </c>
      <c r="F60" s="2" t="n">
        <f aca="false">COUNTIF('화 목록'!$B$2:$B$980,A60)</f>
        <v>20</v>
      </c>
      <c r="G60" s="2" t="n">
        <f aca="false">SUMIF('화 목록'!$B$2:$B$980,A60,'화 목록'!$F$2:$F$980)</f>
        <v>177</v>
      </c>
      <c r="H60" s="4" t="s">
        <v>136</v>
      </c>
      <c r="I60" s="3"/>
    </row>
    <row r="61" customFormat="false" ht="15" hidden="false" customHeight="false" outlineLevel="0" collapsed="false">
      <c r="A61" s="2" t="n">
        <v>60</v>
      </c>
      <c r="B61" s="3" t="s">
        <v>94</v>
      </c>
      <c r="C61" s="4" t="s">
        <v>137</v>
      </c>
      <c r="D61" s="5" t="n">
        <v>860</v>
      </c>
      <c r="E61" s="5" t="n">
        <v>884</v>
      </c>
      <c r="F61" s="2" t="n">
        <f aca="false">COUNTIF('화 목록'!$B$2:$B$980,A61)</f>
        <v>25</v>
      </c>
      <c r="G61" s="2" t="n">
        <f aca="false">SUMIF('화 목록'!$B$2:$B$980,A61,'화 목록'!$F$2:$F$980)</f>
        <v>199</v>
      </c>
      <c r="H61" s="4" t="s">
        <v>138</v>
      </c>
      <c r="I61" s="3"/>
    </row>
    <row r="62" customFormat="false" ht="15" hidden="false" customHeight="false" outlineLevel="0" collapsed="false">
      <c r="A62" s="2" t="n">
        <v>61</v>
      </c>
      <c r="B62" s="3" t="s">
        <v>94</v>
      </c>
      <c r="C62" s="4" t="s">
        <v>139</v>
      </c>
      <c r="D62" s="5" t="n">
        <v>885</v>
      </c>
      <c r="E62" s="5" t="n">
        <v>907</v>
      </c>
      <c r="F62" s="2" t="n">
        <f aca="false">COUNTIF('화 목록'!$B$2:$B$980,A62)</f>
        <v>23</v>
      </c>
      <c r="G62" s="2" t="n">
        <f aca="false">SUMIF('화 목록'!$B$2:$B$980,A62,'화 목록'!$F$2:$F$980)</f>
        <v>178</v>
      </c>
      <c r="H62" s="4" t="s">
        <v>140</v>
      </c>
      <c r="I62" s="3"/>
    </row>
    <row r="63" customFormat="false" ht="15" hidden="false" customHeight="false" outlineLevel="0" collapsed="false">
      <c r="A63" s="2" t="n">
        <v>62</v>
      </c>
      <c r="B63" s="3" t="s">
        <v>94</v>
      </c>
      <c r="C63" s="4" t="s">
        <v>141</v>
      </c>
      <c r="D63" s="5" t="n">
        <v>908</v>
      </c>
      <c r="E63" s="5" t="n">
        <v>945</v>
      </c>
      <c r="F63" s="2" t="n">
        <f aca="false">COUNTIF('화 목록'!$B$2:$B$980,A63)</f>
        <v>38</v>
      </c>
      <c r="G63" s="2" t="n">
        <f aca="false">SUMIF('화 목록'!$B$2:$B$980,A63,'화 목록'!$F$2:$F$980)</f>
        <v>285</v>
      </c>
      <c r="H63" s="4" t="s">
        <v>142</v>
      </c>
      <c r="I63" s="3"/>
    </row>
    <row r="64" customFormat="false" ht="15" hidden="false" customHeight="false" outlineLevel="0" collapsed="false">
      <c r="A64" s="2" t="n">
        <v>63</v>
      </c>
      <c r="B64" s="3" t="s">
        <v>94</v>
      </c>
      <c r="C64" s="4" t="s">
        <v>143</v>
      </c>
      <c r="D64" s="5" t="n">
        <v>946</v>
      </c>
      <c r="E64" s="5" t="n">
        <v>962</v>
      </c>
      <c r="F64" s="2" t="n">
        <f aca="false">COUNTIF('화 목록'!$B$2:$B$980,A64)</f>
        <v>17</v>
      </c>
      <c r="G64" s="2" t="n">
        <f aca="false">SUMIF('화 목록'!$B$2:$B$980,A64,'화 목록'!$F$2:$F$980)</f>
        <v>109</v>
      </c>
      <c r="H64" s="4" t="s">
        <v>144</v>
      </c>
      <c r="I64" s="3"/>
    </row>
    <row r="65" customFormat="false" ht="15" hidden="false" customHeight="false" outlineLevel="0" collapsed="false">
      <c r="A65" s="2" t="n">
        <v>64</v>
      </c>
      <c r="B65" s="3" t="s">
        <v>94</v>
      </c>
      <c r="C65" s="4" t="s">
        <v>145</v>
      </c>
      <c r="D65" s="5" t="n">
        <v>963</v>
      </c>
      <c r="E65" s="5" t="n">
        <v>974</v>
      </c>
      <c r="F65" s="2" t="n">
        <f aca="false">COUNTIF('화 목록'!$B$2:$B$980,A65)</f>
        <v>12</v>
      </c>
      <c r="G65" s="2" t="n">
        <f aca="false">SUMIF('화 목록'!$B$2:$B$980,A65,'화 목록'!$F$2:$F$980)</f>
        <v>78</v>
      </c>
      <c r="H65" s="4" t="s">
        <v>146</v>
      </c>
      <c r="I65" s="3"/>
    </row>
    <row r="66" customFormat="false" ht="15" hidden="false" customHeight="false" outlineLevel="0" collapsed="false">
      <c r="A66" s="2" t="n">
        <v>65</v>
      </c>
      <c r="B66" s="3" t="s">
        <v>94</v>
      </c>
      <c r="C66" s="4" t="s">
        <v>147</v>
      </c>
      <c r="D66" s="5" t="n">
        <v>975</v>
      </c>
      <c r="E66" s="5" t="n">
        <v>979</v>
      </c>
      <c r="F66" s="2" t="n">
        <f aca="false">COUNTIF('화 목록'!$B$2:$B$980,A66)</f>
        <v>5</v>
      </c>
      <c r="G66" s="2" t="n">
        <f aca="false">SUMIF('화 목록'!$B$2:$B$980,A66,'화 목록'!$F$2:$F$980)</f>
        <v>103</v>
      </c>
      <c r="H66" s="4" t="s">
        <v>148</v>
      </c>
      <c r="I66" s="3"/>
    </row>
    <row r="67" customFormat="false" ht="15" hidden="false" customHeight="false" outlineLevel="0" collapsed="false">
      <c r="C67" s="7" t="s">
        <v>149</v>
      </c>
      <c r="F67" s="7" t="n">
        <f aca="false">SUM(F2:F66)</f>
        <v>979</v>
      </c>
      <c r="G67" s="7" t="n">
        <f aca="false">SUM(G2:G66)</f>
        <v>13706</v>
      </c>
    </row>
  </sheetData>
  <autoFilter ref="A1:I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110"/>
  </cols>
  <sheetData>
    <row r="1" customFormat="false" ht="15" hidden="false" customHeight="false" outlineLevel="0" collapsed="false">
      <c r="A1" s="8" t="s">
        <v>150</v>
      </c>
      <c r="B1" s="8" t="s">
        <v>0</v>
      </c>
      <c r="C1" s="8" t="s">
        <v>2</v>
      </c>
      <c r="D1" s="8" t="s">
        <v>1</v>
      </c>
      <c r="E1" s="8" t="s">
        <v>151</v>
      </c>
      <c r="F1" s="8" t="s">
        <v>6</v>
      </c>
      <c r="G1" s="8" t="s">
        <v>152</v>
      </c>
    </row>
    <row r="2" customFormat="false" ht="28.35" hidden="false" customHeight="false" outlineLevel="0" collapsed="false">
      <c r="A2" s="2" t="n">
        <v>1</v>
      </c>
      <c r="B2" s="2" t="n">
        <v>1</v>
      </c>
      <c r="C2" s="3" t="str">
        <f aca="false">INDEX('부작 목록'!$C$2:$C$66,B2)</f>
        <v>식당 수다와 『리처』 토론</v>
      </c>
      <c r="D2" s="3" t="s">
        <v>9</v>
      </c>
      <c r="E2" s="2" t="n">
        <v>0</v>
      </c>
      <c r="F2" s="2" t="n">
        <v>55</v>
      </c>
      <c r="G2" s="4" t="s">
        <v>153</v>
      </c>
    </row>
    <row r="3" customFormat="false" ht="28.35" hidden="false" customHeight="false" outlineLevel="0" collapsed="false">
      <c r="A3" s="2" t="n">
        <v>2</v>
      </c>
      <c r="B3" s="2" t="n">
        <v>1</v>
      </c>
      <c r="C3" s="3" t="str">
        <f aca="false">INDEX('부작 목록'!$C$2:$C$66,B3)</f>
        <v>식당 수다와 『리처』 토론</v>
      </c>
      <c r="D3" s="3" t="s">
        <v>9</v>
      </c>
      <c r="E3" s="2" t="n">
        <v>59</v>
      </c>
      <c r="F3" s="2" t="n">
        <v>26</v>
      </c>
      <c r="G3" s="4" t="s">
        <v>154</v>
      </c>
    </row>
    <row r="4" customFormat="false" ht="41.75" hidden="false" customHeight="false" outlineLevel="0" collapsed="false">
      <c r="A4" s="2" t="n">
        <v>3</v>
      </c>
      <c r="B4" s="2" t="n">
        <v>1</v>
      </c>
      <c r="C4" s="3" t="str">
        <f aca="false">INDEX('부작 목록'!$C$2:$C$66,B4)</f>
        <v>식당 수다와 『리처』 토론</v>
      </c>
      <c r="D4" s="3" t="s">
        <v>9</v>
      </c>
      <c r="E4" s="2" t="n">
        <v>88</v>
      </c>
      <c r="F4" s="2" t="n">
        <v>46</v>
      </c>
      <c r="G4" s="4" t="s">
        <v>155</v>
      </c>
    </row>
    <row r="5" customFormat="false" ht="41.75" hidden="false" customHeight="false" outlineLevel="0" collapsed="false">
      <c r="A5" s="2" t="n">
        <v>4</v>
      </c>
      <c r="B5" s="2" t="n">
        <v>1</v>
      </c>
      <c r="C5" s="3" t="str">
        <f aca="false">INDEX('부작 목록'!$C$2:$C$66,B5)</f>
        <v>식당 수다와 『리처』 토론</v>
      </c>
      <c r="D5" s="3" t="s">
        <v>9</v>
      </c>
      <c r="E5" s="2" t="n">
        <v>139</v>
      </c>
      <c r="F5" s="2" t="n">
        <v>28</v>
      </c>
      <c r="G5" s="4" t="s">
        <v>156</v>
      </c>
    </row>
    <row r="6" customFormat="false" ht="41.75" hidden="false" customHeight="false" outlineLevel="0" collapsed="false">
      <c r="A6" s="2" t="n">
        <v>5</v>
      </c>
      <c r="B6" s="2" t="n">
        <v>1</v>
      </c>
      <c r="C6" s="3" t="str">
        <f aca="false">INDEX('부작 목록'!$C$2:$C$66,B6)</f>
        <v>식당 수다와 『리처』 토론</v>
      </c>
      <c r="D6" s="3" t="s">
        <v>9</v>
      </c>
      <c r="E6" s="2" t="n">
        <v>171</v>
      </c>
      <c r="F6" s="2" t="n">
        <v>23</v>
      </c>
      <c r="G6" s="4" t="s">
        <v>157</v>
      </c>
    </row>
    <row r="7" customFormat="false" ht="28.35" hidden="false" customHeight="false" outlineLevel="0" collapsed="false">
      <c r="A7" s="2" t="n">
        <v>6</v>
      </c>
      <c r="B7" s="2" t="n">
        <v>1</v>
      </c>
      <c r="C7" s="3" t="str">
        <f aca="false">INDEX('부작 목록'!$C$2:$C$66,B7)</f>
        <v>식당 수다와 『리처』 토론</v>
      </c>
      <c r="D7" s="3" t="s">
        <v>9</v>
      </c>
      <c r="E7" s="2" t="n">
        <v>197</v>
      </c>
      <c r="F7" s="2" t="n">
        <v>21</v>
      </c>
      <c r="G7" s="4" t="s">
        <v>158</v>
      </c>
    </row>
    <row r="8" customFormat="false" ht="41.75" hidden="false" customHeight="false" outlineLevel="0" collapsed="false">
      <c r="A8" s="2" t="n">
        <v>7</v>
      </c>
      <c r="B8" s="2" t="n">
        <v>1</v>
      </c>
      <c r="C8" s="3" t="str">
        <f aca="false">INDEX('부작 목록'!$C$2:$C$66,B8)</f>
        <v>식당 수다와 『리처』 토론</v>
      </c>
      <c r="D8" s="3" t="s">
        <v>9</v>
      </c>
      <c r="E8" s="2" t="n">
        <v>221</v>
      </c>
      <c r="F8" s="2" t="n">
        <v>22</v>
      </c>
      <c r="G8" s="4" t="s">
        <v>159</v>
      </c>
    </row>
    <row r="9" customFormat="false" ht="41.75" hidden="false" customHeight="false" outlineLevel="0" collapsed="false">
      <c r="A9" s="2" t="n">
        <v>8</v>
      </c>
      <c r="B9" s="2" t="n">
        <v>2</v>
      </c>
      <c r="C9" s="3" t="str">
        <f aca="false">INDEX('부작 목록'!$C$2:$C$66,B9)</f>
        <v>해안 불법 개발 탐사보도</v>
      </c>
      <c r="D9" s="3" t="s">
        <v>9</v>
      </c>
      <c r="E9" s="2" t="n">
        <v>247</v>
      </c>
      <c r="F9" s="2" t="n">
        <v>18</v>
      </c>
      <c r="G9" s="4" t="s">
        <v>160</v>
      </c>
    </row>
    <row r="10" customFormat="false" ht="41.75" hidden="false" customHeight="false" outlineLevel="0" collapsed="false">
      <c r="A10" s="2" t="n">
        <v>9</v>
      </c>
      <c r="B10" s="2" t="n">
        <v>2</v>
      </c>
      <c r="C10" s="3" t="str">
        <f aca="false">INDEX('부작 목록'!$C$2:$C$66,B10)</f>
        <v>해안 불법 개발 탐사보도</v>
      </c>
      <c r="D10" s="3" t="s">
        <v>9</v>
      </c>
      <c r="E10" s="2" t="n">
        <v>268</v>
      </c>
      <c r="F10" s="2" t="n">
        <v>18</v>
      </c>
      <c r="G10" s="4" t="s">
        <v>161</v>
      </c>
    </row>
    <row r="11" customFormat="false" ht="41.75" hidden="false" customHeight="false" outlineLevel="0" collapsed="false">
      <c r="A11" s="2" t="n">
        <v>10</v>
      </c>
      <c r="B11" s="2" t="n">
        <v>2</v>
      </c>
      <c r="C11" s="3" t="str">
        <f aca="false">INDEX('부작 목록'!$C$2:$C$66,B11)</f>
        <v>해안 불법 개발 탐사보도</v>
      </c>
      <c r="D11" s="3" t="s">
        <v>9</v>
      </c>
      <c r="E11" s="2" t="n">
        <v>290</v>
      </c>
      <c r="F11" s="2" t="n">
        <v>15</v>
      </c>
      <c r="G11" s="4" t="s">
        <v>162</v>
      </c>
    </row>
    <row r="12" customFormat="false" ht="28.35" hidden="false" customHeight="false" outlineLevel="0" collapsed="false">
      <c r="A12" s="2" t="n">
        <v>11</v>
      </c>
      <c r="B12" s="2" t="n">
        <v>2</v>
      </c>
      <c r="C12" s="3" t="str">
        <f aca="false">INDEX('부작 목록'!$C$2:$C$66,B12)</f>
        <v>해안 불법 개발 탐사보도</v>
      </c>
      <c r="D12" s="3" t="s">
        <v>9</v>
      </c>
      <c r="E12" s="2" t="n">
        <v>308</v>
      </c>
      <c r="F12" s="2" t="n">
        <v>14</v>
      </c>
      <c r="G12" s="4" t="s">
        <v>163</v>
      </c>
    </row>
    <row r="13" customFormat="false" ht="28.35" hidden="false" customHeight="false" outlineLevel="0" collapsed="false">
      <c r="A13" s="2" t="n">
        <v>12</v>
      </c>
      <c r="B13" s="2" t="n">
        <v>2</v>
      </c>
      <c r="C13" s="3" t="str">
        <f aca="false">INDEX('부작 목록'!$C$2:$C$66,B13)</f>
        <v>해안 불법 개발 탐사보도</v>
      </c>
      <c r="D13" s="3" t="s">
        <v>9</v>
      </c>
      <c r="E13" s="2" t="n">
        <v>325</v>
      </c>
      <c r="F13" s="2" t="n">
        <v>24</v>
      </c>
      <c r="G13" s="4" t="s">
        <v>164</v>
      </c>
    </row>
    <row r="14" customFormat="false" ht="28.35" hidden="false" customHeight="false" outlineLevel="0" collapsed="false">
      <c r="A14" s="2" t="n">
        <v>13</v>
      </c>
      <c r="B14" s="2" t="n">
        <v>2</v>
      </c>
      <c r="C14" s="3" t="str">
        <f aca="false">INDEX('부작 목록'!$C$2:$C$66,B14)</f>
        <v>해안 불법 개발 탐사보도</v>
      </c>
      <c r="D14" s="3" t="s">
        <v>9</v>
      </c>
      <c r="E14" s="2" t="n">
        <v>352</v>
      </c>
      <c r="F14" s="2" t="n">
        <v>24</v>
      </c>
      <c r="G14" s="4" t="s">
        <v>165</v>
      </c>
    </row>
    <row r="15" customFormat="false" ht="41.75" hidden="false" customHeight="false" outlineLevel="0" collapsed="false">
      <c r="A15" s="2" t="n">
        <v>14</v>
      </c>
      <c r="B15" s="2" t="n">
        <v>3</v>
      </c>
      <c r="C15" s="3" t="str">
        <f aca="false">INDEX('부작 목록'!$C$2:$C$66,B15)</f>
        <v>신문 기사 읽기 대화</v>
      </c>
      <c r="D15" s="3" t="s">
        <v>9</v>
      </c>
      <c r="E15" s="2" t="n">
        <v>379</v>
      </c>
      <c r="F15" s="2" t="n">
        <v>17</v>
      </c>
      <c r="G15" s="4" t="s">
        <v>166</v>
      </c>
    </row>
    <row r="16" customFormat="false" ht="41.75" hidden="false" customHeight="false" outlineLevel="0" collapsed="false">
      <c r="A16" s="2" t="n">
        <v>15</v>
      </c>
      <c r="B16" s="2" t="n">
        <v>3</v>
      </c>
      <c r="C16" s="3" t="str">
        <f aca="false">INDEX('부작 목록'!$C$2:$C$66,B16)</f>
        <v>신문 기사 읽기 대화</v>
      </c>
      <c r="D16" s="3" t="s">
        <v>9</v>
      </c>
      <c r="E16" s="2" t="n">
        <v>399</v>
      </c>
      <c r="F16" s="2" t="n">
        <v>18</v>
      </c>
      <c r="G16" s="4" t="s">
        <v>167</v>
      </c>
    </row>
    <row r="17" customFormat="false" ht="41.75" hidden="false" customHeight="false" outlineLevel="0" collapsed="false">
      <c r="A17" s="2" t="n">
        <v>16</v>
      </c>
      <c r="B17" s="2" t="n">
        <v>3</v>
      </c>
      <c r="C17" s="3" t="str">
        <f aca="false">INDEX('부작 목록'!$C$2:$C$66,B17)</f>
        <v>신문 기사 읽기 대화</v>
      </c>
      <c r="D17" s="3" t="s">
        <v>9</v>
      </c>
      <c r="E17" s="2" t="n">
        <v>422</v>
      </c>
      <c r="F17" s="2" t="n">
        <v>15</v>
      </c>
      <c r="G17" s="4" t="s">
        <v>168</v>
      </c>
    </row>
    <row r="18" customFormat="false" ht="41.75" hidden="false" customHeight="false" outlineLevel="0" collapsed="false">
      <c r="A18" s="2" t="n">
        <v>17</v>
      </c>
      <c r="B18" s="2" t="n">
        <v>3</v>
      </c>
      <c r="C18" s="3" t="str">
        <f aca="false">INDEX('부작 목록'!$C$2:$C$66,B18)</f>
        <v>신문 기사 읽기 대화</v>
      </c>
      <c r="D18" s="3" t="s">
        <v>9</v>
      </c>
      <c r="E18" s="2" t="n">
        <v>440</v>
      </c>
      <c r="F18" s="2" t="n">
        <v>15</v>
      </c>
      <c r="G18" s="4" t="s">
        <v>169</v>
      </c>
    </row>
    <row r="19" customFormat="false" ht="41.75" hidden="false" customHeight="false" outlineLevel="0" collapsed="false">
      <c r="A19" s="2" t="n">
        <v>18</v>
      </c>
      <c r="B19" s="2" t="n">
        <v>3</v>
      </c>
      <c r="C19" s="3" t="str">
        <f aca="false">INDEX('부작 목록'!$C$2:$C$66,B19)</f>
        <v>신문 기사 읽기 대화</v>
      </c>
      <c r="D19" s="3" t="s">
        <v>9</v>
      </c>
      <c r="E19" s="2" t="n">
        <v>458</v>
      </c>
      <c r="F19" s="2" t="n">
        <v>14</v>
      </c>
      <c r="G19" s="4" t="s">
        <v>170</v>
      </c>
    </row>
    <row r="20" customFormat="false" ht="41.75" hidden="false" customHeight="false" outlineLevel="0" collapsed="false">
      <c r="A20" s="2" t="n">
        <v>19</v>
      </c>
      <c r="B20" s="2" t="n">
        <v>3</v>
      </c>
      <c r="C20" s="3" t="str">
        <f aca="false">INDEX('부작 목록'!$C$2:$C$66,B20)</f>
        <v>신문 기사 읽기 대화</v>
      </c>
      <c r="D20" s="3" t="s">
        <v>9</v>
      </c>
      <c r="E20" s="2" t="n">
        <v>474</v>
      </c>
      <c r="F20" s="2" t="n">
        <v>16</v>
      </c>
      <c r="G20" s="4" t="s">
        <v>171</v>
      </c>
    </row>
    <row r="21" customFormat="false" ht="41.75" hidden="false" customHeight="false" outlineLevel="0" collapsed="false">
      <c r="A21" s="2" t="n">
        <v>20</v>
      </c>
      <c r="B21" s="2" t="n">
        <v>3</v>
      </c>
      <c r="C21" s="3" t="str">
        <f aca="false">INDEX('부작 목록'!$C$2:$C$66,B21)</f>
        <v>신문 기사 읽기 대화</v>
      </c>
      <c r="D21" s="3" t="s">
        <v>9</v>
      </c>
      <c r="E21" s="2" t="n">
        <v>492</v>
      </c>
      <c r="F21" s="2" t="n">
        <v>16</v>
      </c>
      <c r="G21" s="4" t="s">
        <v>172</v>
      </c>
    </row>
    <row r="22" customFormat="false" ht="41.75" hidden="false" customHeight="false" outlineLevel="0" collapsed="false">
      <c r="A22" s="2" t="n">
        <v>21</v>
      </c>
      <c r="B22" s="2" t="n">
        <v>3</v>
      </c>
      <c r="C22" s="3" t="str">
        <f aca="false">INDEX('부작 목록'!$C$2:$C$66,B22)</f>
        <v>신문 기사 읽기 대화</v>
      </c>
      <c r="D22" s="3" t="s">
        <v>9</v>
      </c>
      <c r="E22" s="2" t="n">
        <v>511</v>
      </c>
      <c r="F22" s="2" t="n">
        <v>13</v>
      </c>
      <c r="G22" s="4" t="s">
        <v>173</v>
      </c>
    </row>
    <row r="23" customFormat="false" ht="41.75" hidden="false" customHeight="false" outlineLevel="0" collapsed="false">
      <c r="A23" s="2" t="n">
        <v>22</v>
      </c>
      <c r="B23" s="2" t="n">
        <v>3</v>
      </c>
      <c r="C23" s="3" t="str">
        <f aca="false">INDEX('부작 목록'!$C$2:$C$66,B23)</f>
        <v>신문 기사 읽기 대화</v>
      </c>
      <c r="D23" s="3" t="s">
        <v>9</v>
      </c>
      <c r="E23" s="2" t="n">
        <v>526</v>
      </c>
      <c r="F23" s="2" t="n">
        <v>13</v>
      </c>
      <c r="G23" s="6" t="s">
        <v>174</v>
      </c>
    </row>
    <row r="24" customFormat="false" ht="41.75" hidden="false" customHeight="false" outlineLevel="0" collapsed="false">
      <c r="A24" s="2" t="n">
        <v>23</v>
      </c>
      <c r="B24" s="2" t="n">
        <v>3</v>
      </c>
      <c r="C24" s="3" t="str">
        <f aca="false">INDEX('부작 목록'!$C$2:$C$66,B24)</f>
        <v>신문 기사 읽기 대화</v>
      </c>
      <c r="D24" s="3" t="s">
        <v>9</v>
      </c>
      <c r="E24" s="2" t="n">
        <v>542</v>
      </c>
      <c r="F24" s="2" t="n">
        <v>17</v>
      </c>
      <c r="G24" s="4" t="s">
        <v>175</v>
      </c>
    </row>
    <row r="25" customFormat="false" ht="41.75" hidden="false" customHeight="false" outlineLevel="0" collapsed="false">
      <c r="A25" s="2" t="n">
        <v>24</v>
      </c>
      <c r="B25" s="2" t="n">
        <v>3</v>
      </c>
      <c r="C25" s="3" t="str">
        <f aca="false">INDEX('부작 목록'!$C$2:$C$66,B25)</f>
        <v>신문 기사 읽기 대화</v>
      </c>
      <c r="D25" s="3" t="s">
        <v>9</v>
      </c>
      <c r="E25" s="2" t="n">
        <v>562</v>
      </c>
      <c r="F25" s="2" t="n">
        <v>10</v>
      </c>
      <c r="G25" s="4" t="s">
        <v>176</v>
      </c>
    </row>
    <row r="26" customFormat="false" ht="41.75" hidden="false" customHeight="false" outlineLevel="0" collapsed="false">
      <c r="A26" s="2" t="n">
        <v>25</v>
      </c>
      <c r="B26" s="2" t="n">
        <v>3</v>
      </c>
      <c r="C26" s="3" t="str">
        <f aca="false">INDEX('부작 목록'!$C$2:$C$66,B26)</f>
        <v>신문 기사 읽기 대화</v>
      </c>
      <c r="D26" s="3" t="s">
        <v>9</v>
      </c>
      <c r="E26" s="2" t="n">
        <v>575</v>
      </c>
      <c r="F26" s="2" t="n">
        <v>17</v>
      </c>
      <c r="G26" s="4" t="s">
        <v>177</v>
      </c>
    </row>
    <row r="27" customFormat="false" ht="55.2" hidden="false" customHeight="false" outlineLevel="0" collapsed="false">
      <c r="A27" s="2" t="n">
        <v>26</v>
      </c>
      <c r="B27" s="2" t="n">
        <v>4</v>
      </c>
      <c r="C27" s="3" t="str">
        <f aca="false">INDEX('부작 목록'!$C$2:$C$66,B27)</f>
        <v>카디스 무기 밀매 잠입</v>
      </c>
      <c r="D27" s="3" t="s">
        <v>16</v>
      </c>
      <c r="E27" s="2" t="n">
        <v>597</v>
      </c>
      <c r="F27" s="2" t="n">
        <v>50</v>
      </c>
      <c r="G27" s="4" t="s">
        <v>178</v>
      </c>
    </row>
    <row r="28" customFormat="false" ht="55.2" hidden="false" customHeight="false" outlineLevel="0" collapsed="false">
      <c r="A28" s="2" t="n">
        <v>27</v>
      </c>
      <c r="B28" s="2" t="n">
        <v>4</v>
      </c>
      <c r="C28" s="3" t="str">
        <f aca="false">INDEX('부작 목록'!$C$2:$C$66,B28)</f>
        <v>카디스 무기 밀매 잠입</v>
      </c>
      <c r="D28" s="3" t="s">
        <v>16</v>
      </c>
      <c r="E28" s="2" t="n">
        <v>652</v>
      </c>
      <c r="F28" s="2" t="n">
        <v>27</v>
      </c>
      <c r="G28" s="4" t="s">
        <v>179</v>
      </c>
    </row>
    <row r="29" customFormat="false" ht="54.45" hidden="false" customHeight="false" outlineLevel="0" collapsed="false">
      <c r="A29" s="2" t="n">
        <v>28</v>
      </c>
      <c r="B29" s="2" t="n">
        <v>4</v>
      </c>
      <c r="C29" s="3" t="str">
        <f aca="false">INDEX('부작 목록'!$C$2:$C$66,B29)</f>
        <v>카디스 무기 밀매 잠입</v>
      </c>
      <c r="D29" s="3" t="s">
        <v>16</v>
      </c>
      <c r="E29" s="2" t="n">
        <v>682</v>
      </c>
      <c r="F29" s="2" t="n">
        <v>35</v>
      </c>
      <c r="G29" s="4" t="s">
        <v>180</v>
      </c>
    </row>
    <row r="30" customFormat="false" ht="41.75" hidden="false" customHeight="false" outlineLevel="0" collapsed="false">
      <c r="A30" s="2" t="n">
        <v>29</v>
      </c>
      <c r="B30" s="2" t="n">
        <v>4</v>
      </c>
      <c r="C30" s="3" t="str">
        <f aca="false">INDEX('부작 목록'!$C$2:$C$66,B30)</f>
        <v>카디스 무기 밀매 잠입</v>
      </c>
      <c r="D30" s="3" t="s">
        <v>16</v>
      </c>
      <c r="E30" s="2" t="n">
        <v>721</v>
      </c>
      <c r="F30" s="2" t="n">
        <v>17</v>
      </c>
      <c r="G30" s="4" t="s">
        <v>181</v>
      </c>
    </row>
    <row r="31" customFormat="false" ht="41.75" hidden="false" customHeight="false" outlineLevel="0" collapsed="false">
      <c r="A31" s="2" t="n">
        <v>30</v>
      </c>
      <c r="B31" s="2" t="n">
        <v>4</v>
      </c>
      <c r="C31" s="3" t="str">
        <f aca="false">INDEX('부작 목록'!$C$2:$C$66,B31)</f>
        <v>카디스 무기 밀매 잠입</v>
      </c>
      <c r="D31" s="3" t="s">
        <v>16</v>
      </c>
      <c r="E31" s="2" t="n">
        <v>741</v>
      </c>
      <c r="F31" s="2" t="n">
        <v>31</v>
      </c>
      <c r="G31" s="4" t="s">
        <v>182</v>
      </c>
    </row>
    <row r="32" customFormat="false" ht="55.2" hidden="false" customHeight="false" outlineLevel="0" collapsed="false">
      <c r="A32" s="2" t="n">
        <v>31</v>
      </c>
      <c r="B32" s="2" t="n">
        <v>4</v>
      </c>
      <c r="C32" s="3" t="str">
        <f aca="false">INDEX('부작 목록'!$C$2:$C$66,B32)</f>
        <v>카디스 무기 밀매 잠입</v>
      </c>
      <c r="D32" s="3" t="s">
        <v>16</v>
      </c>
      <c r="E32" s="2" t="n">
        <v>776</v>
      </c>
      <c r="F32" s="2" t="n">
        <v>53</v>
      </c>
      <c r="G32" s="4" t="s">
        <v>183</v>
      </c>
    </row>
    <row r="33" customFormat="false" ht="55.2" hidden="false" customHeight="false" outlineLevel="0" collapsed="false">
      <c r="A33" s="2" t="n">
        <v>32</v>
      </c>
      <c r="B33" s="2" t="n">
        <v>4</v>
      </c>
      <c r="C33" s="3" t="str">
        <f aca="false">INDEX('부작 목록'!$C$2:$C$66,B33)</f>
        <v>카디스 무기 밀매 잠입</v>
      </c>
      <c r="D33" s="3" t="s">
        <v>16</v>
      </c>
      <c r="E33" s="2" t="n">
        <v>833</v>
      </c>
      <c r="F33" s="2" t="n">
        <v>82</v>
      </c>
      <c r="G33" s="4" t="s">
        <v>184</v>
      </c>
    </row>
    <row r="34" customFormat="false" ht="41.75" hidden="false" customHeight="false" outlineLevel="0" collapsed="false">
      <c r="A34" s="2" t="n">
        <v>33</v>
      </c>
      <c r="B34" s="2" t="n">
        <v>4</v>
      </c>
      <c r="C34" s="3" t="str">
        <f aca="false">INDEX('부작 목록'!$C$2:$C$66,B34)</f>
        <v>카디스 무기 밀매 잠입</v>
      </c>
      <c r="D34" s="3" t="s">
        <v>16</v>
      </c>
      <c r="E34" s="2" t="n">
        <v>922</v>
      </c>
      <c r="F34" s="2" t="n">
        <v>39</v>
      </c>
      <c r="G34" s="4" t="s">
        <v>185</v>
      </c>
    </row>
    <row r="35" customFormat="false" ht="41.75" hidden="false" customHeight="false" outlineLevel="0" collapsed="false">
      <c r="A35" s="2" t="n">
        <v>34</v>
      </c>
      <c r="B35" s="2" t="n">
        <v>4</v>
      </c>
      <c r="C35" s="3" t="str">
        <f aca="false">INDEX('부작 목록'!$C$2:$C$66,B35)</f>
        <v>카디스 무기 밀매 잠입</v>
      </c>
      <c r="D35" s="3" t="s">
        <v>16</v>
      </c>
      <c r="E35" s="2" t="n">
        <v>965</v>
      </c>
      <c r="F35" s="2" t="n">
        <v>28</v>
      </c>
      <c r="G35" s="4" t="s">
        <v>186</v>
      </c>
    </row>
    <row r="36" customFormat="false" ht="41.75" hidden="false" customHeight="false" outlineLevel="0" collapsed="false">
      <c r="A36" s="2" t="n">
        <v>35</v>
      </c>
      <c r="B36" s="2" t="n">
        <v>4</v>
      </c>
      <c r="C36" s="3" t="str">
        <f aca="false">INDEX('부작 목록'!$C$2:$C$66,B36)</f>
        <v>카디스 무기 밀매 잠입</v>
      </c>
      <c r="D36" s="3" t="s">
        <v>16</v>
      </c>
      <c r="E36" s="2" t="n">
        <v>997</v>
      </c>
      <c r="F36" s="2" t="n">
        <v>23</v>
      </c>
      <c r="G36" s="4" t="s">
        <v>187</v>
      </c>
    </row>
    <row r="37" customFormat="false" ht="28.35" hidden="false" customHeight="false" outlineLevel="0" collapsed="false">
      <c r="A37" s="2" t="n">
        <v>36</v>
      </c>
      <c r="B37" s="2" t="n">
        <v>4</v>
      </c>
      <c r="C37" s="3" t="str">
        <f aca="false">INDEX('부작 목록'!$C$2:$C$66,B37)</f>
        <v>카디스 무기 밀매 잠입</v>
      </c>
      <c r="D37" s="3" t="s">
        <v>16</v>
      </c>
      <c r="E37" s="2" t="n">
        <v>1024</v>
      </c>
      <c r="F37" s="2" t="n">
        <v>10</v>
      </c>
      <c r="G37" s="4" t="s">
        <v>188</v>
      </c>
    </row>
    <row r="38" customFormat="false" ht="28.35" hidden="false" customHeight="false" outlineLevel="0" collapsed="false">
      <c r="A38" s="2" t="n">
        <v>37</v>
      </c>
      <c r="B38" s="2" t="n">
        <v>4</v>
      </c>
      <c r="C38" s="3" t="str">
        <f aca="false">INDEX('부작 목록'!$C$2:$C$66,B38)</f>
        <v>카디스 무기 밀매 잠입</v>
      </c>
      <c r="D38" s="3" t="s">
        <v>16</v>
      </c>
      <c r="E38" s="2" t="n">
        <v>1037</v>
      </c>
      <c r="F38" s="2" t="n">
        <v>18</v>
      </c>
      <c r="G38" s="4" t="s">
        <v>189</v>
      </c>
    </row>
    <row r="39" customFormat="false" ht="41.75" hidden="false" customHeight="false" outlineLevel="0" collapsed="false">
      <c r="A39" s="2" t="n">
        <v>38</v>
      </c>
      <c r="B39" s="2" t="n">
        <v>4</v>
      </c>
      <c r="C39" s="3" t="str">
        <f aca="false">INDEX('부작 목록'!$C$2:$C$66,B39)</f>
        <v>카디스 무기 밀매 잠입</v>
      </c>
      <c r="D39" s="3" t="s">
        <v>16</v>
      </c>
      <c r="E39" s="2" t="n">
        <v>1058</v>
      </c>
      <c r="F39" s="2" t="n">
        <v>28</v>
      </c>
      <c r="G39" s="4" t="s">
        <v>190</v>
      </c>
    </row>
    <row r="40" customFormat="false" ht="41.75" hidden="false" customHeight="false" outlineLevel="0" collapsed="false">
      <c r="A40" s="2" t="n">
        <v>39</v>
      </c>
      <c r="B40" s="2" t="n">
        <v>4</v>
      </c>
      <c r="C40" s="3" t="str">
        <f aca="false">INDEX('부작 목록'!$C$2:$C$66,B40)</f>
        <v>카디스 무기 밀매 잠입</v>
      </c>
      <c r="D40" s="3" t="s">
        <v>16</v>
      </c>
      <c r="E40" s="2" t="n">
        <v>1089</v>
      </c>
      <c r="F40" s="2" t="n">
        <v>29</v>
      </c>
      <c r="G40" s="4" t="s">
        <v>191</v>
      </c>
    </row>
    <row r="41" customFormat="false" ht="55.2" hidden="false" customHeight="false" outlineLevel="0" collapsed="false">
      <c r="A41" s="2" t="n">
        <v>40</v>
      </c>
      <c r="B41" s="2" t="n">
        <v>4</v>
      </c>
      <c r="C41" s="3" t="str">
        <f aca="false">INDEX('부작 목록'!$C$2:$C$66,B41)</f>
        <v>카디스 무기 밀매 잠입</v>
      </c>
      <c r="D41" s="3" t="s">
        <v>16</v>
      </c>
      <c r="E41" s="2" t="n">
        <v>1123</v>
      </c>
      <c r="F41" s="2" t="n">
        <v>56</v>
      </c>
      <c r="G41" s="4" t="s">
        <v>192</v>
      </c>
    </row>
    <row r="42" customFormat="false" ht="41.75" hidden="false" customHeight="false" outlineLevel="0" collapsed="false">
      <c r="A42" s="2" t="n">
        <v>41</v>
      </c>
      <c r="B42" s="2" t="n">
        <v>4</v>
      </c>
      <c r="C42" s="3" t="str">
        <f aca="false">INDEX('부작 목록'!$C$2:$C$66,B42)</f>
        <v>카디스 무기 밀매 잠입</v>
      </c>
      <c r="D42" s="3" t="s">
        <v>16</v>
      </c>
      <c r="E42" s="2" t="n">
        <v>1183</v>
      </c>
      <c r="F42" s="2" t="n">
        <v>34</v>
      </c>
      <c r="G42" s="4" t="s">
        <v>193</v>
      </c>
    </row>
    <row r="43" customFormat="false" ht="41.75" hidden="false" customHeight="false" outlineLevel="0" collapsed="false">
      <c r="A43" s="2" t="n">
        <v>42</v>
      </c>
      <c r="B43" s="2" t="n">
        <v>4</v>
      </c>
      <c r="C43" s="3" t="str">
        <f aca="false">INDEX('부작 목록'!$C$2:$C$66,B43)</f>
        <v>카디스 무기 밀매 잠입</v>
      </c>
      <c r="D43" s="3" t="s">
        <v>16</v>
      </c>
      <c r="E43" s="2" t="n">
        <v>1221</v>
      </c>
      <c r="F43" s="2" t="n">
        <v>40</v>
      </c>
      <c r="G43" s="4" t="s">
        <v>194</v>
      </c>
    </row>
    <row r="44" customFormat="false" ht="41.75" hidden="false" customHeight="false" outlineLevel="0" collapsed="false">
      <c r="A44" s="2" t="n">
        <v>43</v>
      </c>
      <c r="B44" s="2" t="n">
        <v>4</v>
      </c>
      <c r="C44" s="3" t="str">
        <f aca="false">INDEX('부작 목록'!$C$2:$C$66,B44)</f>
        <v>카디스 무기 밀매 잠입</v>
      </c>
      <c r="D44" s="3" t="s">
        <v>16</v>
      </c>
      <c r="E44" s="2" t="n">
        <v>1265</v>
      </c>
      <c r="F44" s="2" t="n">
        <v>34</v>
      </c>
      <c r="G44" s="4" t="s">
        <v>195</v>
      </c>
    </row>
    <row r="45" customFormat="false" ht="41.75" hidden="false" customHeight="false" outlineLevel="0" collapsed="false">
      <c r="A45" s="2" t="n">
        <v>44</v>
      </c>
      <c r="B45" s="2" t="n">
        <v>4</v>
      </c>
      <c r="C45" s="3" t="str">
        <f aca="false">INDEX('부작 목록'!$C$2:$C$66,B45)</f>
        <v>카디스 무기 밀매 잠입</v>
      </c>
      <c r="D45" s="3" t="s">
        <v>16</v>
      </c>
      <c r="E45" s="2" t="n">
        <v>1304</v>
      </c>
      <c r="F45" s="2" t="n">
        <v>36</v>
      </c>
      <c r="G45" s="4" t="s">
        <v>196</v>
      </c>
    </row>
    <row r="46" customFormat="false" ht="41.75" hidden="false" customHeight="false" outlineLevel="0" collapsed="false">
      <c r="A46" s="2" t="n">
        <v>45</v>
      </c>
      <c r="B46" s="2" t="n">
        <v>4</v>
      </c>
      <c r="C46" s="3" t="str">
        <f aca="false">INDEX('부작 목록'!$C$2:$C$66,B46)</f>
        <v>카디스 무기 밀매 잠입</v>
      </c>
      <c r="D46" s="3" t="s">
        <v>16</v>
      </c>
      <c r="E46" s="2" t="n">
        <v>1344</v>
      </c>
      <c r="F46" s="2" t="n">
        <v>30</v>
      </c>
      <c r="G46" s="4" t="s">
        <v>197</v>
      </c>
    </row>
    <row r="47" customFormat="false" ht="41.75" hidden="false" customHeight="false" outlineLevel="0" collapsed="false">
      <c r="A47" s="2" t="n">
        <v>46</v>
      </c>
      <c r="B47" s="2" t="n">
        <v>4</v>
      </c>
      <c r="C47" s="3" t="str">
        <f aca="false">INDEX('부작 목록'!$C$2:$C$66,B47)</f>
        <v>카디스 무기 밀매 잠입</v>
      </c>
      <c r="D47" s="3" t="s">
        <v>16</v>
      </c>
      <c r="E47" s="2" t="n">
        <v>1378</v>
      </c>
      <c r="F47" s="2" t="n">
        <v>93</v>
      </c>
      <c r="G47" s="4" t="s">
        <v>198</v>
      </c>
    </row>
    <row r="48" customFormat="false" ht="41.75" hidden="false" customHeight="false" outlineLevel="0" collapsed="false">
      <c r="A48" s="2" t="n">
        <v>47</v>
      </c>
      <c r="B48" s="2" t="n">
        <v>4</v>
      </c>
      <c r="C48" s="3" t="str">
        <f aca="false">INDEX('부작 목록'!$C$2:$C$66,B48)</f>
        <v>카디스 무기 밀매 잠입</v>
      </c>
      <c r="D48" s="3" t="s">
        <v>16</v>
      </c>
      <c r="E48" s="2" t="n">
        <v>1477</v>
      </c>
      <c r="F48" s="2" t="n">
        <v>36</v>
      </c>
      <c r="G48" s="4" t="s">
        <v>199</v>
      </c>
    </row>
    <row r="49" customFormat="false" ht="55.2" hidden="false" customHeight="false" outlineLevel="0" collapsed="false">
      <c r="A49" s="2" t="n">
        <v>48</v>
      </c>
      <c r="B49" s="2" t="n">
        <v>4</v>
      </c>
      <c r="C49" s="3" t="str">
        <f aca="false">INDEX('부작 목록'!$C$2:$C$66,B49)</f>
        <v>카디스 무기 밀매 잠입</v>
      </c>
      <c r="D49" s="3" t="s">
        <v>16</v>
      </c>
      <c r="E49" s="2" t="n">
        <v>1517</v>
      </c>
      <c r="F49" s="2" t="n">
        <v>56</v>
      </c>
      <c r="G49" s="4" t="s">
        <v>200</v>
      </c>
    </row>
    <row r="50" customFormat="false" ht="28.35" hidden="false" customHeight="false" outlineLevel="0" collapsed="false">
      <c r="A50" s="2" t="n">
        <v>49</v>
      </c>
      <c r="B50" s="2" t="n">
        <v>4</v>
      </c>
      <c r="C50" s="3" t="str">
        <f aca="false">INDEX('부작 목록'!$C$2:$C$66,B50)</f>
        <v>카디스 무기 밀매 잠입</v>
      </c>
      <c r="D50" s="3" t="s">
        <v>16</v>
      </c>
      <c r="E50" s="2" t="n">
        <v>1579</v>
      </c>
      <c r="F50" s="2" t="n">
        <v>31</v>
      </c>
      <c r="G50" s="4" t="s">
        <v>201</v>
      </c>
    </row>
    <row r="51" customFormat="false" ht="28.35" hidden="false" customHeight="false" outlineLevel="0" collapsed="false">
      <c r="A51" s="2" t="n">
        <v>50</v>
      </c>
      <c r="B51" s="2" t="n">
        <v>4</v>
      </c>
      <c r="C51" s="3" t="str">
        <f aca="false">INDEX('부작 목록'!$C$2:$C$66,B51)</f>
        <v>카디스 무기 밀매 잠입</v>
      </c>
      <c r="D51" s="3" t="s">
        <v>16</v>
      </c>
      <c r="E51" s="2" t="n">
        <v>1614</v>
      </c>
      <c r="F51" s="2" t="n">
        <v>37</v>
      </c>
      <c r="G51" s="4" t="s">
        <v>202</v>
      </c>
    </row>
    <row r="52" customFormat="false" ht="28.35" hidden="false" customHeight="false" outlineLevel="0" collapsed="false">
      <c r="A52" s="2" t="n">
        <v>51</v>
      </c>
      <c r="B52" s="2" t="n">
        <v>4</v>
      </c>
      <c r="C52" s="3" t="str">
        <f aca="false">INDEX('부작 목록'!$C$2:$C$66,B52)</f>
        <v>카디스 무기 밀매 잠입</v>
      </c>
      <c r="D52" s="3" t="s">
        <v>16</v>
      </c>
      <c r="E52" s="2" t="n">
        <v>1656</v>
      </c>
      <c r="F52" s="2" t="n">
        <v>44</v>
      </c>
      <c r="G52" s="4" t="s">
        <v>203</v>
      </c>
    </row>
    <row r="53" customFormat="false" ht="41.75" hidden="false" customHeight="false" outlineLevel="0" collapsed="false">
      <c r="A53" s="2" t="n">
        <v>52</v>
      </c>
      <c r="B53" s="2" t="n">
        <v>5</v>
      </c>
      <c r="C53" s="3" t="str">
        <f aca="false">INDEX('부작 목록'!$C$2:$C$66,B53)</f>
        <v>마드리드 경매장과 치무 황금 칼</v>
      </c>
      <c r="D53" s="3" t="s">
        <v>16</v>
      </c>
      <c r="E53" s="2" t="n">
        <v>1705</v>
      </c>
      <c r="F53" s="2" t="n">
        <v>39</v>
      </c>
      <c r="G53" s="4" t="s">
        <v>204</v>
      </c>
    </row>
    <row r="54" customFormat="false" ht="28.35" hidden="false" customHeight="false" outlineLevel="0" collapsed="false">
      <c r="A54" s="2" t="n">
        <v>53</v>
      </c>
      <c r="B54" s="2" t="n">
        <v>5</v>
      </c>
      <c r="C54" s="3" t="str">
        <f aca="false">INDEX('부작 목록'!$C$2:$C$66,B54)</f>
        <v>마드리드 경매장과 치무 황금 칼</v>
      </c>
      <c r="D54" s="3" t="s">
        <v>16</v>
      </c>
      <c r="E54" s="2" t="n">
        <v>1749</v>
      </c>
      <c r="F54" s="2" t="n">
        <v>41</v>
      </c>
      <c r="G54" s="4" t="s">
        <v>205</v>
      </c>
    </row>
    <row r="55" customFormat="false" ht="28.35" hidden="false" customHeight="false" outlineLevel="0" collapsed="false">
      <c r="A55" s="2" t="n">
        <v>54</v>
      </c>
      <c r="B55" s="2" t="n">
        <v>5</v>
      </c>
      <c r="C55" s="3" t="str">
        <f aca="false">INDEX('부작 목록'!$C$2:$C$66,B55)</f>
        <v>마드리드 경매장과 치무 황금 칼</v>
      </c>
      <c r="D55" s="3" t="s">
        <v>16</v>
      </c>
      <c r="E55" s="2" t="n">
        <v>1794</v>
      </c>
      <c r="F55" s="2" t="n">
        <v>32</v>
      </c>
      <c r="G55" s="4" t="s">
        <v>206</v>
      </c>
    </row>
    <row r="56" customFormat="false" ht="28.35" hidden="false" customHeight="false" outlineLevel="0" collapsed="false">
      <c r="A56" s="2" t="n">
        <v>55</v>
      </c>
      <c r="B56" s="2" t="n">
        <v>5</v>
      </c>
      <c r="C56" s="3" t="str">
        <f aca="false">INDEX('부작 목록'!$C$2:$C$66,B56)</f>
        <v>마드리드 경매장과 치무 황금 칼</v>
      </c>
      <c r="D56" s="3" t="s">
        <v>16</v>
      </c>
      <c r="E56" s="2" t="n">
        <v>1829</v>
      </c>
      <c r="F56" s="2" t="n">
        <v>32</v>
      </c>
      <c r="G56" s="4" t="s">
        <v>207</v>
      </c>
    </row>
    <row r="57" customFormat="false" ht="28.35" hidden="false" customHeight="false" outlineLevel="0" collapsed="false">
      <c r="A57" s="2" t="n">
        <v>56</v>
      </c>
      <c r="B57" s="2" t="n">
        <v>5</v>
      </c>
      <c r="C57" s="3" t="str">
        <f aca="false">INDEX('부작 목록'!$C$2:$C$66,B57)</f>
        <v>마드리드 경매장과 치무 황금 칼</v>
      </c>
      <c r="D57" s="3" t="s">
        <v>16</v>
      </c>
      <c r="E57" s="2" t="n">
        <v>1864</v>
      </c>
      <c r="F57" s="2" t="n">
        <v>35</v>
      </c>
      <c r="G57" s="6" t="s">
        <v>208</v>
      </c>
    </row>
    <row r="58" customFormat="false" ht="41.75" hidden="false" customHeight="false" outlineLevel="0" collapsed="false">
      <c r="A58" s="2" t="n">
        <v>57</v>
      </c>
      <c r="B58" s="2" t="n">
        <v>5</v>
      </c>
      <c r="C58" s="3" t="str">
        <f aca="false">INDEX('부작 목록'!$C$2:$C$66,B58)</f>
        <v>마드리드 경매장과 치무 황금 칼</v>
      </c>
      <c r="D58" s="3" t="s">
        <v>16</v>
      </c>
      <c r="E58" s="2" t="n">
        <v>1903</v>
      </c>
      <c r="F58" s="2" t="n">
        <v>37</v>
      </c>
      <c r="G58" s="4" t="s">
        <v>209</v>
      </c>
    </row>
    <row r="59" customFormat="false" ht="28.35" hidden="false" customHeight="false" outlineLevel="0" collapsed="false">
      <c r="A59" s="2" t="n">
        <v>58</v>
      </c>
      <c r="B59" s="2" t="n">
        <v>5</v>
      </c>
      <c r="C59" s="3" t="str">
        <f aca="false">INDEX('부작 목록'!$C$2:$C$66,B59)</f>
        <v>마드리드 경매장과 치무 황금 칼</v>
      </c>
      <c r="D59" s="3" t="s">
        <v>16</v>
      </c>
      <c r="E59" s="2" t="n">
        <v>1944</v>
      </c>
      <c r="F59" s="2" t="n">
        <v>30</v>
      </c>
      <c r="G59" s="4" t="s">
        <v>210</v>
      </c>
    </row>
    <row r="60" customFormat="false" ht="28.35" hidden="false" customHeight="false" outlineLevel="0" collapsed="false">
      <c r="A60" s="2" t="n">
        <v>59</v>
      </c>
      <c r="B60" s="2" t="n">
        <v>5</v>
      </c>
      <c r="C60" s="3" t="str">
        <f aca="false">INDEX('부작 목록'!$C$2:$C$66,B60)</f>
        <v>마드리드 경매장과 치무 황금 칼</v>
      </c>
      <c r="D60" s="3" t="s">
        <v>16</v>
      </c>
      <c r="E60" s="2" t="n">
        <v>1978</v>
      </c>
      <c r="F60" s="2" t="n">
        <v>32</v>
      </c>
      <c r="G60" s="4" t="s">
        <v>211</v>
      </c>
    </row>
    <row r="61" customFormat="false" ht="28.35" hidden="false" customHeight="false" outlineLevel="0" collapsed="false">
      <c r="A61" s="2" t="n">
        <v>60</v>
      </c>
      <c r="B61" s="2" t="n">
        <v>5</v>
      </c>
      <c r="C61" s="3" t="str">
        <f aca="false">INDEX('부작 목록'!$C$2:$C$66,B61)</f>
        <v>마드리드 경매장과 치무 황금 칼</v>
      </c>
      <c r="D61" s="3" t="s">
        <v>16</v>
      </c>
      <c r="E61" s="2" t="n">
        <v>2014</v>
      </c>
      <c r="F61" s="2" t="n">
        <v>16</v>
      </c>
      <c r="G61" s="4" t="s">
        <v>212</v>
      </c>
    </row>
    <row r="62" customFormat="false" ht="41.75" hidden="false" customHeight="false" outlineLevel="0" collapsed="false">
      <c r="A62" s="2" t="n">
        <v>61</v>
      </c>
      <c r="B62" s="2" t="n">
        <v>6</v>
      </c>
      <c r="C62" s="3" t="str">
        <f aca="false">INDEX('부작 목록'!$C$2:$C$66,B62)</f>
        <v>스페인-페루 유물 반환 협상</v>
      </c>
      <c r="D62" s="3" t="s">
        <v>16</v>
      </c>
      <c r="E62" s="2" t="n">
        <v>2032</v>
      </c>
      <c r="F62" s="2" t="n">
        <v>30</v>
      </c>
      <c r="G62" s="4" t="s">
        <v>213</v>
      </c>
    </row>
    <row r="63" customFormat="false" ht="28.35" hidden="false" customHeight="false" outlineLevel="0" collapsed="false">
      <c r="A63" s="2" t="n">
        <v>62</v>
      </c>
      <c r="B63" s="2" t="n">
        <v>6</v>
      </c>
      <c r="C63" s="3" t="str">
        <f aca="false">INDEX('부작 목록'!$C$2:$C$66,B63)</f>
        <v>스페인-페루 유물 반환 협상</v>
      </c>
      <c r="D63" s="3" t="s">
        <v>16</v>
      </c>
      <c r="E63" s="2" t="n">
        <v>2066</v>
      </c>
      <c r="F63" s="2" t="n">
        <v>31</v>
      </c>
      <c r="G63" s="4" t="s">
        <v>214</v>
      </c>
    </row>
    <row r="64" customFormat="false" ht="28.35" hidden="false" customHeight="false" outlineLevel="0" collapsed="false">
      <c r="A64" s="2" t="n">
        <v>63</v>
      </c>
      <c r="B64" s="2" t="n">
        <v>6</v>
      </c>
      <c r="C64" s="3" t="str">
        <f aca="false">INDEX('부작 목록'!$C$2:$C$66,B64)</f>
        <v>스페인-페루 유물 반환 협상</v>
      </c>
      <c r="D64" s="3" t="s">
        <v>16</v>
      </c>
      <c r="E64" s="2" t="n">
        <v>2101</v>
      </c>
      <c r="F64" s="2" t="n">
        <v>27</v>
      </c>
      <c r="G64" s="4" t="s">
        <v>215</v>
      </c>
    </row>
    <row r="65" customFormat="false" ht="28.35" hidden="false" customHeight="false" outlineLevel="0" collapsed="false">
      <c r="A65" s="2" t="n">
        <v>64</v>
      </c>
      <c r="B65" s="2" t="n">
        <v>6</v>
      </c>
      <c r="C65" s="3" t="str">
        <f aca="false">INDEX('부작 목록'!$C$2:$C$66,B65)</f>
        <v>스페인-페루 유물 반환 협상</v>
      </c>
      <c r="D65" s="3" t="s">
        <v>16</v>
      </c>
      <c r="E65" s="2" t="n">
        <v>2132</v>
      </c>
      <c r="F65" s="2" t="n">
        <v>28</v>
      </c>
      <c r="G65" s="4" t="s">
        <v>216</v>
      </c>
    </row>
    <row r="66" customFormat="false" ht="28.35" hidden="false" customHeight="false" outlineLevel="0" collapsed="false">
      <c r="A66" s="2" t="n">
        <v>65</v>
      </c>
      <c r="B66" s="2" t="n">
        <v>6</v>
      </c>
      <c r="C66" s="3" t="str">
        <f aca="false">INDEX('부작 목록'!$C$2:$C$66,B66)</f>
        <v>스페인-페루 유물 반환 협상</v>
      </c>
      <c r="D66" s="3" t="s">
        <v>16</v>
      </c>
      <c r="E66" s="2" t="n">
        <v>2163</v>
      </c>
      <c r="F66" s="2" t="n">
        <v>26</v>
      </c>
      <c r="G66" s="4" t="s">
        <v>217</v>
      </c>
    </row>
    <row r="67" customFormat="false" ht="55.2" hidden="false" customHeight="false" outlineLevel="0" collapsed="false">
      <c r="A67" s="2" t="n">
        <v>66</v>
      </c>
      <c r="B67" s="2" t="n">
        <v>7</v>
      </c>
      <c r="C67" s="3" t="str">
        <f aca="false">INDEX('부작 목록'!$C$2:$C$66,B67)</f>
        <v>대마 합법화와 베르데갈 캐피털</v>
      </c>
      <c r="D67" s="3" t="s">
        <v>16</v>
      </c>
      <c r="E67" s="2" t="n">
        <v>2193</v>
      </c>
      <c r="F67" s="2" t="n">
        <v>28</v>
      </c>
      <c r="G67" s="4" t="s">
        <v>218</v>
      </c>
    </row>
    <row r="68" customFormat="false" ht="41.75" hidden="false" customHeight="false" outlineLevel="0" collapsed="false">
      <c r="A68" s="2" t="n">
        <v>67</v>
      </c>
      <c r="B68" s="2" t="n">
        <v>7</v>
      </c>
      <c r="C68" s="3" t="str">
        <f aca="false">INDEX('부작 목록'!$C$2:$C$66,B68)</f>
        <v>대마 합법화와 베르데갈 캐피털</v>
      </c>
      <c r="D68" s="3" t="s">
        <v>16</v>
      </c>
      <c r="E68" s="2" t="n">
        <v>2225</v>
      </c>
      <c r="F68" s="2" t="n">
        <v>30</v>
      </c>
      <c r="G68" s="4" t="s">
        <v>219</v>
      </c>
    </row>
    <row r="69" customFormat="false" ht="28.35" hidden="false" customHeight="false" outlineLevel="0" collapsed="false">
      <c r="A69" s="2" t="n">
        <v>68</v>
      </c>
      <c r="B69" s="2" t="n">
        <v>7</v>
      </c>
      <c r="C69" s="3" t="str">
        <f aca="false">INDEX('부작 목록'!$C$2:$C$66,B69)</f>
        <v>대마 합법화와 베르데갈 캐피털</v>
      </c>
      <c r="D69" s="3" t="s">
        <v>16</v>
      </c>
      <c r="E69" s="2" t="n">
        <v>2259</v>
      </c>
      <c r="F69" s="2" t="n">
        <v>23</v>
      </c>
      <c r="G69" s="4" t="s">
        <v>220</v>
      </c>
    </row>
    <row r="70" customFormat="false" ht="28.35" hidden="false" customHeight="false" outlineLevel="0" collapsed="false">
      <c r="A70" s="2" t="n">
        <v>69</v>
      </c>
      <c r="B70" s="2" t="n">
        <v>7</v>
      </c>
      <c r="C70" s="3" t="str">
        <f aca="false">INDEX('부작 목록'!$C$2:$C$66,B70)</f>
        <v>대마 합법화와 베르데갈 캐피털</v>
      </c>
      <c r="D70" s="3" t="s">
        <v>16</v>
      </c>
      <c r="E70" s="2" t="n">
        <v>2285</v>
      </c>
      <c r="F70" s="2" t="n">
        <v>27</v>
      </c>
      <c r="G70" s="4" t="s">
        <v>221</v>
      </c>
    </row>
    <row r="71" customFormat="false" ht="28.35" hidden="false" customHeight="false" outlineLevel="0" collapsed="false">
      <c r="A71" s="2" t="n">
        <v>70</v>
      </c>
      <c r="B71" s="2" t="n">
        <v>7</v>
      </c>
      <c r="C71" s="3" t="str">
        <f aca="false">INDEX('부작 목록'!$C$2:$C$66,B71)</f>
        <v>대마 합법화와 베르데갈 캐피털</v>
      </c>
      <c r="D71" s="3" t="s">
        <v>16</v>
      </c>
      <c r="E71" s="2" t="n">
        <v>2315</v>
      </c>
      <c r="F71" s="2" t="n">
        <v>25</v>
      </c>
      <c r="G71" s="4" t="s">
        <v>222</v>
      </c>
    </row>
    <row r="72" customFormat="false" ht="28.35" hidden="false" customHeight="false" outlineLevel="0" collapsed="false">
      <c r="A72" s="2" t="n">
        <v>71</v>
      </c>
      <c r="B72" s="2" t="n">
        <v>7</v>
      </c>
      <c r="C72" s="3" t="str">
        <f aca="false">INDEX('부작 목록'!$C$2:$C$66,B72)</f>
        <v>대마 합법화와 베르데갈 캐피털</v>
      </c>
      <c r="D72" s="3" t="s">
        <v>16</v>
      </c>
      <c r="E72" s="2" t="n">
        <v>2344</v>
      </c>
      <c r="F72" s="2" t="n">
        <v>30</v>
      </c>
      <c r="G72" s="4" t="s">
        <v>223</v>
      </c>
    </row>
    <row r="73" customFormat="false" ht="28.35" hidden="false" customHeight="false" outlineLevel="0" collapsed="false">
      <c r="A73" s="2" t="n">
        <v>72</v>
      </c>
      <c r="B73" s="2" t="n">
        <v>7</v>
      </c>
      <c r="C73" s="3" t="str">
        <f aca="false">INDEX('부작 목록'!$C$2:$C$66,B73)</f>
        <v>대마 합법화와 베르데갈 캐피털</v>
      </c>
      <c r="D73" s="3" t="s">
        <v>16</v>
      </c>
      <c r="E73" s="2" t="n">
        <v>2377</v>
      </c>
      <c r="F73" s="2" t="n">
        <v>26</v>
      </c>
      <c r="G73" s="4" t="s">
        <v>224</v>
      </c>
    </row>
    <row r="74" customFormat="false" ht="28.35" hidden="false" customHeight="false" outlineLevel="0" collapsed="false">
      <c r="A74" s="2" t="n">
        <v>73</v>
      </c>
      <c r="B74" s="2" t="n">
        <v>7</v>
      </c>
      <c r="C74" s="3" t="str">
        <f aca="false">INDEX('부작 목록'!$C$2:$C$66,B74)</f>
        <v>대마 합법화와 베르데갈 캐피털</v>
      </c>
      <c r="D74" s="3" t="s">
        <v>16</v>
      </c>
      <c r="E74" s="2" t="n">
        <v>2407</v>
      </c>
      <c r="F74" s="2" t="n">
        <v>23</v>
      </c>
      <c r="G74" s="4" t="s">
        <v>225</v>
      </c>
    </row>
    <row r="75" customFormat="false" ht="28.35" hidden="false" customHeight="false" outlineLevel="0" collapsed="false">
      <c r="A75" s="2" t="n">
        <v>74</v>
      </c>
      <c r="B75" s="2" t="n">
        <v>7</v>
      </c>
      <c r="C75" s="3" t="str">
        <f aca="false">INDEX('부작 목록'!$C$2:$C$66,B75)</f>
        <v>대마 합법화와 베르데갈 캐피털</v>
      </c>
      <c r="D75" s="3" t="s">
        <v>16</v>
      </c>
      <c r="E75" s="2" t="n">
        <v>2433</v>
      </c>
      <c r="F75" s="2" t="n">
        <v>26</v>
      </c>
      <c r="G75" s="4" t="s">
        <v>226</v>
      </c>
    </row>
    <row r="76" customFormat="false" ht="15" hidden="false" customHeight="false" outlineLevel="0" collapsed="false">
      <c r="A76" s="2" t="n">
        <v>75</v>
      </c>
      <c r="B76" s="2" t="n">
        <v>7</v>
      </c>
      <c r="C76" s="3" t="str">
        <f aca="false">INDEX('부작 목록'!$C$2:$C$66,B76)</f>
        <v>대마 합법화와 베르데갈 캐피털</v>
      </c>
      <c r="D76" s="3" t="s">
        <v>16</v>
      </c>
      <c r="E76" s="2" t="n">
        <v>2463</v>
      </c>
      <c r="F76" s="2" t="n">
        <v>22</v>
      </c>
      <c r="G76" s="4" t="s">
        <v>227</v>
      </c>
    </row>
    <row r="77" customFormat="false" ht="28.35" hidden="false" customHeight="false" outlineLevel="0" collapsed="false">
      <c r="A77" s="2" t="n">
        <v>76</v>
      </c>
      <c r="B77" s="2" t="n">
        <v>7</v>
      </c>
      <c r="C77" s="3" t="str">
        <f aca="false">INDEX('부작 목록'!$C$2:$C$66,B77)</f>
        <v>대마 합법화와 베르데갈 캐피털</v>
      </c>
      <c r="D77" s="3" t="s">
        <v>16</v>
      </c>
      <c r="E77" s="2" t="n">
        <v>2488</v>
      </c>
      <c r="F77" s="2" t="n">
        <v>22</v>
      </c>
      <c r="G77" s="4" t="s">
        <v>228</v>
      </c>
    </row>
    <row r="78" customFormat="false" ht="15" hidden="false" customHeight="false" outlineLevel="0" collapsed="false">
      <c r="A78" s="2" t="n">
        <v>77</v>
      </c>
      <c r="B78" s="2" t="n">
        <v>7</v>
      </c>
      <c r="C78" s="3" t="str">
        <f aca="false">INDEX('부작 목록'!$C$2:$C$66,B78)</f>
        <v>대마 합법화와 베르데갈 캐피털</v>
      </c>
      <c r="D78" s="3" t="s">
        <v>16</v>
      </c>
      <c r="E78" s="2" t="n">
        <v>2513</v>
      </c>
      <c r="F78" s="2" t="n">
        <v>21</v>
      </c>
      <c r="G78" s="4" t="s">
        <v>229</v>
      </c>
    </row>
    <row r="79" customFormat="false" ht="28.35" hidden="false" customHeight="false" outlineLevel="0" collapsed="false">
      <c r="A79" s="2" t="n">
        <v>78</v>
      </c>
      <c r="B79" s="2" t="n">
        <v>7</v>
      </c>
      <c r="C79" s="3" t="str">
        <f aca="false">INDEX('부작 목록'!$C$2:$C$66,B79)</f>
        <v>대마 합법화와 베르데갈 캐피털</v>
      </c>
      <c r="D79" s="3" t="s">
        <v>16</v>
      </c>
      <c r="E79" s="2" t="n">
        <v>2538</v>
      </c>
      <c r="F79" s="2" t="n">
        <v>25</v>
      </c>
      <c r="G79" s="4" t="s">
        <v>230</v>
      </c>
    </row>
    <row r="80" customFormat="false" ht="28.35" hidden="false" customHeight="false" outlineLevel="0" collapsed="false">
      <c r="A80" s="2" t="n">
        <v>79</v>
      </c>
      <c r="B80" s="2" t="n">
        <v>7</v>
      </c>
      <c r="C80" s="3" t="str">
        <f aca="false">INDEX('부작 목록'!$C$2:$C$66,B80)</f>
        <v>대마 합법화와 베르데갈 캐피털</v>
      </c>
      <c r="D80" s="3" t="s">
        <v>16</v>
      </c>
      <c r="E80" s="2" t="n">
        <v>2567</v>
      </c>
      <c r="F80" s="2" t="n">
        <v>25</v>
      </c>
      <c r="G80" s="4" t="s">
        <v>231</v>
      </c>
    </row>
    <row r="81" customFormat="false" ht="28.35" hidden="false" customHeight="false" outlineLevel="0" collapsed="false">
      <c r="A81" s="2" t="n">
        <v>80</v>
      </c>
      <c r="B81" s="2" t="n">
        <v>7</v>
      </c>
      <c r="C81" s="3" t="str">
        <f aca="false">INDEX('부작 목록'!$C$2:$C$66,B81)</f>
        <v>대마 합법화와 베르데갈 캐피털</v>
      </c>
      <c r="D81" s="3" t="s">
        <v>16</v>
      </c>
      <c r="E81" s="2" t="n">
        <v>2595</v>
      </c>
      <c r="F81" s="2" t="n">
        <v>32</v>
      </c>
      <c r="G81" s="4" t="s">
        <v>232</v>
      </c>
    </row>
    <row r="82" customFormat="false" ht="28.35" hidden="false" customHeight="false" outlineLevel="0" collapsed="false">
      <c r="A82" s="2" t="n">
        <v>81</v>
      </c>
      <c r="B82" s="2" t="n">
        <v>7</v>
      </c>
      <c r="C82" s="3" t="str">
        <f aca="false">INDEX('부작 목록'!$C$2:$C$66,B82)</f>
        <v>대마 합법화와 베르데갈 캐피털</v>
      </c>
      <c r="D82" s="3" t="s">
        <v>16</v>
      </c>
      <c r="E82" s="2" t="n">
        <v>2631</v>
      </c>
      <c r="F82" s="2" t="n">
        <v>34</v>
      </c>
      <c r="G82" s="4" t="s">
        <v>233</v>
      </c>
    </row>
    <row r="83" customFormat="false" ht="28.35" hidden="false" customHeight="false" outlineLevel="0" collapsed="false">
      <c r="A83" s="2" t="n">
        <v>82</v>
      </c>
      <c r="B83" s="2" t="n">
        <v>7</v>
      </c>
      <c r="C83" s="3" t="str">
        <f aca="false">INDEX('부작 목록'!$C$2:$C$66,B83)</f>
        <v>대마 합법화와 베르데갈 캐피털</v>
      </c>
      <c r="D83" s="3" t="s">
        <v>16</v>
      </c>
      <c r="E83" s="2" t="n">
        <v>2669</v>
      </c>
      <c r="F83" s="2" t="n">
        <v>26</v>
      </c>
      <c r="G83" s="4" t="s">
        <v>234</v>
      </c>
    </row>
    <row r="84" customFormat="false" ht="28.35" hidden="false" customHeight="false" outlineLevel="0" collapsed="false">
      <c r="A84" s="2" t="n">
        <v>83</v>
      </c>
      <c r="B84" s="2" t="n">
        <v>7</v>
      </c>
      <c r="C84" s="3" t="str">
        <f aca="false">INDEX('부작 목록'!$C$2:$C$66,B84)</f>
        <v>대마 합법화와 베르데갈 캐피털</v>
      </c>
      <c r="D84" s="3" t="s">
        <v>16</v>
      </c>
      <c r="E84" s="2" t="n">
        <v>2698</v>
      </c>
      <c r="F84" s="2" t="n">
        <v>23</v>
      </c>
      <c r="G84" s="4" t="s">
        <v>235</v>
      </c>
    </row>
    <row r="85" customFormat="false" ht="28.35" hidden="false" customHeight="false" outlineLevel="0" collapsed="false">
      <c r="A85" s="2" t="n">
        <v>84</v>
      </c>
      <c r="B85" s="2" t="n">
        <v>7</v>
      </c>
      <c r="C85" s="3" t="str">
        <f aca="false">INDEX('부작 목록'!$C$2:$C$66,B85)</f>
        <v>대마 합법화와 베르데갈 캐피털</v>
      </c>
      <c r="D85" s="3" t="s">
        <v>16</v>
      </c>
      <c r="E85" s="2" t="n">
        <v>2724</v>
      </c>
      <c r="F85" s="2" t="n">
        <v>28</v>
      </c>
      <c r="G85" s="4" t="s">
        <v>236</v>
      </c>
    </row>
    <row r="86" customFormat="false" ht="28.35" hidden="false" customHeight="false" outlineLevel="0" collapsed="false">
      <c r="A86" s="2" t="n">
        <v>85</v>
      </c>
      <c r="B86" s="2" t="n">
        <v>7</v>
      </c>
      <c r="C86" s="3" t="str">
        <f aca="false">INDEX('부작 목록'!$C$2:$C$66,B86)</f>
        <v>대마 합법화와 베르데갈 캐피털</v>
      </c>
      <c r="D86" s="3" t="s">
        <v>16</v>
      </c>
      <c r="E86" s="2" t="n">
        <v>2756</v>
      </c>
      <c r="F86" s="2" t="n">
        <v>28</v>
      </c>
      <c r="G86" s="4" t="s">
        <v>237</v>
      </c>
    </row>
    <row r="87" customFormat="false" ht="28.35" hidden="false" customHeight="false" outlineLevel="0" collapsed="false">
      <c r="A87" s="2" t="n">
        <v>86</v>
      </c>
      <c r="B87" s="2" t="n">
        <v>7</v>
      </c>
      <c r="C87" s="3" t="str">
        <f aca="false">INDEX('부작 목록'!$C$2:$C$66,B87)</f>
        <v>대마 합법화와 베르데갈 캐피털</v>
      </c>
      <c r="D87" s="3" t="s">
        <v>16</v>
      </c>
      <c r="E87" s="2" t="n">
        <v>2787</v>
      </c>
      <c r="F87" s="2" t="n">
        <v>22</v>
      </c>
      <c r="G87" s="4" t="s">
        <v>238</v>
      </c>
    </row>
    <row r="88" customFormat="false" ht="28.35" hidden="false" customHeight="false" outlineLevel="0" collapsed="false">
      <c r="A88" s="2" t="n">
        <v>87</v>
      </c>
      <c r="B88" s="2" t="n">
        <v>7</v>
      </c>
      <c r="C88" s="3" t="str">
        <f aca="false">INDEX('부작 목록'!$C$2:$C$66,B88)</f>
        <v>대마 합법화와 베르데갈 캐피털</v>
      </c>
      <c r="D88" s="3" t="s">
        <v>16</v>
      </c>
      <c r="E88" s="2" t="n">
        <v>2812</v>
      </c>
      <c r="F88" s="2" t="n">
        <v>23</v>
      </c>
      <c r="G88" s="4" t="s">
        <v>239</v>
      </c>
    </row>
    <row r="89" customFormat="false" ht="41.75" hidden="false" customHeight="false" outlineLevel="0" collapsed="false">
      <c r="A89" s="2" t="n">
        <v>88</v>
      </c>
      <c r="B89" s="2" t="n">
        <v>7</v>
      </c>
      <c r="C89" s="3" t="str">
        <f aca="false">INDEX('부작 목록'!$C$2:$C$66,B89)</f>
        <v>대마 합법화와 베르데갈 캐피털</v>
      </c>
      <c r="D89" s="3" t="s">
        <v>16</v>
      </c>
      <c r="E89" s="2" t="n">
        <v>2838</v>
      </c>
      <c r="F89" s="2" t="n">
        <v>29</v>
      </c>
      <c r="G89" s="4" t="s">
        <v>240</v>
      </c>
    </row>
    <row r="90" customFormat="false" ht="28.35" hidden="false" customHeight="false" outlineLevel="0" collapsed="false">
      <c r="A90" s="2" t="n">
        <v>89</v>
      </c>
      <c r="B90" s="2" t="n">
        <v>7</v>
      </c>
      <c r="C90" s="3" t="str">
        <f aca="false">INDEX('부작 목록'!$C$2:$C$66,B90)</f>
        <v>대마 합법화와 베르데갈 캐피털</v>
      </c>
      <c r="D90" s="3" t="s">
        <v>16</v>
      </c>
      <c r="E90" s="2" t="n">
        <v>2871</v>
      </c>
      <c r="F90" s="2" t="n">
        <v>23</v>
      </c>
      <c r="G90" s="4" t="s">
        <v>241</v>
      </c>
    </row>
    <row r="91" customFormat="false" ht="28.35" hidden="false" customHeight="false" outlineLevel="0" collapsed="false">
      <c r="A91" s="2" t="n">
        <v>90</v>
      </c>
      <c r="B91" s="2" t="n">
        <v>7</v>
      </c>
      <c r="C91" s="3" t="str">
        <f aca="false">INDEX('부작 목록'!$C$2:$C$66,B91)</f>
        <v>대마 합법화와 베르데갈 캐피털</v>
      </c>
      <c r="D91" s="3" t="s">
        <v>16</v>
      </c>
      <c r="E91" s="2" t="n">
        <v>2897</v>
      </c>
      <c r="F91" s="2" t="n">
        <v>25</v>
      </c>
      <c r="G91" s="4" t="s">
        <v>242</v>
      </c>
    </row>
    <row r="92" customFormat="false" ht="28.35" hidden="false" customHeight="false" outlineLevel="0" collapsed="false">
      <c r="A92" s="2" t="n">
        <v>91</v>
      </c>
      <c r="B92" s="2" t="n">
        <v>7</v>
      </c>
      <c r="C92" s="3" t="str">
        <f aca="false">INDEX('부작 목록'!$C$2:$C$66,B92)</f>
        <v>대마 합법화와 베르데갈 캐피털</v>
      </c>
      <c r="D92" s="3" t="s">
        <v>16</v>
      </c>
      <c r="E92" s="2" t="n">
        <v>2925</v>
      </c>
      <c r="F92" s="2" t="n">
        <v>19</v>
      </c>
      <c r="G92" s="4" t="s">
        <v>243</v>
      </c>
    </row>
    <row r="93" customFormat="false" ht="15" hidden="false" customHeight="false" outlineLevel="0" collapsed="false">
      <c r="A93" s="2" t="n">
        <v>92</v>
      </c>
      <c r="B93" s="2" t="n">
        <v>7</v>
      </c>
      <c r="C93" s="3" t="str">
        <f aca="false">INDEX('부작 목록'!$C$2:$C$66,B93)</f>
        <v>대마 합법화와 베르데갈 캐피털</v>
      </c>
      <c r="D93" s="3" t="s">
        <v>16</v>
      </c>
      <c r="E93" s="2" t="n">
        <v>2947</v>
      </c>
      <c r="F93" s="2" t="n">
        <v>20</v>
      </c>
      <c r="G93" s="4" t="s">
        <v>244</v>
      </c>
    </row>
    <row r="94" customFormat="false" ht="15" hidden="false" customHeight="false" outlineLevel="0" collapsed="false">
      <c r="A94" s="2" t="n">
        <v>93</v>
      </c>
      <c r="B94" s="2" t="n">
        <v>7</v>
      </c>
      <c r="C94" s="3" t="str">
        <f aca="false">INDEX('부작 목록'!$C$2:$C$66,B94)</f>
        <v>대마 합법화와 베르데갈 캐피털</v>
      </c>
      <c r="D94" s="3" t="s">
        <v>16</v>
      </c>
      <c r="E94" s="2" t="n">
        <v>2970</v>
      </c>
      <c r="F94" s="2" t="n">
        <v>18</v>
      </c>
      <c r="G94" s="4" t="s">
        <v>245</v>
      </c>
    </row>
    <row r="95" customFormat="false" ht="28.35" hidden="false" customHeight="false" outlineLevel="0" collapsed="false">
      <c r="A95" s="2" t="n">
        <v>94</v>
      </c>
      <c r="B95" s="2" t="n">
        <v>7</v>
      </c>
      <c r="C95" s="3" t="str">
        <f aca="false">INDEX('부작 목록'!$C$2:$C$66,B95)</f>
        <v>대마 합법화와 베르데갈 캐피털</v>
      </c>
      <c r="D95" s="3" t="s">
        <v>16</v>
      </c>
      <c r="E95" s="2" t="n">
        <v>2992</v>
      </c>
      <c r="F95" s="2" t="n">
        <v>28</v>
      </c>
      <c r="G95" s="4" t="s">
        <v>246</v>
      </c>
    </row>
    <row r="96" customFormat="false" ht="28.35" hidden="false" customHeight="false" outlineLevel="0" collapsed="false">
      <c r="A96" s="2" t="n">
        <v>95</v>
      </c>
      <c r="B96" s="2" t="n">
        <v>8</v>
      </c>
      <c r="C96" s="3" t="str">
        <f aca="false">INDEX('부작 목록'!$C$2:$C$66,B96)</f>
        <v>라몬 재판과 자금 추적</v>
      </c>
      <c r="D96" s="3" t="s">
        <v>16</v>
      </c>
      <c r="E96" s="2" t="n">
        <v>3023</v>
      </c>
      <c r="F96" s="2" t="n">
        <v>19</v>
      </c>
      <c r="G96" s="4" t="s">
        <v>247</v>
      </c>
    </row>
    <row r="97" customFormat="false" ht="28.35" hidden="false" customHeight="false" outlineLevel="0" collapsed="false">
      <c r="A97" s="2" t="n">
        <v>96</v>
      </c>
      <c r="B97" s="2" t="n">
        <v>8</v>
      </c>
      <c r="C97" s="3" t="str">
        <f aca="false">INDEX('부작 목록'!$C$2:$C$66,B97)</f>
        <v>라몬 재판과 자금 추적</v>
      </c>
      <c r="D97" s="3" t="s">
        <v>16</v>
      </c>
      <c r="E97" s="2" t="n">
        <v>3045</v>
      </c>
      <c r="F97" s="2" t="n">
        <v>22</v>
      </c>
      <c r="G97" s="4" t="s">
        <v>248</v>
      </c>
    </row>
    <row r="98" customFormat="false" ht="28.35" hidden="false" customHeight="false" outlineLevel="0" collapsed="false">
      <c r="A98" s="2" t="n">
        <v>97</v>
      </c>
      <c r="B98" s="2" t="n">
        <v>8</v>
      </c>
      <c r="C98" s="3" t="str">
        <f aca="false">INDEX('부작 목록'!$C$2:$C$66,B98)</f>
        <v>라몬 재판과 자금 추적</v>
      </c>
      <c r="D98" s="3" t="s">
        <v>16</v>
      </c>
      <c r="E98" s="2" t="n">
        <v>3070</v>
      </c>
      <c r="F98" s="2" t="n">
        <v>19</v>
      </c>
      <c r="G98" s="4" t="s">
        <v>249</v>
      </c>
    </row>
    <row r="99" customFormat="false" ht="15" hidden="false" customHeight="false" outlineLevel="0" collapsed="false">
      <c r="A99" s="2" t="n">
        <v>98</v>
      </c>
      <c r="B99" s="2" t="n">
        <v>8</v>
      </c>
      <c r="C99" s="3" t="str">
        <f aca="false">INDEX('부작 목록'!$C$2:$C$66,B99)</f>
        <v>라몬 재판과 자금 추적</v>
      </c>
      <c r="D99" s="3" t="s">
        <v>16</v>
      </c>
      <c r="E99" s="2" t="n">
        <v>3092</v>
      </c>
      <c r="F99" s="2" t="n">
        <v>18</v>
      </c>
      <c r="G99" s="4" t="s">
        <v>250</v>
      </c>
    </row>
    <row r="100" customFormat="false" ht="28.35" hidden="false" customHeight="false" outlineLevel="0" collapsed="false">
      <c r="A100" s="2" t="n">
        <v>99</v>
      </c>
      <c r="B100" s="2" t="n">
        <v>8</v>
      </c>
      <c r="C100" s="3" t="str">
        <f aca="false">INDEX('부작 목록'!$C$2:$C$66,B100)</f>
        <v>라몬 재판과 자금 추적</v>
      </c>
      <c r="D100" s="3" t="s">
        <v>16</v>
      </c>
      <c r="E100" s="2" t="n">
        <v>3113</v>
      </c>
      <c r="F100" s="2" t="n">
        <v>22</v>
      </c>
      <c r="G100" s="4" t="s">
        <v>251</v>
      </c>
    </row>
    <row r="101" customFormat="false" ht="28.35" hidden="false" customHeight="false" outlineLevel="0" collapsed="false">
      <c r="A101" s="2" t="n">
        <v>100</v>
      </c>
      <c r="B101" s="2" t="n">
        <v>8</v>
      </c>
      <c r="C101" s="3" t="str">
        <f aca="false">INDEX('부작 목록'!$C$2:$C$66,B101)</f>
        <v>라몬 재판과 자금 추적</v>
      </c>
      <c r="D101" s="3" t="s">
        <v>16</v>
      </c>
      <c r="E101" s="2" t="n">
        <v>3138</v>
      </c>
      <c r="F101" s="2" t="n">
        <v>21</v>
      </c>
      <c r="G101" s="4" t="s">
        <v>252</v>
      </c>
    </row>
    <row r="102" customFormat="false" ht="28.35" hidden="false" customHeight="false" outlineLevel="0" collapsed="false">
      <c r="A102" s="2" t="n">
        <v>101</v>
      </c>
      <c r="B102" s="2" t="n">
        <v>8</v>
      </c>
      <c r="C102" s="3" t="str">
        <f aca="false">INDEX('부작 목록'!$C$2:$C$66,B102)</f>
        <v>라몬 재판과 자금 추적</v>
      </c>
      <c r="D102" s="3" t="s">
        <v>16</v>
      </c>
      <c r="E102" s="2" t="n">
        <v>3163</v>
      </c>
      <c r="F102" s="2" t="n">
        <v>22</v>
      </c>
      <c r="G102" s="4" t="s">
        <v>253</v>
      </c>
    </row>
    <row r="103" customFormat="false" ht="28.35" hidden="false" customHeight="false" outlineLevel="0" collapsed="false">
      <c r="A103" s="2" t="n">
        <v>102</v>
      </c>
      <c r="B103" s="2" t="n">
        <v>8</v>
      </c>
      <c r="C103" s="3" t="str">
        <f aca="false">INDEX('부작 목록'!$C$2:$C$66,B103)</f>
        <v>라몬 재판과 자금 추적</v>
      </c>
      <c r="D103" s="3" t="s">
        <v>16</v>
      </c>
      <c r="E103" s="2" t="n">
        <v>3190</v>
      </c>
      <c r="F103" s="2" t="n">
        <v>23</v>
      </c>
      <c r="G103" s="4" t="s">
        <v>254</v>
      </c>
    </row>
    <row r="104" customFormat="false" ht="15" hidden="false" customHeight="false" outlineLevel="0" collapsed="false">
      <c r="A104" s="2" t="n">
        <v>103</v>
      </c>
      <c r="B104" s="2" t="n">
        <v>8</v>
      </c>
      <c r="C104" s="3" t="str">
        <f aca="false">INDEX('부작 목록'!$C$2:$C$66,B104)</f>
        <v>라몬 재판과 자금 추적</v>
      </c>
      <c r="D104" s="3" t="s">
        <v>16</v>
      </c>
      <c r="E104" s="2" t="n">
        <v>3216</v>
      </c>
      <c r="F104" s="2" t="n">
        <v>17</v>
      </c>
      <c r="G104" s="4" t="s">
        <v>255</v>
      </c>
    </row>
    <row r="105" customFormat="false" ht="15" hidden="false" customHeight="false" outlineLevel="0" collapsed="false">
      <c r="A105" s="2" t="n">
        <v>104</v>
      </c>
      <c r="B105" s="2" t="n">
        <v>8</v>
      </c>
      <c r="C105" s="3" t="str">
        <f aca="false">INDEX('부작 목록'!$C$2:$C$66,B105)</f>
        <v>라몬 재판과 자금 추적</v>
      </c>
      <c r="D105" s="3" t="s">
        <v>16</v>
      </c>
      <c r="E105" s="2" t="n">
        <v>3236</v>
      </c>
      <c r="F105" s="2" t="n">
        <v>17</v>
      </c>
      <c r="G105" s="4" t="s">
        <v>256</v>
      </c>
    </row>
    <row r="106" customFormat="false" ht="15" hidden="false" customHeight="false" outlineLevel="0" collapsed="false">
      <c r="A106" s="2" t="n">
        <v>105</v>
      </c>
      <c r="B106" s="2" t="n">
        <v>8</v>
      </c>
      <c r="C106" s="3" t="str">
        <f aca="false">INDEX('부작 목록'!$C$2:$C$66,B106)</f>
        <v>라몬 재판과 자금 추적</v>
      </c>
      <c r="D106" s="3" t="s">
        <v>16</v>
      </c>
      <c r="E106" s="2" t="n">
        <v>3256</v>
      </c>
      <c r="F106" s="2" t="n">
        <v>16</v>
      </c>
      <c r="G106" s="4" t="s">
        <v>257</v>
      </c>
    </row>
    <row r="107" customFormat="false" ht="28.35" hidden="false" customHeight="false" outlineLevel="0" collapsed="false">
      <c r="A107" s="2" t="n">
        <v>106</v>
      </c>
      <c r="B107" s="2" t="n">
        <v>8</v>
      </c>
      <c r="C107" s="3" t="str">
        <f aca="false">INDEX('부작 목록'!$C$2:$C$66,B107)</f>
        <v>라몬 재판과 자금 추적</v>
      </c>
      <c r="D107" s="3" t="s">
        <v>16</v>
      </c>
      <c r="E107" s="2" t="n">
        <v>3275</v>
      </c>
      <c r="F107" s="2" t="n">
        <v>21</v>
      </c>
      <c r="G107" s="4" t="s">
        <v>258</v>
      </c>
    </row>
    <row r="108" customFormat="false" ht="15" hidden="false" customHeight="false" outlineLevel="0" collapsed="false">
      <c r="A108" s="2" t="n">
        <v>107</v>
      </c>
      <c r="B108" s="2" t="n">
        <v>8</v>
      </c>
      <c r="C108" s="3" t="str">
        <f aca="false">INDEX('부작 목록'!$C$2:$C$66,B108)</f>
        <v>라몬 재판과 자금 추적</v>
      </c>
      <c r="D108" s="3" t="s">
        <v>16</v>
      </c>
      <c r="E108" s="2" t="n">
        <v>3299</v>
      </c>
      <c r="F108" s="2" t="n">
        <v>21</v>
      </c>
      <c r="G108" s="4" t="s">
        <v>259</v>
      </c>
    </row>
    <row r="109" customFormat="false" ht="15" hidden="false" customHeight="false" outlineLevel="0" collapsed="false">
      <c r="A109" s="2" t="n">
        <v>108</v>
      </c>
      <c r="B109" s="2" t="n">
        <v>8</v>
      </c>
      <c r="C109" s="3" t="str">
        <f aca="false">INDEX('부작 목록'!$C$2:$C$66,B109)</f>
        <v>라몬 재판과 자금 추적</v>
      </c>
      <c r="D109" s="3" t="s">
        <v>16</v>
      </c>
      <c r="E109" s="2" t="n">
        <v>3323</v>
      </c>
      <c r="F109" s="2" t="n">
        <v>18</v>
      </c>
      <c r="G109" s="4" t="s">
        <v>260</v>
      </c>
    </row>
    <row r="110" customFormat="false" ht="28.35" hidden="false" customHeight="false" outlineLevel="0" collapsed="false">
      <c r="A110" s="2" t="n">
        <v>109</v>
      </c>
      <c r="B110" s="2" t="n">
        <v>8</v>
      </c>
      <c r="C110" s="3" t="str">
        <f aca="false">INDEX('부작 목록'!$C$2:$C$66,B110)</f>
        <v>라몬 재판과 자금 추적</v>
      </c>
      <c r="D110" s="3" t="s">
        <v>16</v>
      </c>
      <c r="E110" s="2" t="n">
        <v>3344</v>
      </c>
      <c r="F110" s="2" t="n">
        <v>21</v>
      </c>
      <c r="G110" s="4" t="s">
        <v>261</v>
      </c>
    </row>
    <row r="111" customFormat="false" ht="15" hidden="false" customHeight="false" outlineLevel="0" collapsed="false">
      <c r="A111" s="2" t="n">
        <v>110</v>
      </c>
      <c r="B111" s="2" t="n">
        <v>8</v>
      </c>
      <c r="C111" s="3" t="str">
        <f aca="false">INDEX('부작 목록'!$C$2:$C$66,B111)</f>
        <v>라몬 재판과 자금 추적</v>
      </c>
      <c r="D111" s="3" t="s">
        <v>16</v>
      </c>
      <c r="E111" s="2" t="n">
        <v>3368</v>
      </c>
      <c r="F111" s="2" t="n">
        <v>18</v>
      </c>
      <c r="G111" s="4" t="s">
        <v>262</v>
      </c>
    </row>
    <row r="112" customFormat="false" ht="28.35" hidden="false" customHeight="false" outlineLevel="0" collapsed="false">
      <c r="A112" s="2" t="n">
        <v>111</v>
      </c>
      <c r="B112" s="2" t="n">
        <v>8</v>
      </c>
      <c r="C112" s="3" t="str">
        <f aca="false">INDEX('부작 목록'!$C$2:$C$66,B112)</f>
        <v>라몬 재판과 자금 추적</v>
      </c>
      <c r="D112" s="3" t="s">
        <v>16</v>
      </c>
      <c r="E112" s="2" t="n">
        <v>3389</v>
      </c>
      <c r="F112" s="2" t="n">
        <v>20</v>
      </c>
      <c r="G112" s="4" t="s">
        <v>263</v>
      </c>
    </row>
    <row r="113" customFormat="false" ht="15" hidden="false" customHeight="false" outlineLevel="0" collapsed="false">
      <c r="A113" s="2" t="n">
        <v>112</v>
      </c>
      <c r="B113" s="2" t="n">
        <v>8</v>
      </c>
      <c r="C113" s="3" t="str">
        <f aca="false">INDEX('부작 목록'!$C$2:$C$66,B113)</f>
        <v>라몬 재판과 자금 추적</v>
      </c>
      <c r="D113" s="3" t="s">
        <v>16</v>
      </c>
      <c r="E113" s="2" t="n">
        <v>3412</v>
      </c>
      <c r="F113" s="2" t="n">
        <v>16</v>
      </c>
      <c r="G113" s="4" t="s">
        <v>264</v>
      </c>
    </row>
    <row r="114" customFormat="false" ht="15" hidden="false" customHeight="false" outlineLevel="0" collapsed="false">
      <c r="A114" s="2" t="n">
        <v>113</v>
      </c>
      <c r="B114" s="2" t="n">
        <v>8</v>
      </c>
      <c r="C114" s="3" t="str">
        <f aca="false">INDEX('부작 목록'!$C$2:$C$66,B114)</f>
        <v>라몬 재판과 자금 추적</v>
      </c>
      <c r="D114" s="3" t="s">
        <v>16</v>
      </c>
      <c r="E114" s="2" t="n">
        <v>3431</v>
      </c>
      <c r="F114" s="2" t="n">
        <v>15</v>
      </c>
      <c r="G114" s="4" t="s">
        <v>265</v>
      </c>
    </row>
    <row r="115" customFormat="false" ht="28.35" hidden="false" customHeight="false" outlineLevel="0" collapsed="false">
      <c r="A115" s="2" t="n">
        <v>114</v>
      </c>
      <c r="B115" s="2" t="n">
        <v>8</v>
      </c>
      <c r="C115" s="3" t="str">
        <f aca="false">INDEX('부작 목록'!$C$2:$C$66,B115)</f>
        <v>라몬 재판과 자금 추적</v>
      </c>
      <c r="D115" s="3" t="s">
        <v>16</v>
      </c>
      <c r="E115" s="2" t="n">
        <v>3449</v>
      </c>
      <c r="F115" s="2" t="n">
        <v>16</v>
      </c>
      <c r="G115" s="4" t="s">
        <v>266</v>
      </c>
    </row>
    <row r="116" customFormat="false" ht="28.35" hidden="false" customHeight="false" outlineLevel="0" collapsed="false">
      <c r="A116" s="2" t="n">
        <v>115</v>
      </c>
      <c r="B116" s="2" t="n">
        <v>9</v>
      </c>
      <c r="C116" s="3" t="str">
        <f aca="false">INDEX('부작 목록'!$C$2:$C$66,B116)</f>
        <v>명품 위조 조직</v>
      </c>
      <c r="D116" s="3" t="s">
        <v>16</v>
      </c>
      <c r="E116" s="2" t="n">
        <v>3467</v>
      </c>
      <c r="F116" s="2" t="n">
        <v>19</v>
      </c>
      <c r="G116" s="4" t="s">
        <v>267</v>
      </c>
    </row>
    <row r="117" customFormat="false" ht="28.35" hidden="false" customHeight="false" outlineLevel="0" collapsed="false">
      <c r="A117" s="2" t="n">
        <v>116</v>
      </c>
      <c r="B117" s="2" t="n">
        <v>9</v>
      </c>
      <c r="C117" s="3" t="str">
        <f aca="false">INDEX('부작 목록'!$C$2:$C$66,B117)</f>
        <v>명품 위조 조직</v>
      </c>
      <c r="D117" s="3" t="s">
        <v>16</v>
      </c>
      <c r="E117" s="2" t="n">
        <v>3489</v>
      </c>
      <c r="F117" s="2" t="n">
        <v>19</v>
      </c>
      <c r="G117" s="4" t="s">
        <v>268</v>
      </c>
    </row>
    <row r="118" customFormat="false" ht="15" hidden="false" customHeight="false" outlineLevel="0" collapsed="false">
      <c r="A118" s="2" t="n">
        <v>117</v>
      </c>
      <c r="B118" s="2" t="n">
        <v>9</v>
      </c>
      <c r="C118" s="3" t="str">
        <f aca="false">INDEX('부작 목록'!$C$2:$C$66,B118)</f>
        <v>명품 위조 조직</v>
      </c>
      <c r="D118" s="3" t="s">
        <v>16</v>
      </c>
      <c r="E118" s="2" t="n">
        <v>3511</v>
      </c>
      <c r="F118" s="2" t="n">
        <v>19</v>
      </c>
      <c r="G118" s="4" t="s">
        <v>269</v>
      </c>
    </row>
    <row r="119" customFormat="false" ht="15" hidden="false" customHeight="false" outlineLevel="0" collapsed="false">
      <c r="A119" s="2" t="n">
        <v>118</v>
      </c>
      <c r="B119" s="2" t="n">
        <v>9</v>
      </c>
      <c r="C119" s="3" t="str">
        <f aca="false">INDEX('부작 목록'!$C$2:$C$66,B119)</f>
        <v>명품 위조 조직</v>
      </c>
      <c r="D119" s="3" t="s">
        <v>16</v>
      </c>
      <c r="E119" s="2" t="n">
        <v>3533</v>
      </c>
      <c r="F119" s="2" t="n">
        <v>16</v>
      </c>
      <c r="G119" s="4" t="s">
        <v>270</v>
      </c>
    </row>
    <row r="120" customFormat="false" ht="15" hidden="false" customHeight="false" outlineLevel="0" collapsed="false">
      <c r="A120" s="2" t="n">
        <v>119</v>
      </c>
      <c r="B120" s="2" t="n">
        <v>9</v>
      </c>
      <c r="C120" s="3" t="str">
        <f aca="false">INDEX('부작 목록'!$C$2:$C$66,B120)</f>
        <v>명품 위조 조직</v>
      </c>
      <c r="D120" s="3" t="s">
        <v>16</v>
      </c>
      <c r="E120" s="2" t="n">
        <v>3552</v>
      </c>
      <c r="F120" s="2" t="n">
        <v>17</v>
      </c>
      <c r="G120" s="4" t="s">
        <v>271</v>
      </c>
    </row>
    <row r="121" customFormat="false" ht="15" hidden="false" customHeight="false" outlineLevel="0" collapsed="false">
      <c r="A121" s="2" t="n">
        <v>120</v>
      </c>
      <c r="B121" s="2" t="n">
        <v>9</v>
      </c>
      <c r="C121" s="3" t="str">
        <f aca="false">INDEX('부작 목록'!$C$2:$C$66,B121)</f>
        <v>명품 위조 조직</v>
      </c>
      <c r="D121" s="3" t="s">
        <v>16</v>
      </c>
      <c r="E121" s="2" t="n">
        <v>3572</v>
      </c>
      <c r="F121" s="2" t="n">
        <v>14</v>
      </c>
      <c r="G121" s="4" t="s">
        <v>272</v>
      </c>
    </row>
    <row r="122" customFormat="false" ht="15" hidden="false" customHeight="false" outlineLevel="0" collapsed="false">
      <c r="A122" s="2" t="n">
        <v>121</v>
      </c>
      <c r="B122" s="2" t="n">
        <v>9</v>
      </c>
      <c r="C122" s="3" t="str">
        <f aca="false">INDEX('부작 목록'!$C$2:$C$66,B122)</f>
        <v>명품 위조 조직</v>
      </c>
      <c r="D122" s="3" t="s">
        <v>16</v>
      </c>
      <c r="E122" s="2" t="n">
        <v>3589</v>
      </c>
      <c r="F122" s="2" t="n">
        <v>10</v>
      </c>
      <c r="G122" s="4" t="s">
        <v>273</v>
      </c>
    </row>
    <row r="123" customFormat="false" ht="28.35" hidden="false" customHeight="false" outlineLevel="0" collapsed="false">
      <c r="A123" s="2" t="n">
        <v>122</v>
      </c>
      <c r="B123" s="2" t="n">
        <v>10</v>
      </c>
      <c r="C123" s="3" t="str">
        <f aca="false">INDEX('부작 목록'!$C$2:$C$66,B123)</f>
        <v>의료관광 클리닉</v>
      </c>
      <c r="D123" s="3" t="s">
        <v>16</v>
      </c>
      <c r="E123" s="2" t="n">
        <v>3601</v>
      </c>
      <c r="F123" s="2" t="n">
        <v>19</v>
      </c>
      <c r="G123" s="4" t="s">
        <v>274</v>
      </c>
    </row>
    <row r="124" customFormat="false" ht="15" hidden="false" customHeight="false" outlineLevel="0" collapsed="false">
      <c r="A124" s="2" t="n">
        <v>123</v>
      </c>
      <c r="B124" s="2" t="n">
        <v>10</v>
      </c>
      <c r="C124" s="3" t="str">
        <f aca="false">INDEX('부작 목록'!$C$2:$C$66,B124)</f>
        <v>의료관광 클리닉</v>
      </c>
      <c r="D124" s="3" t="s">
        <v>16</v>
      </c>
      <c r="E124" s="2" t="n">
        <v>3623</v>
      </c>
      <c r="F124" s="2" t="n">
        <v>26</v>
      </c>
      <c r="G124" s="4" t="s">
        <v>275</v>
      </c>
    </row>
    <row r="125" customFormat="false" ht="15" hidden="false" customHeight="false" outlineLevel="0" collapsed="false">
      <c r="A125" s="2" t="n">
        <v>124</v>
      </c>
      <c r="B125" s="2" t="n">
        <v>10</v>
      </c>
      <c r="C125" s="3" t="str">
        <f aca="false">INDEX('부작 목록'!$C$2:$C$66,B125)</f>
        <v>의료관광 클리닉</v>
      </c>
      <c r="D125" s="3" t="s">
        <v>16</v>
      </c>
      <c r="E125" s="2" t="n">
        <v>3653</v>
      </c>
      <c r="F125" s="2" t="n">
        <v>20</v>
      </c>
      <c r="G125" s="4" t="s">
        <v>276</v>
      </c>
    </row>
    <row r="126" customFormat="false" ht="15" hidden="false" customHeight="false" outlineLevel="0" collapsed="false">
      <c r="A126" s="2" t="n">
        <v>125</v>
      </c>
      <c r="B126" s="2" t="n">
        <v>10</v>
      </c>
      <c r="C126" s="3" t="str">
        <f aca="false">INDEX('부작 목록'!$C$2:$C$66,B126)</f>
        <v>의료관광 클리닉</v>
      </c>
      <c r="D126" s="3" t="s">
        <v>16</v>
      </c>
      <c r="E126" s="2" t="n">
        <v>3676</v>
      </c>
      <c r="F126" s="2" t="n">
        <v>17</v>
      </c>
      <c r="G126" s="4" t="s">
        <v>277</v>
      </c>
    </row>
    <row r="127" customFormat="false" ht="28.35" hidden="false" customHeight="false" outlineLevel="0" collapsed="false">
      <c r="A127" s="2" t="n">
        <v>126</v>
      </c>
      <c r="B127" s="2" t="n">
        <v>10</v>
      </c>
      <c r="C127" s="3" t="str">
        <f aca="false">INDEX('부작 목록'!$C$2:$C$66,B127)</f>
        <v>의료관광 클리닉</v>
      </c>
      <c r="D127" s="3" t="s">
        <v>16</v>
      </c>
      <c r="E127" s="2" t="n">
        <v>3696</v>
      </c>
      <c r="F127" s="2" t="n">
        <v>20</v>
      </c>
      <c r="G127" s="4" t="s">
        <v>278</v>
      </c>
    </row>
    <row r="128" customFormat="false" ht="15" hidden="false" customHeight="false" outlineLevel="0" collapsed="false">
      <c r="A128" s="2" t="n">
        <v>127</v>
      </c>
      <c r="B128" s="2" t="n">
        <v>10</v>
      </c>
      <c r="C128" s="3" t="str">
        <f aca="false">INDEX('부작 목록'!$C$2:$C$66,B128)</f>
        <v>의료관광 클리닉</v>
      </c>
      <c r="D128" s="3" t="s">
        <v>16</v>
      </c>
      <c r="E128" s="2" t="n">
        <v>3719</v>
      </c>
      <c r="F128" s="2" t="n">
        <v>16</v>
      </c>
      <c r="G128" s="4" t="s">
        <v>279</v>
      </c>
    </row>
    <row r="129" customFormat="false" ht="15" hidden="false" customHeight="false" outlineLevel="0" collapsed="false">
      <c r="A129" s="2" t="n">
        <v>128</v>
      </c>
      <c r="B129" s="2" t="n">
        <v>10</v>
      </c>
      <c r="C129" s="3" t="str">
        <f aca="false">INDEX('부작 목록'!$C$2:$C$66,B129)</f>
        <v>의료관광 클리닉</v>
      </c>
      <c r="D129" s="3" t="s">
        <v>16</v>
      </c>
      <c r="E129" s="2" t="n">
        <v>3738</v>
      </c>
      <c r="F129" s="2" t="n">
        <v>22</v>
      </c>
      <c r="G129" s="4" t="s">
        <v>280</v>
      </c>
    </row>
    <row r="130" customFormat="false" ht="15" hidden="false" customHeight="false" outlineLevel="0" collapsed="false">
      <c r="A130" s="2" t="n">
        <v>129</v>
      </c>
      <c r="B130" s="2" t="n">
        <v>10</v>
      </c>
      <c r="C130" s="3" t="str">
        <f aca="false">INDEX('부작 목록'!$C$2:$C$66,B130)</f>
        <v>의료관광 클리닉</v>
      </c>
      <c r="D130" s="3" t="s">
        <v>16</v>
      </c>
      <c r="E130" s="2" t="n">
        <v>3763</v>
      </c>
      <c r="F130" s="2" t="n">
        <v>13</v>
      </c>
      <c r="G130" s="4" t="s">
        <v>281</v>
      </c>
    </row>
    <row r="131" customFormat="false" ht="15" hidden="false" customHeight="false" outlineLevel="0" collapsed="false">
      <c r="A131" s="2" t="n">
        <v>130</v>
      </c>
      <c r="B131" s="2" t="n">
        <v>10</v>
      </c>
      <c r="C131" s="3" t="str">
        <f aca="false">INDEX('부작 목록'!$C$2:$C$66,B131)</f>
        <v>의료관광 클리닉</v>
      </c>
      <c r="D131" s="3" t="s">
        <v>16</v>
      </c>
      <c r="E131" s="2" t="n">
        <v>3778</v>
      </c>
      <c r="F131" s="2" t="n">
        <v>12</v>
      </c>
      <c r="G131" s="4" t="s">
        <v>282</v>
      </c>
    </row>
    <row r="132" customFormat="false" ht="28.35" hidden="false" customHeight="false" outlineLevel="0" collapsed="false">
      <c r="A132" s="2" t="n">
        <v>131</v>
      </c>
      <c r="B132" s="2" t="n">
        <v>11</v>
      </c>
      <c r="C132" s="3" t="str">
        <f aca="false">INDEX('부작 목록'!$C$2:$C$66,B132)</f>
        <v>위기 대응 긴급자금 횡령</v>
      </c>
      <c r="D132" s="3" t="s">
        <v>16</v>
      </c>
      <c r="E132" s="2" t="n">
        <v>3793</v>
      </c>
      <c r="F132" s="2" t="n">
        <v>16</v>
      </c>
      <c r="G132" s="4" t="s">
        <v>283</v>
      </c>
    </row>
    <row r="133" customFormat="false" ht="15" hidden="false" customHeight="false" outlineLevel="0" collapsed="false">
      <c r="A133" s="2" t="n">
        <v>132</v>
      </c>
      <c r="B133" s="2" t="n">
        <v>11</v>
      </c>
      <c r="C133" s="3" t="str">
        <f aca="false">INDEX('부작 목록'!$C$2:$C$66,B133)</f>
        <v>위기 대응 긴급자금 횡령</v>
      </c>
      <c r="D133" s="3" t="s">
        <v>16</v>
      </c>
      <c r="E133" s="2" t="n">
        <v>3813</v>
      </c>
      <c r="F133" s="2" t="n">
        <v>16</v>
      </c>
      <c r="G133" s="4" t="s">
        <v>284</v>
      </c>
    </row>
    <row r="134" customFormat="false" ht="15" hidden="false" customHeight="false" outlineLevel="0" collapsed="false">
      <c r="A134" s="2" t="n">
        <v>133</v>
      </c>
      <c r="B134" s="2" t="n">
        <v>11</v>
      </c>
      <c r="C134" s="3" t="str">
        <f aca="false">INDEX('부작 목록'!$C$2:$C$66,B134)</f>
        <v>위기 대응 긴급자금 횡령</v>
      </c>
      <c r="D134" s="3" t="s">
        <v>16</v>
      </c>
      <c r="E134" s="2" t="n">
        <v>3832</v>
      </c>
      <c r="F134" s="2" t="n">
        <v>10</v>
      </c>
      <c r="G134" s="4" t="s">
        <v>285</v>
      </c>
    </row>
    <row r="135" customFormat="false" ht="15" hidden="false" customHeight="false" outlineLevel="0" collapsed="false">
      <c r="A135" s="2" t="n">
        <v>134</v>
      </c>
      <c r="B135" s="2" t="n">
        <v>11</v>
      </c>
      <c r="C135" s="3" t="str">
        <f aca="false">INDEX('부작 목록'!$C$2:$C$66,B135)</f>
        <v>위기 대응 긴급자금 횡령</v>
      </c>
      <c r="D135" s="3" t="s">
        <v>16</v>
      </c>
      <c r="E135" s="2" t="n">
        <v>3844</v>
      </c>
      <c r="F135" s="2" t="n">
        <v>14</v>
      </c>
      <c r="G135" s="4" t="s">
        <v>286</v>
      </c>
    </row>
    <row r="136" customFormat="false" ht="15" hidden="false" customHeight="false" outlineLevel="0" collapsed="false">
      <c r="A136" s="2" t="n">
        <v>135</v>
      </c>
      <c r="B136" s="2" t="n">
        <v>11</v>
      </c>
      <c r="C136" s="3" t="str">
        <f aca="false">INDEX('부작 목록'!$C$2:$C$66,B136)</f>
        <v>위기 대응 긴급자금 횡령</v>
      </c>
      <c r="D136" s="3" t="s">
        <v>16</v>
      </c>
      <c r="E136" s="2" t="n">
        <v>3861</v>
      </c>
      <c r="F136" s="2" t="n">
        <v>10</v>
      </c>
      <c r="G136" s="4" t="s">
        <v>287</v>
      </c>
    </row>
    <row r="137" customFormat="false" ht="15" hidden="false" customHeight="false" outlineLevel="0" collapsed="false">
      <c r="A137" s="2" t="n">
        <v>136</v>
      </c>
      <c r="B137" s="2" t="n">
        <v>11</v>
      </c>
      <c r="C137" s="3" t="str">
        <f aca="false">INDEX('부작 목록'!$C$2:$C$66,B137)</f>
        <v>위기 대응 긴급자금 횡령</v>
      </c>
      <c r="D137" s="3" t="s">
        <v>16</v>
      </c>
      <c r="E137" s="2" t="n">
        <v>3874</v>
      </c>
      <c r="F137" s="2" t="n">
        <v>12</v>
      </c>
      <c r="G137" s="4" t="s">
        <v>288</v>
      </c>
    </row>
    <row r="138" customFormat="false" ht="15" hidden="false" customHeight="false" outlineLevel="0" collapsed="false">
      <c r="A138" s="2" t="n">
        <v>137</v>
      </c>
      <c r="B138" s="2" t="n">
        <v>11</v>
      </c>
      <c r="C138" s="3" t="str">
        <f aca="false">INDEX('부작 목록'!$C$2:$C$66,B138)</f>
        <v>위기 대응 긴급자금 횡령</v>
      </c>
      <c r="D138" s="3" t="s">
        <v>16</v>
      </c>
      <c r="E138" s="2" t="n">
        <v>3888</v>
      </c>
      <c r="F138" s="2" t="n">
        <v>13</v>
      </c>
      <c r="G138" s="4" t="s">
        <v>289</v>
      </c>
    </row>
    <row r="139" customFormat="false" ht="41" hidden="false" customHeight="false" outlineLevel="0" collapsed="false">
      <c r="A139" s="2" t="n">
        <v>138</v>
      </c>
      <c r="B139" s="2" t="n">
        <v>12</v>
      </c>
      <c r="C139" s="3" t="str">
        <f aca="false">INDEX('부작 목록'!$C$2:$C$66,B139)</f>
        <v>북극 신항로 이중용도 밀수</v>
      </c>
      <c r="D139" s="3" t="s">
        <v>16</v>
      </c>
      <c r="E139" s="2" t="n">
        <v>3904</v>
      </c>
      <c r="F139" s="2" t="n">
        <v>18</v>
      </c>
      <c r="G139" s="4" t="s">
        <v>290</v>
      </c>
    </row>
    <row r="140" customFormat="false" ht="15" hidden="false" customHeight="false" outlineLevel="0" collapsed="false">
      <c r="A140" s="2" t="n">
        <v>139</v>
      </c>
      <c r="B140" s="2" t="n">
        <v>12</v>
      </c>
      <c r="C140" s="3" t="str">
        <f aca="false">INDEX('부작 목록'!$C$2:$C$66,B140)</f>
        <v>북극 신항로 이중용도 밀수</v>
      </c>
      <c r="D140" s="3" t="s">
        <v>16</v>
      </c>
      <c r="E140" s="2" t="n">
        <v>3926</v>
      </c>
      <c r="F140" s="2" t="n">
        <v>15</v>
      </c>
      <c r="G140" s="4" t="s">
        <v>291</v>
      </c>
    </row>
    <row r="141" customFormat="false" ht="15" hidden="false" customHeight="false" outlineLevel="0" collapsed="false">
      <c r="A141" s="2" t="n">
        <v>140</v>
      </c>
      <c r="B141" s="2" t="n">
        <v>12</v>
      </c>
      <c r="C141" s="3" t="str">
        <f aca="false">INDEX('부작 목록'!$C$2:$C$66,B141)</f>
        <v>북극 신항로 이중용도 밀수</v>
      </c>
      <c r="D141" s="3" t="s">
        <v>16</v>
      </c>
      <c r="E141" s="2" t="n">
        <v>3944</v>
      </c>
      <c r="F141" s="2" t="n">
        <v>15</v>
      </c>
      <c r="G141" s="4" t="s">
        <v>292</v>
      </c>
    </row>
    <row r="142" customFormat="false" ht="15" hidden="false" customHeight="false" outlineLevel="0" collapsed="false">
      <c r="A142" s="2" t="n">
        <v>141</v>
      </c>
      <c r="B142" s="2" t="n">
        <v>12</v>
      </c>
      <c r="C142" s="3" t="str">
        <f aca="false">INDEX('부작 목록'!$C$2:$C$66,B142)</f>
        <v>북극 신항로 이중용도 밀수</v>
      </c>
      <c r="D142" s="3" t="s">
        <v>16</v>
      </c>
      <c r="E142" s="2" t="n">
        <v>3962</v>
      </c>
      <c r="F142" s="2" t="n">
        <v>10</v>
      </c>
      <c r="G142" s="4" t="s">
        <v>293</v>
      </c>
    </row>
    <row r="143" customFormat="false" ht="15" hidden="false" customHeight="false" outlineLevel="0" collapsed="false">
      <c r="A143" s="2" t="n">
        <v>142</v>
      </c>
      <c r="B143" s="2" t="n">
        <v>12</v>
      </c>
      <c r="C143" s="3" t="str">
        <f aca="false">INDEX('부작 목록'!$C$2:$C$66,B143)</f>
        <v>북극 신항로 이중용도 밀수</v>
      </c>
      <c r="D143" s="3" t="s">
        <v>16</v>
      </c>
      <c r="E143" s="2" t="n">
        <v>3974</v>
      </c>
      <c r="F143" s="2" t="n">
        <v>13</v>
      </c>
      <c r="G143" s="4" t="s">
        <v>294</v>
      </c>
    </row>
    <row r="144" customFormat="false" ht="15" hidden="false" customHeight="false" outlineLevel="0" collapsed="false">
      <c r="A144" s="2" t="n">
        <v>143</v>
      </c>
      <c r="B144" s="2" t="n">
        <v>12</v>
      </c>
      <c r="C144" s="3" t="str">
        <f aca="false">INDEX('부작 목록'!$C$2:$C$66,B144)</f>
        <v>북극 신항로 이중용도 밀수</v>
      </c>
      <c r="D144" s="3" t="s">
        <v>16</v>
      </c>
      <c r="E144" s="2" t="n">
        <v>3990</v>
      </c>
      <c r="F144" s="2" t="n">
        <v>11</v>
      </c>
      <c r="G144" s="4" t="s">
        <v>295</v>
      </c>
    </row>
    <row r="145" customFormat="false" ht="15" hidden="false" customHeight="false" outlineLevel="0" collapsed="false">
      <c r="A145" s="2" t="n">
        <v>144</v>
      </c>
      <c r="B145" s="2" t="n">
        <v>12</v>
      </c>
      <c r="C145" s="3" t="str">
        <f aca="false">INDEX('부작 목록'!$C$2:$C$66,B145)</f>
        <v>북극 신항로 이중용도 밀수</v>
      </c>
      <c r="D145" s="3" t="s">
        <v>16</v>
      </c>
      <c r="E145" s="2" t="n">
        <v>4004</v>
      </c>
      <c r="F145" s="2" t="n">
        <v>11</v>
      </c>
      <c r="G145" s="4" t="s">
        <v>296</v>
      </c>
    </row>
    <row r="146" customFormat="false" ht="15" hidden="false" customHeight="false" outlineLevel="0" collapsed="false">
      <c r="A146" s="2" t="n">
        <v>145</v>
      </c>
      <c r="B146" s="2" t="n">
        <v>12</v>
      </c>
      <c r="C146" s="3" t="str">
        <f aca="false">INDEX('부작 목록'!$C$2:$C$66,B146)</f>
        <v>북극 신항로 이중용도 밀수</v>
      </c>
      <c r="D146" s="3" t="s">
        <v>16</v>
      </c>
      <c r="E146" s="2" t="n">
        <v>4017</v>
      </c>
      <c r="F146" s="2" t="n">
        <v>13</v>
      </c>
      <c r="G146" s="4" t="s">
        <v>297</v>
      </c>
    </row>
    <row r="147" customFormat="false" ht="41.75" hidden="false" customHeight="false" outlineLevel="0" collapsed="false">
      <c r="A147" s="2" t="n">
        <v>146</v>
      </c>
      <c r="B147" s="2" t="n">
        <v>13</v>
      </c>
      <c r="C147" s="3" t="str">
        <f aca="false">INDEX('부작 목록'!$C$2:$C$66,B147)</f>
        <v>AI 컴패니언 앱 사기</v>
      </c>
      <c r="D147" s="3" t="s">
        <v>16</v>
      </c>
      <c r="E147" s="2" t="n">
        <v>4033</v>
      </c>
      <c r="F147" s="2" t="n">
        <v>9</v>
      </c>
      <c r="G147" s="4" t="s">
        <v>298</v>
      </c>
    </row>
    <row r="148" customFormat="false" ht="15" hidden="false" customHeight="false" outlineLevel="0" collapsed="false">
      <c r="A148" s="2" t="n">
        <v>147</v>
      </c>
      <c r="B148" s="2" t="n">
        <v>13</v>
      </c>
      <c r="C148" s="3" t="str">
        <f aca="false">INDEX('부작 목록'!$C$2:$C$66,B148)</f>
        <v>AI 컴패니언 앱 사기</v>
      </c>
      <c r="D148" s="3" t="s">
        <v>16</v>
      </c>
      <c r="E148" s="2" t="n">
        <v>4046</v>
      </c>
      <c r="F148" s="2" t="n">
        <v>10</v>
      </c>
      <c r="G148" s="4" t="s">
        <v>299</v>
      </c>
    </row>
    <row r="149" customFormat="false" ht="28.35" hidden="false" customHeight="false" outlineLevel="0" collapsed="false">
      <c r="A149" s="2" t="n">
        <v>148</v>
      </c>
      <c r="B149" s="2" t="n">
        <v>13</v>
      </c>
      <c r="C149" s="3" t="str">
        <f aca="false">INDEX('부작 목록'!$C$2:$C$66,B149)</f>
        <v>AI 컴패니언 앱 사기</v>
      </c>
      <c r="D149" s="3" t="s">
        <v>16</v>
      </c>
      <c r="E149" s="2" t="n">
        <v>4058</v>
      </c>
      <c r="F149" s="2" t="n">
        <v>8</v>
      </c>
      <c r="G149" s="4" t="s">
        <v>300</v>
      </c>
    </row>
    <row r="150" customFormat="false" ht="15" hidden="false" customHeight="false" outlineLevel="0" collapsed="false">
      <c r="A150" s="2" t="n">
        <v>149</v>
      </c>
      <c r="B150" s="2" t="n">
        <v>13</v>
      </c>
      <c r="C150" s="3" t="str">
        <f aca="false">INDEX('부작 목록'!$C$2:$C$66,B150)</f>
        <v>AI 컴패니언 앱 사기</v>
      </c>
      <c r="D150" s="3" t="s">
        <v>16</v>
      </c>
      <c r="E150" s="2" t="n">
        <v>4069</v>
      </c>
      <c r="F150" s="2" t="n">
        <v>12</v>
      </c>
      <c r="G150" s="4" t="s">
        <v>301</v>
      </c>
    </row>
    <row r="151" customFormat="false" ht="15" hidden="false" customHeight="false" outlineLevel="0" collapsed="false">
      <c r="A151" s="2" t="n">
        <v>150</v>
      </c>
      <c r="B151" s="2" t="n">
        <v>13</v>
      </c>
      <c r="C151" s="3" t="str">
        <f aca="false">INDEX('부작 목록'!$C$2:$C$66,B151)</f>
        <v>AI 컴패니언 앱 사기</v>
      </c>
      <c r="D151" s="3" t="s">
        <v>16</v>
      </c>
      <c r="E151" s="2" t="n">
        <v>4084</v>
      </c>
      <c r="F151" s="2" t="n">
        <v>12</v>
      </c>
      <c r="G151" s="4" t="s">
        <v>302</v>
      </c>
    </row>
    <row r="152" customFormat="false" ht="15" hidden="false" customHeight="false" outlineLevel="0" collapsed="false">
      <c r="A152" s="2" t="n">
        <v>151</v>
      </c>
      <c r="B152" s="2" t="n">
        <v>13</v>
      </c>
      <c r="C152" s="3" t="str">
        <f aca="false">INDEX('부작 목록'!$C$2:$C$66,B152)</f>
        <v>AI 컴패니언 앱 사기</v>
      </c>
      <c r="D152" s="3" t="s">
        <v>16</v>
      </c>
      <c r="E152" s="2" t="n">
        <v>4098</v>
      </c>
      <c r="F152" s="2" t="n">
        <v>10</v>
      </c>
      <c r="G152" s="4" t="s">
        <v>303</v>
      </c>
    </row>
    <row r="153" customFormat="false" ht="15" hidden="false" customHeight="false" outlineLevel="0" collapsed="false">
      <c r="A153" s="2" t="n">
        <v>152</v>
      </c>
      <c r="B153" s="2" t="n">
        <v>13</v>
      </c>
      <c r="C153" s="3" t="str">
        <f aca="false">INDEX('부작 목록'!$C$2:$C$66,B153)</f>
        <v>AI 컴패니언 앱 사기</v>
      </c>
      <c r="D153" s="3" t="s">
        <v>16</v>
      </c>
      <c r="E153" s="2" t="n">
        <v>4111</v>
      </c>
      <c r="F153" s="2" t="n">
        <v>18</v>
      </c>
      <c r="G153" s="4" t="s">
        <v>304</v>
      </c>
    </row>
    <row r="154" customFormat="false" ht="41.75" hidden="false" customHeight="false" outlineLevel="0" collapsed="false">
      <c r="A154" s="2" t="n">
        <v>153</v>
      </c>
      <c r="B154" s="2" t="n">
        <v>14</v>
      </c>
      <c r="C154" s="3" t="str">
        <f aca="false">INDEX('부작 목록'!$C$2:$C$66,B154)</f>
        <v>반티아 재난 은폐 검증</v>
      </c>
      <c r="D154" s="3" t="s">
        <v>16</v>
      </c>
      <c r="E154" s="2" t="n">
        <v>4132</v>
      </c>
      <c r="F154" s="2" t="n">
        <v>10</v>
      </c>
      <c r="G154" s="4" t="s">
        <v>305</v>
      </c>
    </row>
    <row r="155" customFormat="false" ht="15" hidden="false" customHeight="false" outlineLevel="0" collapsed="false">
      <c r="A155" s="2" t="n">
        <v>154</v>
      </c>
      <c r="B155" s="2" t="n">
        <v>14</v>
      </c>
      <c r="C155" s="3" t="str">
        <f aca="false">INDEX('부작 목록'!$C$2:$C$66,B155)</f>
        <v>반티아 재난 은폐 검증</v>
      </c>
      <c r="D155" s="3" t="s">
        <v>16</v>
      </c>
      <c r="E155" s="2" t="n">
        <v>4147</v>
      </c>
      <c r="F155" s="2" t="n">
        <v>11</v>
      </c>
      <c r="G155" s="4" t="s">
        <v>306</v>
      </c>
    </row>
    <row r="156" customFormat="false" ht="15" hidden="false" customHeight="false" outlineLevel="0" collapsed="false">
      <c r="A156" s="2" t="n">
        <v>155</v>
      </c>
      <c r="B156" s="2" t="n">
        <v>14</v>
      </c>
      <c r="C156" s="3" t="str">
        <f aca="false">INDEX('부작 목록'!$C$2:$C$66,B156)</f>
        <v>반티아 재난 은폐 검증</v>
      </c>
      <c r="D156" s="3" t="s">
        <v>16</v>
      </c>
      <c r="E156" s="2" t="n">
        <v>4160</v>
      </c>
      <c r="F156" s="2" t="n">
        <v>11</v>
      </c>
      <c r="G156" s="4" t="s">
        <v>307</v>
      </c>
    </row>
    <row r="157" customFormat="false" ht="15" hidden="false" customHeight="false" outlineLevel="0" collapsed="false">
      <c r="A157" s="2" t="n">
        <v>156</v>
      </c>
      <c r="B157" s="2" t="n">
        <v>14</v>
      </c>
      <c r="C157" s="3" t="str">
        <f aca="false">INDEX('부작 목록'!$C$2:$C$66,B157)</f>
        <v>반티아 재난 은폐 검증</v>
      </c>
      <c r="D157" s="3" t="s">
        <v>16</v>
      </c>
      <c r="E157" s="2" t="n">
        <v>4174</v>
      </c>
      <c r="F157" s="2" t="n">
        <v>9</v>
      </c>
      <c r="G157" s="4" t="s">
        <v>308</v>
      </c>
    </row>
    <row r="158" customFormat="false" ht="15" hidden="false" customHeight="false" outlineLevel="0" collapsed="false">
      <c r="A158" s="2" t="n">
        <v>157</v>
      </c>
      <c r="B158" s="2" t="n">
        <v>14</v>
      </c>
      <c r="C158" s="3" t="str">
        <f aca="false">INDEX('부작 목록'!$C$2:$C$66,B158)</f>
        <v>반티아 재난 은폐 검증</v>
      </c>
      <c r="D158" s="3" t="s">
        <v>16</v>
      </c>
      <c r="E158" s="2" t="n">
        <v>4185</v>
      </c>
      <c r="F158" s="2" t="n">
        <v>9</v>
      </c>
      <c r="G158" s="4" t="s">
        <v>309</v>
      </c>
    </row>
    <row r="159" customFormat="false" ht="15" hidden="false" customHeight="false" outlineLevel="0" collapsed="false">
      <c r="A159" s="2" t="n">
        <v>158</v>
      </c>
      <c r="B159" s="2" t="n">
        <v>14</v>
      </c>
      <c r="C159" s="3" t="str">
        <f aca="false">INDEX('부작 목록'!$C$2:$C$66,B159)</f>
        <v>반티아 재난 은폐 검증</v>
      </c>
      <c r="D159" s="3" t="s">
        <v>16</v>
      </c>
      <c r="E159" s="2" t="n">
        <v>4197</v>
      </c>
      <c r="F159" s="2" t="n">
        <v>13</v>
      </c>
      <c r="G159" s="4" t="s">
        <v>310</v>
      </c>
    </row>
    <row r="160" customFormat="false" ht="41.75" hidden="false" customHeight="false" outlineLevel="0" collapsed="false">
      <c r="A160" s="2" t="n">
        <v>159</v>
      </c>
      <c r="B160" s="2" t="n">
        <v>15</v>
      </c>
      <c r="C160" s="3" t="str">
        <f aca="false">INDEX('부작 목록'!$C$2:$C$66,B160)</f>
        <v>야마이라 재건 리베이트</v>
      </c>
      <c r="D160" s="3" t="s">
        <v>16</v>
      </c>
      <c r="E160" s="2" t="n">
        <v>4212</v>
      </c>
      <c r="F160" s="2" t="n">
        <v>13</v>
      </c>
      <c r="G160" s="4" t="s">
        <v>311</v>
      </c>
    </row>
    <row r="161" customFormat="false" ht="15" hidden="false" customHeight="false" outlineLevel="0" collapsed="false">
      <c r="A161" s="2" t="n">
        <v>160</v>
      </c>
      <c r="B161" s="2" t="n">
        <v>15</v>
      </c>
      <c r="C161" s="3" t="str">
        <f aca="false">INDEX('부작 목록'!$C$2:$C$66,B161)</f>
        <v>야마이라 재건 리베이트</v>
      </c>
      <c r="D161" s="3" t="s">
        <v>16</v>
      </c>
      <c r="E161" s="2" t="n">
        <v>4228</v>
      </c>
      <c r="F161" s="2" t="n">
        <v>12</v>
      </c>
      <c r="G161" s="4" t="s">
        <v>312</v>
      </c>
    </row>
    <row r="162" customFormat="false" ht="15" hidden="false" customHeight="false" outlineLevel="0" collapsed="false">
      <c r="A162" s="2" t="n">
        <v>161</v>
      </c>
      <c r="B162" s="2" t="n">
        <v>15</v>
      </c>
      <c r="C162" s="3" t="str">
        <f aca="false">INDEX('부작 목록'!$C$2:$C$66,B162)</f>
        <v>야마이라 재건 리베이트</v>
      </c>
      <c r="D162" s="3" t="s">
        <v>16</v>
      </c>
      <c r="E162" s="2" t="n">
        <v>4243</v>
      </c>
      <c r="F162" s="2" t="n">
        <v>11</v>
      </c>
      <c r="G162" s="4" t="s">
        <v>313</v>
      </c>
    </row>
    <row r="163" customFormat="false" ht="15" hidden="false" customHeight="false" outlineLevel="0" collapsed="false">
      <c r="A163" s="2" t="n">
        <v>162</v>
      </c>
      <c r="B163" s="2" t="n">
        <v>15</v>
      </c>
      <c r="C163" s="3" t="str">
        <f aca="false">INDEX('부작 목록'!$C$2:$C$66,B163)</f>
        <v>야마이라 재건 리베이트</v>
      </c>
      <c r="D163" s="3" t="s">
        <v>16</v>
      </c>
      <c r="E163" s="2" t="n">
        <v>4257</v>
      </c>
      <c r="F163" s="2" t="n">
        <v>11</v>
      </c>
      <c r="G163" s="4" t="s">
        <v>314</v>
      </c>
    </row>
    <row r="164" customFormat="false" ht="15" hidden="false" customHeight="false" outlineLevel="0" collapsed="false">
      <c r="A164" s="2" t="n">
        <v>163</v>
      </c>
      <c r="B164" s="2" t="n">
        <v>15</v>
      </c>
      <c r="C164" s="3" t="str">
        <f aca="false">INDEX('부작 목록'!$C$2:$C$66,B164)</f>
        <v>야마이라 재건 리베이트</v>
      </c>
      <c r="D164" s="3" t="s">
        <v>16</v>
      </c>
      <c r="E164" s="2" t="n">
        <v>4270</v>
      </c>
      <c r="F164" s="2" t="n">
        <v>11</v>
      </c>
      <c r="G164" s="4" t="s">
        <v>315</v>
      </c>
    </row>
    <row r="165" customFormat="false" ht="15" hidden="false" customHeight="false" outlineLevel="0" collapsed="false">
      <c r="A165" s="2" t="n">
        <v>164</v>
      </c>
      <c r="B165" s="2" t="n">
        <v>15</v>
      </c>
      <c r="C165" s="3" t="str">
        <f aca="false">INDEX('부작 목록'!$C$2:$C$66,B165)</f>
        <v>야마이라 재건 리베이트</v>
      </c>
      <c r="D165" s="3" t="s">
        <v>16</v>
      </c>
      <c r="E165" s="2" t="n">
        <v>4284</v>
      </c>
      <c r="F165" s="2" t="n">
        <v>8</v>
      </c>
      <c r="G165" s="4" t="s">
        <v>316</v>
      </c>
    </row>
    <row r="166" customFormat="false" ht="41.75" hidden="false" customHeight="false" outlineLevel="0" collapsed="false">
      <c r="A166" s="2" t="n">
        <v>165</v>
      </c>
      <c r="B166" s="2" t="n">
        <v>16</v>
      </c>
      <c r="C166" s="3" t="str">
        <f aca="false">INDEX('부작 목록'!$C$2:$C$66,B166)</f>
        <v>아이슬란드 어업 쿼터 재협상(1)</v>
      </c>
      <c r="D166" s="3" t="s">
        <v>16</v>
      </c>
      <c r="E166" s="2" t="n">
        <v>4294</v>
      </c>
      <c r="F166" s="2" t="n">
        <v>11</v>
      </c>
      <c r="G166" s="4" t="s">
        <v>317</v>
      </c>
    </row>
    <row r="167" customFormat="false" ht="15" hidden="false" customHeight="false" outlineLevel="0" collapsed="false">
      <c r="A167" s="2" t="n">
        <v>166</v>
      </c>
      <c r="B167" s="2" t="n">
        <v>16</v>
      </c>
      <c r="C167" s="3" t="str">
        <f aca="false">INDEX('부작 목록'!$C$2:$C$66,B167)</f>
        <v>아이슬란드 어업 쿼터 재협상(1)</v>
      </c>
      <c r="D167" s="3" t="s">
        <v>16</v>
      </c>
      <c r="E167" s="2" t="n">
        <v>4309</v>
      </c>
      <c r="F167" s="2" t="n">
        <v>14</v>
      </c>
      <c r="G167" s="4" t="s">
        <v>318</v>
      </c>
    </row>
    <row r="168" customFormat="false" ht="15" hidden="false" customHeight="false" outlineLevel="0" collapsed="false">
      <c r="A168" s="2" t="n">
        <v>167</v>
      </c>
      <c r="B168" s="2" t="n">
        <v>16</v>
      </c>
      <c r="C168" s="3" t="str">
        <f aca="false">INDEX('부작 목록'!$C$2:$C$66,B168)</f>
        <v>아이슬란드 어업 쿼터 재협상(1)</v>
      </c>
      <c r="D168" s="3" t="s">
        <v>16</v>
      </c>
      <c r="E168" s="2" t="n">
        <v>4326</v>
      </c>
      <c r="F168" s="2" t="n">
        <v>12</v>
      </c>
      <c r="G168" s="6" t="s">
        <v>319</v>
      </c>
    </row>
    <row r="169" customFormat="false" ht="28.35" hidden="false" customHeight="false" outlineLevel="0" collapsed="false">
      <c r="A169" s="2" t="n">
        <v>168</v>
      </c>
      <c r="B169" s="2" t="n">
        <v>17</v>
      </c>
      <c r="C169" s="3" t="str">
        <f aca="false">INDEX('부작 목록'!$C$2:$C$66,B169)</f>
        <v>가짜 자선단체 기부금 횡령(1)</v>
      </c>
      <c r="D169" s="3" t="s">
        <v>16</v>
      </c>
      <c r="E169" s="2" t="n">
        <v>4341</v>
      </c>
      <c r="F169" s="2" t="n">
        <v>11</v>
      </c>
      <c r="G169" s="4" t="s">
        <v>320</v>
      </c>
    </row>
    <row r="170" customFormat="false" ht="15" hidden="false" customHeight="false" outlineLevel="0" collapsed="false">
      <c r="A170" s="2" t="n">
        <v>169</v>
      </c>
      <c r="B170" s="2" t="n">
        <v>17</v>
      </c>
      <c r="C170" s="3" t="str">
        <f aca="false">INDEX('부작 목록'!$C$2:$C$66,B170)</f>
        <v>가짜 자선단체 기부금 횡령(1)</v>
      </c>
      <c r="D170" s="3" t="s">
        <v>16</v>
      </c>
      <c r="E170" s="2" t="n">
        <v>4355</v>
      </c>
      <c r="F170" s="2" t="n">
        <v>13</v>
      </c>
      <c r="G170" s="4" t="s">
        <v>321</v>
      </c>
    </row>
    <row r="171" customFormat="false" ht="15" hidden="false" customHeight="false" outlineLevel="0" collapsed="false">
      <c r="A171" s="2" t="n">
        <v>170</v>
      </c>
      <c r="B171" s="2" t="n">
        <v>17</v>
      </c>
      <c r="C171" s="3" t="str">
        <f aca="false">INDEX('부작 목록'!$C$2:$C$66,B171)</f>
        <v>가짜 자선단체 기부금 횡령(1)</v>
      </c>
      <c r="D171" s="3" t="s">
        <v>16</v>
      </c>
      <c r="E171" s="2" t="n">
        <v>4371</v>
      </c>
      <c r="F171" s="2" t="n">
        <v>12</v>
      </c>
      <c r="G171" s="4" t="s">
        <v>322</v>
      </c>
    </row>
    <row r="172" customFormat="false" ht="15" hidden="false" customHeight="false" outlineLevel="0" collapsed="false">
      <c r="A172" s="2" t="n">
        <v>171</v>
      </c>
      <c r="B172" s="2" t="n">
        <v>17</v>
      </c>
      <c r="C172" s="3" t="str">
        <f aca="false">INDEX('부작 목록'!$C$2:$C$66,B172)</f>
        <v>가짜 자선단체 기부금 횡령(1)</v>
      </c>
      <c r="D172" s="3" t="s">
        <v>16</v>
      </c>
      <c r="E172" s="2" t="n">
        <v>4386</v>
      </c>
      <c r="F172" s="2" t="n">
        <v>11</v>
      </c>
      <c r="G172" s="4" t="s">
        <v>323</v>
      </c>
    </row>
    <row r="173" customFormat="false" ht="28.35" hidden="false" customHeight="false" outlineLevel="0" collapsed="false">
      <c r="A173" s="2" t="n">
        <v>172</v>
      </c>
      <c r="B173" s="2" t="n">
        <v>18</v>
      </c>
      <c r="C173" s="3" t="str">
        <f aca="false">INDEX('부작 목록'!$C$2:$C$66,B173)</f>
        <v>푸에르토 수르 이주 긴급자금</v>
      </c>
      <c r="D173" s="3" t="s">
        <v>16</v>
      </c>
      <c r="E173" s="2" t="n">
        <v>4399</v>
      </c>
      <c r="F173" s="2" t="n">
        <v>17</v>
      </c>
      <c r="G173" s="4" t="s">
        <v>324</v>
      </c>
    </row>
    <row r="174" customFormat="false" ht="15" hidden="false" customHeight="false" outlineLevel="0" collapsed="false">
      <c r="A174" s="2" t="n">
        <v>173</v>
      </c>
      <c r="B174" s="2" t="n">
        <v>18</v>
      </c>
      <c r="C174" s="3" t="str">
        <f aca="false">INDEX('부작 목록'!$C$2:$C$66,B174)</f>
        <v>푸에르토 수르 이주 긴급자금</v>
      </c>
      <c r="D174" s="3" t="s">
        <v>16</v>
      </c>
      <c r="E174" s="2" t="n">
        <v>4419</v>
      </c>
      <c r="F174" s="2" t="n">
        <v>18</v>
      </c>
      <c r="G174" s="4" t="s">
        <v>325</v>
      </c>
    </row>
    <row r="175" customFormat="false" ht="15" hidden="false" customHeight="false" outlineLevel="0" collapsed="false">
      <c r="A175" s="2" t="n">
        <v>174</v>
      </c>
      <c r="B175" s="2" t="n">
        <v>18</v>
      </c>
      <c r="C175" s="3" t="str">
        <f aca="false">INDEX('부작 목록'!$C$2:$C$66,B175)</f>
        <v>푸에르토 수르 이주 긴급자금</v>
      </c>
      <c r="D175" s="3" t="s">
        <v>16</v>
      </c>
      <c r="E175" s="2" t="n">
        <v>4440</v>
      </c>
      <c r="F175" s="2" t="n">
        <v>17</v>
      </c>
      <c r="G175" s="4" t="s">
        <v>326</v>
      </c>
    </row>
    <row r="176" customFormat="false" ht="15" hidden="false" customHeight="false" outlineLevel="0" collapsed="false">
      <c r="A176" s="2" t="n">
        <v>175</v>
      </c>
      <c r="B176" s="2" t="n">
        <v>18</v>
      </c>
      <c r="C176" s="3" t="str">
        <f aca="false">INDEX('부작 목록'!$C$2:$C$66,B176)</f>
        <v>푸에르토 수르 이주 긴급자금</v>
      </c>
      <c r="D176" s="3" t="s">
        <v>16</v>
      </c>
      <c r="E176" s="2" t="n">
        <v>4460</v>
      </c>
      <c r="F176" s="2" t="n">
        <v>14</v>
      </c>
      <c r="G176" s="4" t="s">
        <v>327</v>
      </c>
    </row>
    <row r="177" customFormat="false" ht="15" hidden="false" customHeight="false" outlineLevel="0" collapsed="false">
      <c r="A177" s="2" t="n">
        <v>176</v>
      </c>
      <c r="B177" s="2" t="n">
        <v>18</v>
      </c>
      <c r="C177" s="3" t="str">
        <f aca="false">INDEX('부작 목록'!$C$2:$C$66,B177)</f>
        <v>푸에르토 수르 이주 긴급자금</v>
      </c>
      <c r="D177" s="3" t="s">
        <v>16</v>
      </c>
      <c r="E177" s="2" t="n">
        <v>4477</v>
      </c>
      <c r="F177" s="2" t="n">
        <v>11</v>
      </c>
      <c r="G177" s="4" t="s">
        <v>328</v>
      </c>
    </row>
    <row r="178" customFormat="false" ht="15" hidden="false" customHeight="false" outlineLevel="0" collapsed="false">
      <c r="A178" s="2" t="n">
        <v>177</v>
      </c>
      <c r="B178" s="2" t="n">
        <v>18</v>
      </c>
      <c r="C178" s="3" t="str">
        <f aca="false">INDEX('부작 목록'!$C$2:$C$66,B178)</f>
        <v>푸에르토 수르 이주 긴급자금</v>
      </c>
      <c r="D178" s="3" t="s">
        <v>16</v>
      </c>
      <c r="E178" s="2" t="n">
        <v>4490</v>
      </c>
      <c r="F178" s="2" t="n">
        <v>16</v>
      </c>
      <c r="G178" s="4" t="s">
        <v>329</v>
      </c>
    </row>
    <row r="179" customFormat="false" ht="15" hidden="false" customHeight="false" outlineLevel="0" collapsed="false">
      <c r="A179" s="2" t="n">
        <v>178</v>
      </c>
      <c r="B179" s="2" t="n">
        <v>18</v>
      </c>
      <c r="C179" s="3" t="str">
        <f aca="false">INDEX('부작 목록'!$C$2:$C$66,B179)</f>
        <v>푸에르토 수르 이주 긴급자금</v>
      </c>
      <c r="D179" s="3" t="s">
        <v>16</v>
      </c>
      <c r="E179" s="2" t="n">
        <v>4508</v>
      </c>
      <c r="F179" s="2" t="n">
        <v>13</v>
      </c>
      <c r="G179" s="4" t="s">
        <v>330</v>
      </c>
    </row>
    <row r="180" customFormat="false" ht="28.35" hidden="false" customHeight="false" outlineLevel="0" collapsed="false">
      <c r="A180" s="2" t="n">
        <v>179</v>
      </c>
      <c r="B180" s="2" t="n">
        <v>19</v>
      </c>
      <c r="C180" s="3" t="str">
        <f aca="false">INDEX('부작 목록'!$C$2:$C$66,B180)</f>
        <v>북극 신항로 해운기업 조사</v>
      </c>
      <c r="D180" s="3" t="s">
        <v>16</v>
      </c>
      <c r="E180" s="2" t="n">
        <v>4524</v>
      </c>
      <c r="F180" s="2" t="n">
        <v>18</v>
      </c>
      <c r="G180" s="4" t="s">
        <v>331</v>
      </c>
    </row>
    <row r="181" customFormat="false" ht="15" hidden="false" customHeight="false" outlineLevel="0" collapsed="false">
      <c r="A181" s="2" t="n">
        <v>180</v>
      </c>
      <c r="B181" s="2" t="n">
        <v>19</v>
      </c>
      <c r="C181" s="3" t="str">
        <f aca="false">INDEX('부작 목록'!$C$2:$C$66,B181)</f>
        <v>북극 신항로 해운기업 조사</v>
      </c>
      <c r="D181" s="3" t="s">
        <v>16</v>
      </c>
      <c r="E181" s="2" t="n">
        <v>4545</v>
      </c>
      <c r="F181" s="2" t="n">
        <v>15</v>
      </c>
      <c r="G181" s="4" t="s">
        <v>332</v>
      </c>
    </row>
    <row r="182" customFormat="false" ht="15" hidden="false" customHeight="false" outlineLevel="0" collapsed="false">
      <c r="A182" s="2" t="n">
        <v>181</v>
      </c>
      <c r="B182" s="2" t="n">
        <v>19</v>
      </c>
      <c r="C182" s="3" t="str">
        <f aca="false">INDEX('부작 목록'!$C$2:$C$66,B182)</f>
        <v>북극 신항로 해운기업 조사</v>
      </c>
      <c r="D182" s="3" t="s">
        <v>16</v>
      </c>
      <c r="E182" s="2" t="n">
        <v>4563</v>
      </c>
      <c r="F182" s="2" t="n">
        <v>18</v>
      </c>
      <c r="G182" s="4" t="s">
        <v>333</v>
      </c>
    </row>
    <row r="183" customFormat="false" ht="15" hidden="false" customHeight="false" outlineLevel="0" collapsed="false">
      <c r="A183" s="2" t="n">
        <v>182</v>
      </c>
      <c r="B183" s="2" t="n">
        <v>19</v>
      </c>
      <c r="C183" s="3" t="str">
        <f aca="false">INDEX('부작 목록'!$C$2:$C$66,B183)</f>
        <v>북극 신항로 해운기업 조사</v>
      </c>
      <c r="D183" s="3" t="s">
        <v>16</v>
      </c>
      <c r="E183" s="2" t="n">
        <v>4584</v>
      </c>
      <c r="F183" s="2" t="n">
        <v>13</v>
      </c>
      <c r="G183" s="4" t="s">
        <v>293</v>
      </c>
    </row>
    <row r="184" customFormat="false" ht="15" hidden="false" customHeight="false" outlineLevel="0" collapsed="false">
      <c r="A184" s="2" t="n">
        <v>183</v>
      </c>
      <c r="B184" s="2" t="n">
        <v>19</v>
      </c>
      <c r="C184" s="3" t="str">
        <f aca="false">INDEX('부작 목록'!$C$2:$C$66,B184)</f>
        <v>북극 신항로 해운기업 조사</v>
      </c>
      <c r="D184" s="3" t="s">
        <v>16</v>
      </c>
      <c r="E184" s="2" t="n">
        <v>4600</v>
      </c>
      <c r="F184" s="2" t="n">
        <v>20</v>
      </c>
      <c r="G184" s="4" t="s">
        <v>334</v>
      </c>
    </row>
    <row r="185" customFormat="false" ht="15" hidden="false" customHeight="false" outlineLevel="0" collapsed="false">
      <c r="A185" s="2" t="n">
        <v>184</v>
      </c>
      <c r="B185" s="2" t="n">
        <v>19</v>
      </c>
      <c r="C185" s="3" t="str">
        <f aca="false">INDEX('부작 목록'!$C$2:$C$66,B185)</f>
        <v>북극 신항로 해운기업 조사</v>
      </c>
      <c r="D185" s="3" t="s">
        <v>16</v>
      </c>
      <c r="E185" s="2" t="n">
        <v>4623</v>
      </c>
      <c r="F185" s="2" t="n">
        <v>13</v>
      </c>
      <c r="G185" s="4" t="s">
        <v>335</v>
      </c>
    </row>
    <row r="186" customFormat="false" ht="15" hidden="false" customHeight="false" outlineLevel="0" collapsed="false">
      <c r="A186" s="2" t="n">
        <v>185</v>
      </c>
      <c r="B186" s="2" t="n">
        <v>19</v>
      </c>
      <c r="C186" s="3" t="str">
        <f aca="false">INDEX('부작 목록'!$C$2:$C$66,B186)</f>
        <v>북극 신항로 해운기업 조사</v>
      </c>
      <c r="D186" s="3" t="s">
        <v>16</v>
      </c>
      <c r="E186" s="2" t="n">
        <v>4639</v>
      </c>
      <c r="F186" s="2" t="n">
        <v>13</v>
      </c>
      <c r="G186" s="4" t="s">
        <v>336</v>
      </c>
    </row>
    <row r="187" customFormat="false" ht="15" hidden="false" customHeight="false" outlineLevel="0" collapsed="false">
      <c r="A187" s="2" t="n">
        <v>186</v>
      </c>
      <c r="B187" s="2" t="n">
        <v>19</v>
      </c>
      <c r="C187" s="3" t="str">
        <f aca="false">INDEX('부작 목록'!$C$2:$C$66,B187)</f>
        <v>북극 신항로 해운기업 조사</v>
      </c>
      <c r="D187" s="3" t="s">
        <v>16</v>
      </c>
      <c r="E187" s="2" t="n">
        <v>4654</v>
      </c>
      <c r="F187" s="2" t="n">
        <v>12</v>
      </c>
      <c r="G187" s="4" t="s">
        <v>337</v>
      </c>
    </row>
    <row r="188" customFormat="false" ht="15" hidden="false" customHeight="false" outlineLevel="0" collapsed="false">
      <c r="A188" s="2" t="n">
        <v>187</v>
      </c>
      <c r="B188" s="2" t="n">
        <v>19</v>
      </c>
      <c r="C188" s="3" t="str">
        <f aca="false">INDEX('부작 목록'!$C$2:$C$66,B188)</f>
        <v>북극 신항로 해운기업 조사</v>
      </c>
      <c r="D188" s="3" t="s">
        <v>16</v>
      </c>
      <c r="E188" s="2" t="n">
        <v>4669</v>
      </c>
      <c r="F188" s="2" t="n">
        <v>12</v>
      </c>
      <c r="G188" s="4" t="s">
        <v>338</v>
      </c>
    </row>
    <row r="189" customFormat="false" ht="15" hidden="false" customHeight="false" outlineLevel="0" collapsed="false">
      <c r="A189" s="2" t="n">
        <v>188</v>
      </c>
      <c r="B189" s="2" t="n">
        <v>19</v>
      </c>
      <c r="C189" s="3" t="str">
        <f aca="false">INDEX('부작 목록'!$C$2:$C$66,B189)</f>
        <v>북극 신항로 해운기업 조사</v>
      </c>
      <c r="D189" s="3" t="s">
        <v>16</v>
      </c>
      <c r="E189" s="2" t="n">
        <v>4684</v>
      </c>
      <c r="F189" s="2" t="n">
        <v>10</v>
      </c>
      <c r="G189" s="4" t="s">
        <v>339</v>
      </c>
    </row>
    <row r="190" customFormat="false" ht="15" hidden="false" customHeight="false" outlineLevel="0" collapsed="false">
      <c r="A190" s="2" t="n">
        <v>189</v>
      </c>
      <c r="B190" s="2" t="n">
        <v>20</v>
      </c>
      <c r="C190" s="3" t="str">
        <f aca="false">INDEX('부작 목록'!$C$2:$C$66,B190)</f>
        <v>이모 로사와 AI 동반자 앱</v>
      </c>
      <c r="D190" s="3" t="s">
        <v>16</v>
      </c>
      <c r="E190" s="2" t="n">
        <v>4696</v>
      </c>
      <c r="F190" s="2" t="n">
        <v>12</v>
      </c>
      <c r="G190" s="4" t="s">
        <v>340</v>
      </c>
    </row>
    <row r="191" customFormat="false" ht="15" hidden="false" customHeight="false" outlineLevel="0" collapsed="false">
      <c r="A191" s="2" t="n">
        <v>190</v>
      </c>
      <c r="B191" s="2" t="n">
        <v>20</v>
      </c>
      <c r="C191" s="3" t="str">
        <f aca="false">INDEX('부작 목록'!$C$2:$C$66,B191)</f>
        <v>이모 로사와 AI 동반자 앱</v>
      </c>
      <c r="D191" s="3" t="s">
        <v>16</v>
      </c>
      <c r="E191" s="2" t="n">
        <v>4711</v>
      </c>
      <c r="F191" s="2" t="n">
        <v>14</v>
      </c>
      <c r="G191" s="4" t="s">
        <v>341</v>
      </c>
    </row>
    <row r="192" customFormat="false" ht="15" hidden="false" customHeight="false" outlineLevel="0" collapsed="false">
      <c r="A192" s="2" t="n">
        <v>191</v>
      </c>
      <c r="B192" s="2" t="n">
        <v>20</v>
      </c>
      <c r="C192" s="3" t="str">
        <f aca="false">INDEX('부작 목록'!$C$2:$C$66,B192)</f>
        <v>이모 로사와 AI 동반자 앱</v>
      </c>
      <c r="D192" s="3" t="s">
        <v>16</v>
      </c>
      <c r="E192" s="2" t="n">
        <v>4728</v>
      </c>
      <c r="F192" s="2" t="n">
        <v>15</v>
      </c>
      <c r="G192" s="4" t="s">
        <v>342</v>
      </c>
    </row>
    <row r="193" customFormat="false" ht="15" hidden="false" customHeight="false" outlineLevel="0" collapsed="false">
      <c r="A193" s="2" t="n">
        <v>192</v>
      </c>
      <c r="B193" s="2" t="n">
        <v>20</v>
      </c>
      <c r="C193" s="3" t="str">
        <f aca="false">INDEX('부작 목록'!$C$2:$C$66,B193)</f>
        <v>이모 로사와 AI 동반자 앱</v>
      </c>
      <c r="D193" s="3" t="s">
        <v>16</v>
      </c>
      <c r="E193" s="2" t="n">
        <v>4746</v>
      </c>
      <c r="F193" s="2" t="n">
        <v>12</v>
      </c>
      <c r="G193" s="4" t="s">
        <v>343</v>
      </c>
    </row>
    <row r="194" customFormat="false" ht="15" hidden="false" customHeight="false" outlineLevel="0" collapsed="false">
      <c r="A194" s="2" t="n">
        <v>193</v>
      </c>
      <c r="B194" s="2" t="n">
        <v>20</v>
      </c>
      <c r="C194" s="3" t="str">
        <f aca="false">INDEX('부작 목록'!$C$2:$C$66,B194)</f>
        <v>이모 로사와 AI 동반자 앱</v>
      </c>
      <c r="D194" s="3" t="s">
        <v>16</v>
      </c>
      <c r="E194" s="2" t="n">
        <v>4760</v>
      </c>
      <c r="F194" s="2" t="n">
        <v>15</v>
      </c>
      <c r="G194" s="4" t="s">
        <v>344</v>
      </c>
    </row>
    <row r="195" customFormat="false" ht="15" hidden="false" customHeight="false" outlineLevel="0" collapsed="false">
      <c r="A195" s="2" t="n">
        <v>194</v>
      </c>
      <c r="B195" s="2" t="n">
        <v>20</v>
      </c>
      <c r="C195" s="3" t="str">
        <f aca="false">INDEX('부작 목록'!$C$2:$C$66,B195)</f>
        <v>이모 로사와 AI 동반자 앱</v>
      </c>
      <c r="D195" s="3" t="s">
        <v>16</v>
      </c>
      <c r="E195" s="2" t="n">
        <v>4778</v>
      </c>
      <c r="F195" s="2" t="n">
        <v>12</v>
      </c>
      <c r="G195" s="4" t="s">
        <v>345</v>
      </c>
    </row>
    <row r="196" customFormat="false" ht="15" hidden="false" customHeight="false" outlineLevel="0" collapsed="false">
      <c r="A196" s="2" t="n">
        <v>195</v>
      </c>
      <c r="B196" s="2" t="n">
        <v>20</v>
      </c>
      <c r="C196" s="3" t="str">
        <f aca="false">INDEX('부작 목록'!$C$2:$C$66,B196)</f>
        <v>이모 로사와 AI 동반자 앱</v>
      </c>
      <c r="D196" s="3" t="s">
        <v>16</v>
      </c>
      <c r="E196" s="2" t="n">
        <v>4793</v>
      </c>
      <c r="F196" s="2" t="n">
        <v>15</v>
      </c>
      <c r="G196" s="4" t="s">
        <v>346</v>
      </c>
    </row>
    <row r="197" customFormat="false" ht="41.75" hidden="false" customHeight="false" outlineLevel="0" collapsed="false">
      <c r="A197" s="2" t="n">
        <v>196</v>
      </c>
      <c r="B197" s="2" t="n">
        <v>21</v>
      </c>
      <c r="C197" s="3" t="str">
        <f aca="false">INDEX('부작 목록'!$C$2:$C$66,B197)</f>
        <v>몬타냐 델 노르테 산사태 은폐</v>
      </c>
      <c r="D197" s="3" t="s">
        <v>16</v>
      </c>
      <c r="E197" s="2" t="n">
        <v>4811</v>
      </c>
      <c r="F197" s="2" t="n">
        <v>13</v>
      </c>
      <c r="G197" s="4" t="s">
        <v>347</v>
      </c>
    </row>
    <row r="198" customFormat="false" ht="15" hidden="false" customHeight="false" outlineLevel="0" collapsed="false">
      <c r="A198" s="2" t="n">
        <v>197</v>
      </c>
      <c r="B198" s="2" t="n">
        <v>21</v>
      </c>
      <c r="C198" s="3" t="str">
        <f aca="false">INDEX('부작 목록'!$C$2:$C$66,B198)</f>
        <v>몬타냐 델 노르테 산사태 은폐</v>
      </c>
      <c r="D198" s="3" t="s">
        <v>16</v>
      </c>
      <c r="E198" s="2" t="n">
        <v>4827</v>
      </c>
      <c r="F198" s="2" t="n">
        <v>15</v>
      </c>
      <c r="G198" s="4" t="s">
        <v>348</v>
      </c>
    </row>
    <row r="199" customFormat="false" ht="15" hidden="false" customHeight="false" outlineLevel="0" collapsed="false">
      <c r="A199" s="2" t="n">
        <v>198</v>
      </c>
      <c r="B199" s="2" t="n">
        <v>21</v>
      </c>
      <c r="C199" s="3" t="str">
        <f aca="false">INDEX('부작 목록'!$C$2:$C$66,B199)</f>
        <v>몬타냐 델 노르테 산사태 은폐</v>
      </c>
      <c r="D199" s="3" t="s">
        <v>16</v>
      </c>
      <c r="E199" s="2" t="n">
        <v>4845</v>
      </c>
      <c r="F199" s="2" t="n">
        <v>15</v>
      </c>
      <c r="G199" s="4" t="s">
        <v>349</v>
      </c>
    </row>
    <row r="200" customFormat="false" ht="15" hidden="false" customHeight="false" outlineLevel="0" collapsed="false">
      <c r="A200" s="2" t="n">
        <v>199</v>
      </c>
      <c r="B200" s="2" t="n">
        <v>21</v>
      </c>
      <c r="C200" s="3" t="str">
        <f aca="false">INDEX('부작 목록'!$C$2:$C$66,B200)</f>
        <v>몬타냐 델 노르테 산사태 은폐</v>
      </c>
      <c r="D200" s="3" t="s">
        <v>16</v>
      </c>
      <c r="E200" s="2" t="n">
        <v>4863</v>
      </c>
      <c r="F200" s="2" t="n">
        <v>12</v>
      </c>
      <c r="G200" s="4" t="s">
        <v>350</v>
      </c>
    </row>
    <row r="201" customFormat="false" ht="15" hidden="false" customHeight="false" outlineLevel="0" collapsed="false">
      <c r="A201" s="2" t="n">
        <v>200</v>
      </c>
      <c r="B201" s="2" t="n">
        <v>21</v>
      </c>
      <c r="C201" s="3" t="str">
        <f aca="false">INDEX('부작 목록'!$C$2:$C$66,B201)</f>
        <v>몬타냐 델 노르테 산사태 은폐</v>
      </c>
      <c r="D201" s="3" t="s">
        <v>16</v>
      </c>
      <c r="E201" s="2" t="n">
        <v>4878</v>
      </c>
      <c r="F201" s="2" t="n">
        <v>11</v>
      </c>
      <c r="G201" s="4" t="s">
        <v>351</v>
      </c>
    </row>
    <row r="202" customFormat="false" ht="15" hidden="false" customHeight="false" outlineLevel="0" collapsed="false">
      <c r="A202" s="2" t="n">
        <v>201</v>
      </c>
      <c r="B202" s="2" t="n">
        <v>21</v>
      </c>
      <c r="C202" s="3" t="str">
        <f aca="false">INDEX('부작 목록'!$C$2:$C$66,B202)</f>
        <v>몬타냐 델 노르테 산사태 은폐</v>
      </c>
      <c r="D202" s="3" t="s">
        <v>16</v>
      </c>
      <c r="E202" s="2" t="n">
        <v>4891</v>
      </c>
      <c r="F202" s="2" t="n">
        <v>14</v>
      </c>
      <c r="G202" s="4" t="s">
        <v>352</v>
      </c>
    </row>
    <row r="203" customFormat="false" ht="15" hidden="false" customHeight="false" outlineLevel="0" collapsed="false">
      <c r="A203" s="2" t="n">
        <v>202</v>
      </c>
      <c r="B203" s="2" t="n">
        <v>21</v>
      </c>
      <c r="C203" s="3" t="str">
        <f aca="false">INDEX('부작 목록'!$C$2:$C$66,B203)</f>
        <v>몬타냐 델 노르테 산사태 은폐</v>
      </c>
      <c r="D203" s="3" t="s">
        <v>16</v>
      </c>
      <c r="E203" s="2" t="n">
        <v>4908</v>
      </c>
      <c r="F203" s="2" t="n">
        <v>11</v>
      </c>
      <c r="G203" s="4" t="s">
        <v>353</v>
      </c>
    </row>
    <row r="204" customFormat="false" ht="28.35" hidden="false" customHeight="false" outlineLevel="0" collapsed="false">
      <c r="A204" s="2" t="n">
        <v>203</v>
      </c>
      <c r="B204" s="2" t="n">
        <v>22</v>
      </c>
      <c r="C204" s="3" t="str">
        <f aca="false">INDEX('부작 목록'!$C$2:$C$66,B204)</f>
        <v>카바나스 재건 사업과 컨설턴트 위장</v>
      </c>
      <c r="D204" s="3" t="s">
        <v>16</v>
      </c>
      <c r="E204" s="2" t="n">
        <v>4922</v>
      </c>
      <c r="F204" s="2" t="n">
        <v>17</v>
      </c>
      <c r="G204" s="4" t="s">
        <v>354</v>
      </c>
    </row>
    <row r="205" customFormat="false" ht="15" hidden="false" customHeight="false" outlineLevel="0" collapsed="false">
      <c r="A205" s="2" t="n">
        <v>204</v>
      </c>
      <c r="B205" s="2" t="n">
        <v>22</v>
      </c>
      <c r="C205" s="3" t="str">
        <f aca="false">INDEX('부작 목록'!$C$2:$C$66,B205)</f>
        <v>카바나스 재건 사업과 컨설턴트 위장</v>
      </c>
      <c r="D205" s="3" t="s">
        <v>16</v>
      </c>
      <c r="E205" s="2" t="n">
        <v>4942</v>
      </c>
      <c r="F205" s="2" t="n">
        <v>12</v>
      </c>
      <c r="G205" s="4" t="s">
        <v>355</v>
      </c>
    </row>
    <row r="206" customFormat="false" ht="15" hidden="false" customHeight="false" outlineLevel="0" collapsed="false">
      <c r="A206" s="2" t="n">
        <v>205</v>
      </c>
      <c r="B206" s="2" t="n">
        <v>22</v>
      </c>
      <c r="C206" s="3" t="str">
        <f aca="false">INDEX('부작 목록'!$C$2:$C$66,B206)</f>
        <v>카바나스 재건 사업과 컨설턴트 위장</v>
      </c>
      <c r="D206" s="3" t="s">
        <v>16</v>
      </c>
      <c r="E206" s="2" t="n">
        <v>4956</v>
      </c>
      <c r="F206" s="2" t="n">
        <v>14</v>
      </c>
      <c r="G206" s="4" t="s">
        <v>356</v>
      </c>
    </row>
    <row r="207" customFormat="false" ht="15" hidden="false" customHeight="false" outlineLevel="0" collapsed="false">
      <c r="A207" s="2" t="n">
        <v>206</v>
      </c>
      <c r="B207" s="2" t="n">
        <v>22</v>
      </c>
      <c r="C207" s="3" t="str">
        <f aca="false">INDEX('부작 목록'!$C$2:$C$66,B207)</f>
        <v>카바나스 재건 사업과 컨설턴트 위장</v>
      </c>
      <c r="D207" s="3" t="s">
        <v>16</v>
      </c>
      <c r="E207" s="2" t="n">
        <v>4973</v>
      </c>
      <c r="F207" s="2" t="n">
        <v>14</v>
      </c>
      <c r="G207" s="4" t="s">
        <v>357</v>
      </c>
    </row>
    <row r="208" customFormat="false" ht="15" hidden="false" customHeight="false" outlineLevel="0" collapsed="false">
      <c r="A208" s="2" t="n">
        <v>207</v>
      </c>
      <c r="B208" s="2" t="n">
        <v>22</v>
      </c>
      <c r="C208" s="3" t="str">
        <f aca="false">INDEX('부작 목록'!$C$2:$C$66,B208)</f>
        <v>카바나스 재건 사업과 컨설턴트 위장</v>
      </c>
      <c r="D208" s="3" t="s">
        <v>16</v>
      </c>
      <c r="E208" s="2" t="n">
        <v>4990</v>
      </c>
      <c r="F208" s="2" t="n">
        <v>12</v>
      </c>
      <c r="G208" s="4" t="s">
        <v>358</v>
      </c>
    </row>
    <row r="209" customFormat="false" ht="15" hidden="false" customHeight="false" outlineLevel="0" collapsed="false">
      <c r="A209" s="2" t="n">
        <v>208</v>
      </c>
      <c r="B209" s="2" t="n">
        <v>22</v>
      </c>
      <c r="C209" s="3" t="str">
        <f aca="false">INDEX('부작 목록'!$C$2:$C$66,B209)</f>
        <v>카바나스 재건 사업과 컨설턴트 위장</v>
      </c>
      <c r="D209" s="3" t="s">
        <v>16</v>
      </c>
      <c r="E209" s="2" t="n">
        <v>5004</v>
      </c>
      <c r="F209" s="2" t="n">
        <v>12</v>
      </c>
      <c r="G209" s="4" t="s">
        <v>359</v>
      </c>
    </row>
    <row r="210" customFormat="false" ht="15" hidden="false" customHeight="false" outlineLevel="0" collapsed="false">
      <c r="A210" s="2" t="n">
        <v>209</v>
      </c>
      <c r="B210" s="2" t="n">
        <v>22</v>
      </c>
      <c r="C210" s="3" t="str">
        <f aca="false">INDEX('부작 목록'!$C$2:$C$66,B210)</f>
        <v>카바나스 재건 사업과 컨설턴트 위장</v>
      </c>
      <c r="D210" s="3" t="s">
        <v>16</v>
      </c>
      <c r="E210" s="2" t="n">
        <v>5018</v>
      </c>
      <c r="F210" s="2" t="n">
        <v>12</v>
      </c>
      <c r="G210" s="4" t="s">
        <v>360</v>
      </c>
    </row>
    <row r="211" customFormat="false" ht="15" hidden="false" customHeight="false" outlineLevel="0" collapsed="false">
      <c r="A211" s="2" t="n">
        <v>210</v>
      </c>
      <c r="B211" s="2" t="n">
        <v>22</v>
      </c>
      <c r="C211" s="3" t="str">
        <f aca="false">INDEX('부작 목록'!$C$2:$C$66,B211)</f>
        <v>카바나스 재건 사업과 컨설턴트 위장</v>
      </c>
      <c r="D211" s="3" t="s">
        <v>16</v>
      </c>
      <c r="E211" s="2" t="n">
        <v>5033</v>
      </c>
      <c r="F211" s="2" t="n">
        <v>12</v>
      </c>
      <c r="G211" s="4" t="s">
        <v>361</v>
      </c>
    </row>
    <row r="212" customFormat="false" ht="15" hidden="false" customHeight="false" outlineLevel="0" collapsed="false">
      <c r="A212" s="2" t="n">
        <v>211</v>
      </c>
      <c r="B212" s="2" t="n">
        <v>22</v>
      </c>
      <c r="C212" s="3" t="str">
        <f aca="false">INDEX('부작 목록'!$C$2:$C$66,B212)</f>
        <v>카바나스 재건 사업과 컨설턴트 위장</v>
      </c>
      <c r="D212" s="3" t="s">
        <v>16</v>
      </c>
      <c r="E212" s="2" t="n">
        <v>5047</v>
      </c>
      <c r="F212" s="2" t="n">
        <v>11</v>
      </c>
      <c r="G212" s="4" t="s">
        <v>362</v>
      </c>
    </row>
    <row r="213" customFormat="false" ht="15" hidden="false" customHeight="false" outlineLevel="0" collapsed="false">
      <c r="A213" s="2" t="n">
        <v>212</v>
      </c>
      <c r="B213" s="2" t="n">
        <v>22</v>
      </c>
      <c r="C213" s="3" t="str">
        <f aca="false">INDEX('부작 목록'!$C$2:$C$66,B213)</f>
        <v>카바나스 재건 사업과 컨설턴트 위장</v>
      </c>
      <c r="D213" s="3" t="s">
        <v>16</v>
      </c>
      <c r="E213" s="2" t="n">
        <v>5060</v>
      </c>
      <c r="F213" s="2" t="n">
        <v>12</v>
      </c>
      <c r="G213" s="4" t="s">
        <v>339</v>
      </c>
    </row>
    <row r="214" customFormat="false" ht="28.35" hidden="false" customHeight="false" outlineLevel="0" collapsed="false">
      <c r="A214" s="2" t="n">
        <v>213</v>
      </c>
      <c r="B214" s="2" t="n">
        <v>23</v>
      </c>
      <c r="C214" s="3" t="str">
        <f aca="false">INDEX('부작 목록'!$C$2:$C$66,B214)</f>
        <v>아이슬란드 어획 쿼터 협상(2)</v>
      </c>
      <c r="D214" s="3" t="s">
        <v>16</v>
      </c>
      <c r="E214" s="2" t="n">
        <v>5075</v>
      </c>
      <c r="F214" s="2" t="n">
        <v>10</v>
      </c>
      <c r="G214" s="4" t="s">
        <v>363</v>
      </c>
    </row>
    <row r="215" customFormat="false" ht="15" hidden="false" customHeight="false" outlineLevel="0" collapsed="false">
      <c r="A215" s="2" t="n">
        <v>214</v>
      </c>
      <c r="B215" s="2" t="n">
        <v>23</v>
      </c>
      <c r="C215" s="3" t="str">
        <f aca="false">INDEX('부작 목록'!$C$2:$C$66,B215)</f>
        <v>아이슬란드 어획 쿼터 협상(2)</v>
      </c>
      <c r="D215" s="3" t="s">
        <v>16</v>
      </c>
      <c r="E215" s="2" t="n">
        <v>5087</v>
      </c>
      <c r="F215" s="2" t="n">
        <v>10</v>
      </c>
      <c r="G215" s="4" t="s">
        <v>364</v>
      </c>
    </row>
    <row r="216" customFormat="false" ht="15" hidden="false" customHeight="false" outlineLevel="0" collapsed="false">
      <c r="A216" s="2" t="n">
        <v>215</v>
      </c>
      <c r="B216" s="2" t="n">
        <v>23</v>
      </c>
      <c r="C216" s="3" t="str">
        <f aca="false">INDEX('부작 목록'!$C$2:$C$66,B216)</f>
        <v>아이슬란드 어획 쿼터 협상(2)</v>
      </c>
      <c r="D216" s="3" t="s">
        <v>16</v>
      </c>
      <c r="E216" s="2" t="n">
        <v>5100</v>
      </c>
      <c r="F216" s="2" t="n">
        <v>12</v>
      </c>
      <c r="G216" s="4" t="s">
        <v>365</v>
      </c>
    </row>
    <row r="217" customFormat="false" ht="15" hidden="false" customHeight="false" outlineLevel="0" collapsed="false">
      <c r="A217" s="2" t="n">
        <v>216</v>
      </c>
      <c r="B217" s="2" t="n">
        <v>23</v>
      </c>
      <c r="C217" s="3" t="str">
        <f aca="false">INDEX('부작 목록'!$C$2:$C$66,B217)</f>
        <v>아이슬란드 어획 쿼터 협상(2)</v>
      </c>
      <c r="D217" s="3" t="s">
        <v>16</v>
      </c>
      <c r="E217" s="2" t="n">
        <v>5115</v>
      </c>
      <c r="F217" s="2" t="n">
        <v>12</v>
      </c>
      <c r="G217" s="4" t="s">
        <v>366</v>
      </c>
    </row>
    <row r="218" customFormat="false" ht="15" hidden="false" customHeight="false" outlineLevel="0" collapsed="false">
      <c r="A218" s="2" t="n">
        <v>217</v>
      </c>
      <c r="B218" s="2" t="n">
        <v>23</v>
      </c>
      <c r="C218" s="3" t="str">
        <f aca="false">INDEX('부작 목록'!$C$2:$C$66,B218)</f>
        <v>아이슬란드 어획 쿼터 협상(2)</v>
      </c>
      <c r="D218" s="3" t="s">
        <v>16</v>
      </c>
      <c r="E218" s="2" t="n">
        <v>5130</v>
      </c>
      <c r="F218" s="2" t="n">
        <v>11</v>
      </c>
      <c r="G218" s="4" t="s">
        <v>367</v>
      </c>
    </row>
    <row r="219" customFormat="false" ht="15" hidden="false" customHeight="false" outlineLevel="0" collapsed="false">
      <c r="A219" s="2" t="n">
        <v>218</v>
      </c>
      <c r="B219" s="2" t="n">
        <v>23</v>
      </c>
      <c r="C219" s="3" t="str">
        <f aca="false">INDEX('부작 목록'!$C$2:$C$66,B219)</f>
        <v>아이슬란드 어획 쿼터 협상(2)</v>
      </c>
      <c r="D219" s="3" t="s">
        <v>16</v>
      </c>
      <c r="E219" s="2" t="n">
        <v>5143</v>
      </c>
      <c r="F219" s="2" t="n">
        <v>10</v>
      </c>
      <c r="G219" s="4" t="s">
        <v>368</v>
      </c>
    </row>
    <row r="220" customFormat="false" ht="15" hidden="false" customHeight="false" outlineLevel="0" collapsed="false">
      <c r="A220" s="2" t="n">
        <v>219</v>
      </c>
      <c r="B220" s="2" t="n">
        <v>23</v>
      </c>
      <c r="C220" s="3" t="str">
        <f aca="false">INDEX('부작 목록'!$C$2:$C$66,B220)</f>
        <v>아이슬란드 어획 쿼터 협상(2)</v>
      </c>
      <c r="D220" s="3" t="s">
        <v>16</v>
      </c>
      <c r="E220" s="2" t="n">
        <v>5156</v>
      </c>
      <c r="F220" s="2" t="n">
        <v>10</v>
      </c>
      <c r="G220" s="4" t="s">
        <v>369</v>
      </c>
    </row>
    <row r="221" customFormat="false" ht="28.35" hidden="false" customHeight="false" outlineLevel="0" collapsed="false">
      <c r="A221" s="2" t="n">
        <v>220</v>
      </c>
      <c r="B221" s="2" t="n">
        <v>24</v>
      </c>
      <c r="C221" s="3" t="str">
        <f aca="false">INDEX('부작 목록'!$C$2:$C$66,B221)</f>
        <v>에스페란사 글로벌 기부금 횡령</v>
      </c>
      <c r="D221" s="3" t="s">
        <v>16</v>
      </c>
      <c r="E221" s="2" t="n">
        <v>5168</v>
      </c>
      <c r="F221" s="2" t="n">
        <v>16</v>
      </c>
      <c r="G221" s="4" t="s">
        <v>370</v>
      </c>
    </row>
    <row r="222" customFormat="false" ht="15" hidden="false" customHeight="false" outlineLevel="0" collapsed="false">
      <c r="A222" s="2" t="n">
        <v>221</v>
      </c>
      <c r="B222" s="2" t="n">
        <v>24</v>
      </c>
      <c r="C222" s="3" t="str">
        <f aca="false">INDEX('부작 목록'!$C$2:$C$66,B222)</f>
        <v>에스페란사 글로벌 기부금 횡령</v>
      </c>
      <c r="D222" s="3" t="s">
        <v>16</v>
      </c>
      <c r="E222" s="2" t="n">
        <v>5187</v>
      </c>
      <c r="F222" s="2" t="n">
        <v>12</v>
      </c>
      <c r="G222" s="4" t="s">
        <v>371</v>
      </c>
    </row>
    <row r="223" customFormat="false" ht="15" hidden="false" customHeight="false" outlineLevel="0" collapsed="false">
      <c r="A223" s="2" t="n">
        <v>222</v>
      </c>
      <c r="B223" s="2" t="n">
        <v>24</v>
      </c>
      <c r="C223" s="3" t="str">
        <f aca="false">INDEX('부작 목록'!$C$2:$C$66,B223)</f>
        <v>에스페란사 글로벌 기부금 횡령</v>
      </c>
      <c r="D223" s="3" t="s">
        <v>16</v>
      </c>
      <c r="E223" s="2" t="n">
        <v>5202</v>
      </c>
      <c r="F223" s="2" t="n">
        <v>12</v>
      </c>
      <c r="G223" s="4" t="s">
        <v>372</v>
      </c>
    </row>
    <row r="224" customFormat="false" ht="15" hidden="false" customHeight="false" outlineLevel="0" collapsed="false">
      <c r="A224" s="2" t="n">
        <v>223</v>
      </c>
      <c r="B224" s="2" t="n">
        <v>24</v>
      </c>
      <c r="C224" s="3" t="str">
        <f aca="false">INDEX('부작 목록'!$C$2:$C$66,B224)</f>
        <v>에스페란사 글로벌 기부금 횡령</v>
      </c>
      <c r="D224" s="3" t="s">
        <v>16</v>
      </c>
      <c r="E224" s="2" t="n">
        <v>5217</v>
      </c>
      <c r="F224" s="2" t="n">
        <v>12</v>
      </c>
      <c r="G224" s="4" t="s">
        <v>373</v>
      </c>
    </row>
    <row r="225" customFormat="false" ht="15" hidden="false" customHeight="false" outlineLevel="0" collapsed="false">
      <c r="A225" s="2" t="n">
        <v>224</v>
      </c>
      <c r="B225" s="2" t="n">
        <v>24</v>
      </c>
      <c r="C225" s="3" t="str">
        <f aca="false">INDEX('부작 목록'!$C$2:$C$66,B225)</f>
        <v>에스페란사 글로벌 기부금 횡령</v>
      </c>
      <c r="D225" s="3" t="s">
        <v>16</v>
      </c>
      <c r="E225" s="2" t="n">
        <v>5231</v>
      </c>
      <c r="F225" s="2" t="n">
        <v>12</v>
      </c>
      <c r="G225" s="4" t="s">
        <v>374</v>
      </c>
    </row>
    <row r="226" customFormat="false" ht="15" hidden="false" customHeight="false" outlineLevel="0" collapsed="false">
      <c r="A226" s="2" t="n">
        <v>225</v>
      </c>
      <c r="B226" s="2" t="n">
        <v>24</v>
      </c>
      <c r="C226" s="3" t="str">
        <f aca="false">INDEX('부작 목록'!$C$2:$C$66,B226)</f>
        <v>에스페란사 글로벌 기부금 횡령</v>
      </c>
      <c r="D226" s="3" t="s">
        <v>16</v>
      </c>
      <c r="E226" s="2" t="n">
        <v>5246</v>
      </c>
      <c r="F226" s="2" t="n">
        <v>11</v>
      </c>
      <c r="G226" s="4" t="s">
        <v>375</v>
      </c>
    </row>
    <row r="227" customFormat="false" ht="15" hidden="false" customHeight="false" outlineLevel="0" collapsed="false">
      <c r="A227" s="2" t="n">
        <v>226</v>
      </c>
      <c r="B227" s="2" t="n">
        <v>24</v>
      </c>
      <c r="C227" s="3" t="str">
        <f aca="false">INDEX('부작 목록'!$C$2:$C$66,B227)</f>
        <v>에스페란사 글로벌 기부금 횡령</v>
      </c>
      <c r="D227" s="3" t="s">
        <v>16</v>
      </c>
      <c r="E227" s="2" t="n">
        <v>5260</v>
      </c>
      <c r="F227" s="2" t="n">
        <v>10</v>
      </c>
      <c r="G227" s="4" t="s">
        <v>376</v>
      </c>
    </row>
    <row r="228" customFormat="false" ht="15" hidden="false" customHeight="false" outlineLevel="0" collapsed="false">
      <c r="A228" s="2" t="n">
        <v>227</v>
      </c>
      <c r="B228" s="2" t="n">
        <v>24</v>
      </c>
      <c r="C228" s="3" t="str">
        <f aca="false">INDEX('부작 목록'!$C$2:$C$66,B228)</f>
        <v>에스페란사 글로벌 기부금 횡령</v>
      </c>
      <c r="D228" s="3" t="s">
        <v>16</v>
      </c>
      <c r="E228" s="2" t="n">
        <v>5272</v>
      </c>
      <c r="F228" s="2" t="n">
        <v>12</v>
      </c>
      <c r="G228" s="4" t="s">
        <v>339</v>
      </c>
    </row>
    <row r="229" customFormat="false" ht="28.35" hidden="false" customHeight="false" outlineLevel="0" collapsed="false">
      <c r="A229" s="2" t="n">
        <v>228</v>
      </c>
      <c r="B229" s="2" t="n">
        <v>25</v>
      </c>
      <c r="C229" s="3" t="str">
        <f aca="false">INDEX('부작 목록'!$C$2:$C$66,B229)</f>
        <v>원전 설계도 유출(페냐 알타)</v>
      </c>
      <c r="D229" s="3" t="s">
        <v>16</v>
      </c>
      <c r="E229" s="2" t="n">
        <v>5287</v>
      </c>
      <c r="F229" s="2" t="n">
        <v>15</v>
      </c>
      <c r="G229" s="4" t="s">
        <v>377</v>
      </c>
    </row>
    <row r="230" customFormat="false" ht="28.35" hidden="false" customHeight="false" outlineLevel="0" collapsed="false">
      <c r="A230" s="2" t="n">
        <v>229</v>
      </c>
      <c r="B230" s="2" t="n">
        <v>25</v>
      </c>
      <c r="C230" s="3" t="str">
        <f aca="false">INDEX('부작 목록'!$C$2:$C$66,B230)</f>
        <v>원전 설계도 유출(페냐 알타)</v>
      </c>
      <c r="D230" s="3" t="s">
        <v>16</v>
      </c>
      <c r="E230" s="2" t="n">
        <v>5305</v>
      </c>
      <c r="F230" s="2" t="n">
        <v>15</v>
      </c>
      <c r="G230" s="4" t="s">
        <v>378</v>
      </c>
    </row>
    <row r="231" customFormat="false" ht="28.35" hidden="false" customHeight="false" outlineLevel="0" collapsed="false">
      <c r="A231" s="2" t="n">
        <v>230</v>
      </c>
      <c r="B231" s="2" t="n">
        <v>25</v>
      </c>
      <c r="C231" s="3" t="str">
        <f aca="false">INDEX('부작 목록'!$C$2:$C$66,B231)</f>
        <v>원전 설계도 유출(페냐 알타)</v>
      </c>
      <c r="D231" s="3" t="s">
        <v>16</v>
      </c>
      <c r="E231" s="2" t="n">
        <v>5323</v>
      </c>
      <c r="F231" s="2" t="n">
        <v>12</v>
      </c>
      <c r="G231" s="4" t="s">
        <v>379</v>
      </c>
    </row>
    <row r="232" customFormat="false" ht="15" hidden="false" customHeight="false" outlineLevel="0" collapsed="false">
      <c r="A232" s="2" t="n">
        <v>231</v>
      </c>
      <c r="B232" s="2" t="n">
        <v>25</v>
      </c>
      <c r="C232" s="3" t="str">
        <f aca="false">INDEX('부작 목록'!$C$2:$C$66,B232)</f>
        <v>원전 설계도 유출(페냐 알타)</v>
      </c>
      <c r="D232" s="3" t="s">
        <v>16</v>
      </c>
      <c r="E232" s="2" t="n">
        <v>5337</v>
      </c>
      <c r="F232" s="2" t="n">
        <v>12</v>
      </c>
      <c r="G232" s="4" t="s">
        <v>380</v>
      </c>
    </row>
    <row r="233" customFormat="false" ht="15" hidden="false" customHeight="false" outlineLevel="0" collapsed="false">
      <c r="A233" s="2" t="n">
        <v>232</v>
      </c>
      <c r="B233" s="2" t="n">
        <v>25</v>
      </c>
      <c r="C233" s="3" t="str">
        <f aca="false">INDEX('부작 목록'!$C$2:$C$66,B233)</f>
        <v>원전 설계도 유출(페냐 알타)</v>
      </c>
      <c r="D233" s="3" t="s">
        <v>16</v>
      </c>
      <c r="E233" s="2" t="n">
        <v>5352</v>
      </c>
      <c r="F233" s="2" t="n">
        <v>13</v>
      </c>
      <c r="G233" s="4" t="s">
        <v>381</v>
      </c>
    </row>
    <row r="234" customFormat="false" ht="15" hidden="false" customHeight="false" outlineLevel="0" collapsed="false">
      <c r="A234" s="2" t="n">
        <v>233</v>
      </c>
      <c r="B234" s="2" t="n">
        <v>25</v>
      </c>
      <c r="C234" s="3" t="str">
        <f aca="false">INDEX('부작 목록'!$C$2:$C$66,B234)</f>
        <v>원전 설계도 유출(페냐 알타)</v>
      </c>
      <c r="D234" s="3" t="s">
        <v>16</v>
      </c>
      <c r="E234" s="2" t="n">
        <v>5368</v>
      </c>
      <c r="F234" s="2" t="n">
        <v>12</v>
      </c>
      <c r="G234" s="4" t="s">
        <v>382</v>
      </c>
    </row>
    <row r="235" customFormat="false" ht="15" hidden="false" customHeight="false" outlineLevel="0" collapsed="false">
      <c r="A235" s="2" t="n">
        <v>234</v>
      </c>
      <c r="B235" s="2" t="n">
        <v>25</v>
      </c>
      <c r="C235" s="3" t="str">
        <f aca="false">INDEX('부작 목록'!$C$2:$C$66,B235)</f>
        <v>원전 설계도 유출(페냐 알타)</v>
      </c>
      <c r="D235" s="3" t="s">
        <v>16</v>
      </c>
      <c r="E235" s="2" t="n">
        <v>5382</v>
      </c>
      <c r="F235" s="2" t="n">
        <v>12</v>
      </c>
      <c r="G235" s="4" t="s">
        <v>383</v>
      </c>
    </row>
    <row r="236" customFormat="false" ht="15" hidden="false" customHeight="false" outlineLevel="0" collapsed="false">
      <c r="A236" s="2" t="n">
        <v>235</v>
      </c>
      <c r="B236" s="2" t="n">
        <v>25</v>
      </c>
      <c r="C236" s="3" t="str">
        <f aca="false">INDEX('부작 목록'!$C$2:$C$66,B236)</f>
        <v>원전 설계도 유출(페냐 알타)</v>
      </c>
      <c r="D236" s="3" t="s">
        <v>16</v>
      </c>
      <c r="E236" s="2" t="n">
        <v>5396</v>
      </c>
      <c r="F236" s="2" t="n">
        <v>9</v>
      </c>
      <c r="G236" s="4" t="s">
        <v>384</v>
      </c>
    </row>
    <row r="237" customFormat="false" ht="15" hidden="false" customHeight="false" outlineLevel="0" collapsed="false">
      <c r="A237" s="2" t="n">
        <v>236</v>
      </c>
      <c r="B237" s="2" t="n">
        <v>25</v>
      </c>
      <c r="C237" s="3" t="str">
        <f aca="false">INDEX('부작 목록'!$C$2:$C$66,B237)</f>
        <v>원전 설계도 유출(페냐 알타)</v>
      </c>
      <c r="D237" s="3" t="s">
        <v>16</v>
      </c>
      <c r="E237" s="2" t="n">
        <v>5408</v>
      </c>
      <c r="F237" s="2" t="n">
        <v>12</v>
      </c>
      <c r="G237" s="4" t="s">
        <v>385</v>
      </c>
    </row>
    <row r="238" customFormat="false" ht="15" hidden="false" customHeight="false" outlineLevel="0" collapsed="false">
      <c r="A238" s="2" t="n">
        <v>237</v>
      </c>
      <c r="B238" s="2" t="n">
        <v>25</v>
      </c>
      <c r="C238" s="3" t="str">
        <f aca="false">INDEX('부작 목록'!$C$2:$C$66,B238)</f>
        <v>원전 설계도 유출(페냐 알타)</v>
      </c>
      <c r="D238" s="3" t="s">
        <v>16</v>
      </c>
      <c r="E238" s="2" t="n">
        <v>5422</v>
      </c>
      <c r="F238" s="2" t="n">
        <v>12</v>
      </c>
      <c r="G238" s="4" t="s">
        <v>386</v>
      </c>
    </row>
    <row r="239" customFormat="false" ht="15" hidden="false" customHeight="false" outlineLevel="0" collapsed="false">
      <c r="A239" s="2" t="n">
        <v>238</v>
      </c>
      <c r="B239" s="2" t="n">
        <v>25</v>
      </c>
      <c r="C239" s="3" t="str">
        <f aca="false">INDEX('부작 목록'!$C$2:$C$66,B239)</f>
        <v>원전 설계도 유출(페냐 알타)</v>
      </c>
      <c r="D239" s="3" t="s">
        <v>16</v>
      </c>
      <c r="E239" s="2" t="n">
        <v>5436</v>
      </c>
      <c r="F239" s="2" t="n">
        <v>13</v>
      </c>
      <c r="G239" s="4" t="s">
        <v>387</v>
      </c>
    </row>
    <row r="240" customFormat="false" ht="15" hidden="false" customHeight="false" outlineLevel="0" collapsed="false">
      <c r="A240" s="2" t="n">
        <v>239</v>
      </c>
      <c r="B240" s="2" t="n">
        <v>25</v>
      </c>
      <c r="C240" s="3" t="str">
        <f aca="false">INDEX('부작 목록'!$C$2:$C$66,B240)</f>
        <v>원전 설계도 유출(페냐 알타)</v>
      </c>
      <c r="D240" s="3" t="s">
        <v>16</v>
      </c>
      <c r="E240" s="2" t="n">
        <v>5452</v>
      </c>
      <c r="F240" s="2" t="n">
        <v>10</v>
      </c>
      <c r="G240" s="4" t="s">
        <v>388</v>
      </c>
    </row>
    <row r="241" customFormat="false" ht="15" hidden="false" customHeight="false" outlineLevel="0" collapsed="false">
      <c r="A241" s="2" t="n">
        <v>240</v>
      </c>
      <c r="B241" s="2" t="n">
        <v>25</v>
      </c>
      <c r="C241" s="3" t="str">
        <f aca="false">INDEX('부작 목록'!$C$2:$C$66,B241)</f>
        <v>원전 설계도 유출(페냐 알타)</v>
      </c>
      <c r="D241" s="3" t="s">
        <v>16</v>
      </c>
      <c r="E241" s="2" t="n">
        <v>5464</v>
      </c>
      <c r="F241" s="2" t="n">
        <v>12</v>
      </c>
      <c r="G241" s="4" t="s">
        <v>389</v>
      </c>
    </row>
    <row r="242" customFormat="false" ht="15" hidden="false" customHeight="false" outlineLevel="0" collapsed="false">
      <c r="A242" s="2" t="n">
        <v>241</v>
      </c>
      <c r="B242" s="2" t="n">
        <v>25</v>
      </c>
      <c r="C242" s="3" t="str">
        <f aca="false">INDEX('부작 목록'!$C$2:$C$66,B242)</f>
        <v>원전 설계도 유출(페냐 알타)</v>
      </c>
      <c r="D242" s="3" t="s">
        <v>16</v>
      </c>
      <c r="E242" s="2" t="n">
        <v>5478</v>
      </c>
      <c r="F242" s="2" t="n">
        <v>9</v>
      </c>
      <c r="G242" s="4" t="s">
        <v>390</v>
      </c>
    </row>
    <row r="243" customFormat="false" ht="15" hidden="false" customHeight="false" outlineLevel="0" collapsed="false">
      <c r="A243" s="2" t="n">
        <v>242</v>
      </c>
      <c r="B243" s="2" t="n">
        <v>25</v>
      </c>
      <c r="C243" s="3" t="str">
        <f aca="false">INDEX('부작 목록'!$C$2:$C$66,B243)</f>
        <v>원전 설계도 유출(페냐 알타)</v>
      </c>
      <c r="D243" s="3" t="s">
        <v>16</v>
      </c>
      <c r="E243" s="2" t="n">
        <v>5490</v>
      </c>
      <c r="F243" s="2" t="n">
        <v>12</v>
      </c>
      <c r="G243" s="4" t="s">
        <v>391</v>
      </c>
    </row>
    <row r="244" customFormat="false" ht="15" hidden="false" customHeight="false" outlineLevel="0" collapsed="false">
      <c r="A244" s="2" t="n">
        <v>243</v>
      </c>
      <c r="B244" s="2" t="n">
        <v>25</v>
      </c>
      <c r="C244" s="3" t="str">
        <f aca="false">INDEX('부작 목록'!$C$2:$C$66,B244)</f>
        <v>원전 설계도 유출(페냐 알타)</v>
      </c>
      <c r="D244" s="3" t="s">
        <v>16</v>
      </c>
      <c r="E244" s="2" t="n">
        <v>5504</v>
      </c>
      <c r="F244" s="2" t="n">
        <v>10</v>
      </c>
      <c r="G244" s="4" t="s">
        <v>392</v>
      </c>
    </row>
    <row r="245" customFormat="false" ht="28.35" hidden="false" customHeight="false" outlineLevel="0" collapsed="false">
      <c r="A245" s="2" t="n">
        <v>244</v>
      </c>
      <c r="B245" s="2" t="n">
        <v>26</v>
      </c>
      <c r="C245" s="3" t="str">
        <f aca="false">INDEX('부작 목록'!$C$2:$C$66,B245)</f>
        <v>몬테알토 와이너리 원산지 위조</v>
      </c>
      <c r="D245" s="3" t="s">
        <v>16</v>
      </c>
      <c r="E245" s="2" t="n">
        <v>5517</v>
      </c>
      <c r="F245" s="2" t="n">
        <v>13</v>
      </c>
      <c r="G245" s="4" t="s">
        <v>393</v>
      </c>
    </row>
    <row r="246" customFormat="false" ht="15" hidden="false" customHeight="false" outlineLevel="0" collapsed="false">
      <c r="A246" s="2" t="n">
        <v>245</v>
      </c>
      <c r="B246" s="2" t="n">
        <v>26</v>
      </c>
      <c r="C246" s="3" t="str">
        <f aca="false">INDEX('부작 목록'!$C$2:$C$66,B246)</f>
        <v>몬테알토 와이너리 원산지 위조</v>
      </c>
      <c r="D246" s="3" t="s">
        <v>16</v>
      </c>
      <c r="E246" s="2" t="n">
        <v>5533</v>
      </c>
      <c r="F246" s="2" t="n">
        <v>10</v>
      </c>
      <c r="G246" s="4" t="s">
        <v>394</v>
      </c>
    </row>
    <row r="247" customFormat="false" ht="15" hidden="false" customHeight="false" outlineLevel="0" collapsed="false">
      <c r="A247" s="2" t="n">
        <v>246</v>
      </c>
      <c r="B247" s="2" t="n">
        <v>26</v>
      </c>
      <c r="C247" s="3" t="str">
        <f aca="false">INDEX('부작 목록'!$C$2:$C$66,B247)</f>
        <v>몬테알토 와이너리 원산지 위조</v>
      </c>
      <c r="D247" s="3" t="s">
        <v>16</v>
      </c>
      <c r="E247" s="2" t="n">
        <v>5545</v>
      </c>
      <c r="F247" s="2" t="n">
        <v>11</v>
      </c>
      <c r="G247" s="4" t="s">
        <v>395</v>
      </c>
    </row>
    <row r="248" customFormat="false" ht="15" hidden="false" customHeight="false" outlineLevel="0" collapsed="false">
      <c r="A248" s="2" t="n">
        <v>247</v>
      </c>
      <c r="B248" s="2" t="n">
        <v>26</v>
      </c>
      <c r="C248" s="3" t="str">
        <f aca="false">INDEX('부작 목록'!$C$2:$C$66,B248)</f>
        <v>몬테알토 와이너리 원산지 위조</v>
      </c>
      <c r="D248" s="3" t="s">
        <v>16</v>
      </c>
      <c r="E248" s="2" t="n">
        <v>5559</v>
      </c>
      <c r="F248" s="2" t="n">
        <v>12</v>
      </c>
      <c r="G248" s="4" t="s">
        <v>396</v>
      </c>
    </row>
    <row r="249" customFormat="false" ht="15" hidden="false" customHeight="false" outlineLevel="0" collapsed="false">
      <c r="A249" s="2" t="n">
        <v>248</v>
      </c>
      <c r="B249" s="2" t="n">
        <v>26</v>
      </c>
      <c r="C249" s="3" t="str">
        <f aca="false">INDEX('부작 목록'!$C$2:$C$66,B249)</f>
        <v>몬테알토 와이너리 원산지 위조</v>
      </c>
      <c r="D249" s="3" t="s">
        <v>16</v>
      </c>
      <c r="E249" s="2" t="n">
        <v>5574</v>
      </c>
      <c r="F249" s="2" t="n">
        <v>10</v>
      </c>
      <c r="G249" s="4" t="s">
        <v>397</v>
      </c>
    </row>
    <row r="250" customFormat="false" ht="28.35" hidden="false" customHeight="false" outlineLevel="0" collapsed="false">
      <c r="A250" s="2" t="n">
        <v>249</v>
      </c>
      <c r="B250" s="2" t="n">
        <v>26</v>
      </c>
      <c r="C250" s="3" t="str">
        <f aca="false">INDEX('부작 목록'!$C$2:$C$66,B250)</f>
        <v>몬테알토 와이너리 원산지 위조</v>
      </c>
      <c r="D250" s="3" t="s">
        <v>16</v>
      </c>
      <c r="E250" s="2" t="n">
        <v>5586</v>
      </c>
      <c r="F250" s="2" t="n">
        <v>17</v>
      </c>
      <c r="G250" s="4" t="s">
        <v>398</v>
      </c>
    </row>
    <row r="251" customFormat="false" ht="28.35" hidden="false" customHeight="false" outlineLevel="0" collapsed="false">
      <c r="A251" s="2" t="n">
        <v>250</v>
      </c>
      <c r="B251" s="2" t="n">
        <v>27</v>
      </c>
      <c r="C251" s="3" t="str">
        <f aca="false">INDEX('부작 목록'!$C$2:$C$66,B251)</f>
        <v>역외 페이퍼컴퍼니 탈세 네트워크</v>
      </c>
      <c r="D251" s="3" t="s">
        <v>16</v>
      </c>
      <c r="E251" s="2" t="n">
        <v>5606</v>
      </c>
      <c r="F251" s="2" t="n">
        <v>14</v>
      </c>
      <c r="G251" s="4" t="s">
        <v>399</v>
      </c>
    </row>
    <row r="252" customFormat="false" ht="15" hidden="false" customHeight="false" outlineLevel="0" collapsed="false">
      <c r="A252" s="2" t="n">
        <v>251</v>
      </c>
      <c r="B252" s="2" t="n">
        <v>27</v>
      </c>
      <c r="C252" s="3" t="str">
        <f aca="false">INDEX('부작 목록'!$C$2:$C$66,B252)</f>
        <v>역외 페이퍼컴퍼니 탈세 네트워크</v>
      </c>
      <c r="D252" s="3" t="s">
        <v>16</v>
      </c>
      <c r="E252" s="2" t="n">
        <v>5623</v>
      </c>
      <c r="F252" s="2" t="n">
        <v>14</v>
      </c>
      <c r="G252" s="4" t="s">
        <v>400</v>
      </c>
    </row>
    <row r="253" customFormat="false" ht="15" hidden="false" customHeight="false" outlineLevel="0" collapsed="false">
      <c r="A253" s="2" t="n">
        <v>252</v>
      </c>
      <c r="B253" s="2" t="n">
        <v>27</v>
      </c>
      <c r="C253" s="3" t="str">
        <f aca="false">INDEX('부작 목록'!$C$2:$C$66,B253)</f>
        <v>역외 페이퍼컴퍼니 탈세 네트워크</v>
      </c>
      <c r="D253" s="3" t="s">
        <v>16</v>
      </c>
      <c r="E253" s="2" t="n">
        <v>5640</v>
      </c>
      <c r="F253" s="2" t="n">
        <v>14</v>
      </c>
      <c r="G253" s="4" t="s">
        <v>401</v>
      </c>
    </row>
    <row r="254" customFormat="false" ht="15" hidden="false" customHeight="false" outlineLevel="0" collapsed="false">
      <c r="A254" s="2" t="n">
        <v>253</v>
      </c>
      <c r="B254" s="2" t="n">
        <v>27</v>
      </c>
      <c r="C254" s="3" t="str">
        <f aca="false">INDEX('부작 목록'!$C$2:$C$66,B254)</f>
        <v>역외 페이퍼컴퍼니 탈세 네트워크</v>
      </c>
      <c r="D254" s="3" t="s">
        <v>16</v>
      </c>
      <c r="E254" s="2" t="n">
        <v>5657</v>
      </c>
      <c r="F254" s="2" t="n">
        <v>10</v>
      </c>
      <c r="G254" s="4" t="s">
        <v>402</v>
      </c>
    </row>
    <row r="255" customFormat="false" ht="15" hidden="false" customHeight="false" outlineLevel="0" collapsed="false">
      <c r="A255" s="2" t="n">
        <v>254</v>
      </c>
      <c r="B255" s="2" t="n">
        <v>27</v>
      </c>
      <c r="C255" s="3" t="str">
        <f aca="false">INDEX('부작 목록'!$C$2:$C$66,B255)</f>
        <v>역외 페이퍼컴퍼니 탈세 네트워크</v>
      </c>
      <c r="D255" s="3" t="s">
        <v>16</v>
      </c>
      <c r="E255" s="2" t="n">
        <v>5669</v>
      </c>
      <c r="F255" s="2" t="n">
        <v>15</v>
      </c>
      <c r="G255" s="4" t="s">
        <v>403</v>
      </c>
    </row>
    <row r="256" customFormat="false" ht="15" hidden="false" customHeight="false" outlineLevel="0" collapsed="false">
      <c r="A256" s="2" t="n">
        <v>255</v>
      </c>
      <c r="B256" s="2" t="n">
        <v>27</v>
      </c>
      <c r="C256" s="3" t="str">
        <f aca="false">INDEX('부작 목록'!$C$2:$C$66,B256)</f>
        <v>역외 페이퍼컴퍼니 탈세 네트워크</v>
      </c>
      <c r="D256" s="3" t="s">
        <v>16</v>
      </c>
      <c r="E256" s="2" t="n">
        <v>5687</v>
      </c>
      <c r="F256" s="2" t="n">
        <v>10</v>
      </c>
      <c r="G256" s="4" t="s">
        <v>404</v>
      </c>
    </row>
    <row r="257" customFormat="false" ht="15" hidden="false" customHeight="false" outlineLevel="0" collapsed="false">
      <c r="A257" s="2" t="n">
        <v>256</v>
      </c>
      <c r="B257" s="2" t="n">
        <v>27</v>
      </c>
      <c r="C257" s="3" t="str">
        <f aca="false">INDEX('부작 목록'!$C$2:$C$66,B257)</f>
        <v>역외 페이퍼컴퍼니 탈세 네트워크</v>
      </c>
      <c r="D257" s="3" t="s">
        <v>16</v>
      </c>
      <c r="E257" s="2" t="n">
        <v>5700</v>
      </c>
      <c r="F257" s="2" t="n">
        <v>13</v>
      </c>
      <c r="G257" s="4" t="s">
        <v>405</v>
      </c>
    </row>
    <row r="258" customFormat="false" ht="15" hidden="false" customHeight="false" outlineLevel="0" collapsed="false">
      <c r="A258" s="2" t="n">
        <v>257</v>
      </c>
      <c r="B258" s="2" t="n">
        <v>27</v>
      </c>
      <c r="C258" s="3" t="str">
        <f aca="false">INDEX('부작 목록'!$C$2:$C$66,B258)</f>
        <v>역외 페이퍼컴퍼니 탈세 네트워크</v>
      </c>
      <c r="D258" s="3" t="s">
        <v>16</v>
      </c>
      <c r="E258" s="2" t="n">
        <v>5715</v>
      </c>
      <c r="F258" s="2" t="n">
        <v>11</v>
      </c>
      <c r="G258" s="4" t="s">
        <v>406</v>
      </c>
    </row>
    <row r="259" customFormat="false" ht="15" hidden="false" customHeight="false" outlineLevel="0" collapsed="false">
      <c r="A259" s="2" t="n">
        <v>258</v>
      </c>
      <c r="B259" s="2" t="n">
        <v>27</v>
      </c>
      <c r="C259" s="3" t="str">
        <f aca="false">INDEX('부작 목록'!$C$2:$C$66,B259)</f>
        <v>역외 페이퍼컴퍼니 탈세 네트워크</v>
      </c>
      <c r="D259" s="3" t="s">
        <v>16</v>
      </c>
      <c r="E259" s="2" t="n">
        <v>5729</v>
      </c>
      <c r="F259" s="2" t="n">
        <v>12</v>
      </c>
      <c r="G259" s="4" t="s">
        <v>407</v>
      </c>
    </row>
    <row r="260" customFormat="false" ht="15" hidden="false" customHeight="false" outlineLevel="0" collapsed="false">
      <c r="A260" s="2" t="n">
        <v>259</v>
      </c>
      <c r="B260" s="2" t="n">
        <v>27</v>
      </c>
      <c r="C260" s="3" t="str">
        <f aca="false">INDEX('부작 목록'!$C$2:$C$66,B260)</f>
        <v>역외 페이퍼컴퍼니 탈세 네트워크</v>
      </c>
      <c r="D260" s="3" t="s">
        <v>16</v>
      </c>
      <c r="E260" s="2" t="n">
        <v>5744</v>
      </c>
      <c r="F260" s="2" t="n">
        <v>10</v>
      </c>
      <c r="G260" s="4" t="s">
        <v>408</v>
      </c>
    </row>
    <row r="261" customFormat="false" ht="15" hidden="false" customHeight="false" outlineLevel="0" collapsed="false">
      <c r="A261" s="2" t="n">
        <v>260</v>
      </c>
      <c r="B261" s="2" t="n">
        <v>27</v>
      </c>
      <c r="C261" s="3" t="str">
        <f aca="false">INDEX('부작 목록'!$C$2:$C$66,B261)</f>
        <v>역외 페이퍼컴퍼니 탈세 네트워크</v>
      </c>
      <c r="D261" s="3" t="s">
        <v>16</v>
      </c>
      <c r="E261" s="2" t="n">
        <v>5756</v>
      </c>
      <c r="F261" s="2" t="n">
        <v>12</v>
      </c>
      <c r="G261" s="4" t="s">
        <v>409</v>
      </c>
    </row>
    <row r="262" customFormat="false" ht="15" hidden="false" customHeight="false" outlineLevel="0" collapsed="false">
      <c r="A262" s="2" t="n">
        <v>261</v>
      </c>
      <c r="B262" s="2" t="n">
        <v>27</v>
      </c>
      <c r="C262" s="3" t="str">
        <f aca="false">INDEX('부작 목록'!$C$2:$C$66,B262)</f>
        <v>역외 페이퍼컴퍼니 탈세 네트워크</v>
      </c>
      <c r="D262" s="3" t="s">
        <v>16</v>
      </c>
      <c r="E262" s="2" t="n">
        <v>5771</v>
      </c>
      <c r="F262" s="2" t="n">
        <v>12</v>
      </c>
      <c r="G262" s="4" t="s">
        <v>339</v>
      </c>
    </row>
    <row r="263" customFormat="false" ht="15" hidden="false" customHeight="false" outlineLevel="0" collapsed="false">
      <c r="A263" s="2" t="n">
        <v>262</v>
      </c>
      <c r="B263" s="2" t="n">
        <v>27</v>
      </c>
      <c r="C263" s="3" t="str">
        <f aca="false">INDEX('부작 목록'!$C$2:$C$66,B263)</f>
        <v>역외 페이퍼컴퍼니 탈세 네트워크</v>
      </c>
      <c r="D263" s="3" t="s">
        <v>16</v>
      </c>
      <c r="E263" s="2" t="n">
        <v>5786</v>
      </c>
      <c r="F263" s="2" t="n">
        <v>11</v>
      </c>
      <c r="G263" s="4" t="s">
        <v>410</v>
      </c>
    </row>
    <row r="264" customFormat="false" ht="15" hidden="false" customHeight="false" outlineLevel="0" collapsed="false">
      <c r="A264" s="2" t="n">
        <v>263</v>
      </c>
      <c r="B264" s="2" t="n">
        <v>27</v>
      </c>
      <c r="C264" s="3" t="str">
        <f aca="false">INDEX('부작 목록'!$C$2:$C$66,B264)</f>
        <v>역외 페이퍼컴퍼니 탈세 네트워크</v>
      </c>
      <c r="D264" s="3" t="s">
        <v>16</v>
      </c>
      <c r="E264" s="2" t="n">
        <v>5799</v>
      </c>
      <c r="F264" s="2" t="n">
        <v>10</v>
      </c>
      <c r="G264" s="4" t="s">
        <v>411</v>
      </c>
    </row>
    <row r="265" customFormat="false" ht="15" hidden="false" customHeight="false" outlineLevel="0" collapsed="false">
      <c r="A265" s="2" t="n">
        <v>264</v>
      </c>
      <c r="B265" s="2" t="n">
        <v>27</v>
      </c>
      <c r="C265" s="3" t="str">
        <f aca="false">INDEX('부작 목록'!$C$2:$C$66,B265)</f>
        <v>역외 페이퍼컴퍼니 탈세 네트워크</v>
      </c>
      <c r="D265" s="3" t="s">
        <v>16</v>
      </c>
      <c r="E265" s="2" t="n">
        <v>5812</v>
      </c>
      <c r="F265" s="2" t="n">
        <v>10</v>
      </c>
      <c r="G265" s="4" t="s">
        <v>412</v>
      </c>
    </row>
    <row r="266" customFormat="false" ht="28.35" hidden="false" customHeight="false" outlineLevel="0" collapsed="false">
      <c r="A266" s="2" t="n">
        <v>265</v>
      </c>
      <c r="B266" s="2" t="n">
        <v>28</v>
      </c>
      <c r="C266" s="3" t="str">
        <f aca="false">INDEX('부작 목록'!$C$2:$C$66,B266)</f>
        <v>이바라 전 장관 협박과 후속 보도</v>
      </c>
      <c r="D266" s="3" t="s">
        <v>16</v>
      </c>
      <c r="E266" s="2" t="n">
        <v>5824</v>
      </c>
      <c r="F266" s="2" t="n">
        <v>12</v>
      </c>
      <c r="G266" s="4" t="s">
        <v>413</v>
      </c>
    </row>
    <row r="267" customFormat="false" ht="15" hidden="false" customHeight="false" outlineLevel="0" collapsed="false">
      <c r="A267" s="2" t="n">
        <v>266</v>
      </c>
      <c r="B267" s="2" t="n">
        <v>28</v>
      </c>
      <c r="C267" s="3" t="str">
        <f aca="false">INDEX('부작 목록'!$C$2:$C$66,B267)</f>
        <v>이바라 전 장관 협박과 후속 보도</v>
      </c>
      <c r="D267" s="3" t="s">
        <v>16</v>
      </c>
      <c r="E267" s="2" t="n">
        <v>5839</v>
      </c>
      <c r="F267" s="2" t="n">
        <v>13</v>
      </c>
      <c r="G267" s="4" t="s">
        <v>414</v>
      </c>
    </row>
    <row r="268" customFormat="false" ht="15" hidden="false" customHeight="false" outlineLevel="0" collapsed="false">
      <c r="A268" s="2" t="n">
        <v>267</v>
      </c>
      <c r="B268" s="2" t="n">
        <v>28</v>
      </c>
      <c r="C268" s="3" t="str">
        <f aca="false">INDEX('부작 목록'!$C$2:$C$66,B268)</f>
        <v>이바라 전 장관 협박과 후속 보도</v>
      </c>
      <c r="D268" s="3" t="s">
        <v>16</v>
      </c>
      <c r="E268" s="2" t="n">
        <v>5855</v>
      </c>
      <c r="F268" s="2" t="n">
        <v>10</v>
      </c>
      <c r="G268" s="4" t="s">
        <v>415</v>
      </c>
    </row>
    <row r="269" customFormat="false" ht="15" hidden="false" customHeight="false" outlineLevel="0" collapsed="false">
      <c r="A269" s="2" t="n">
        <v>268</v>
      </c>
      <c r="B269" s="2" t="n">
        <v>28</v>
      </c>
      <c r="C269" s="3" t="str">
        <f aca="false">INDEX('부작 목록'!$C$2:$C$66,B269)</f>
        <v>이바라 전 장관 협박과 후속 보도</v>
      </c>
      <c r="D269" s="3" t="s">
        <v>16</v>
      </c>
      <c r="E269" s="2" t="n">
        <v>5867</v>
      </c>
      <c r="F269" s="2" t="n">
        <v>12</v>
      </c>
      <c r="G269" s="4" t="s">
        <v>416</v>
      </c>
    </row>
    <row r="270" customFormat="false" ht="15" hidden="false" customHeight="false" outlineLevel="0" collapsed="false">
      <c r="A270" s="2" t="n">
        <v>269</v>
      </c>
      <c r="B270" s="2" t="n">
        <v>28</v>
      </c>
      <c r="C270" s="3" t="str">
        <f aca="false">INDEX('부작 목록'!$C$2:$C$66,B270)</f>
        <v>이바라 전 장관 협박과 후속 보도</v>
      </c>
      <c r="D270" s="3" t="s">
        <v>16</v>
      </c>
      <c r="E270" s="2" t="n">
        <v>5882</v>
      </c>
      <c r="F270" s="2" t="n">
        <v>10</v>
      </c>
      <c r="G270" s="4" t="s">
        <v>417</v>
      </c>
    </row>
    <row r="271" customFormat="false" ht="15" hidden="false" customHeight="false" outlineLevel="0" collapsed="false">
      <c r="A271" s="2" t="n">
        <v>270</v>
      </c>
      <c r="B271" s="2" t="n">
        <v>28</v>
      </c>
      <c r="C271" s="3" t="str">
        <f aca="false">INDEX('부작 목록'!$C$2:$C$66,B271)</f>
        <v>이바라 전 장관 협박과 후속 보도</v>
      </c>
      <c r="D271" s="3" t="s">
        <v>16</v>
      </c>
      <c r="E271" s="2" t="n">
        <v>5894</v>
      </c>
      <c r="F271" s="2" t="n">
        <v>11</v>
      </c>
      <c r="G271" s="4" t="s">
        <v>418</v>
      </c>
    </row>
    <row r="272" customFormat="false" ht="15" hidden="false" customHeight="false" outlineLevel="0" collapsed="false">
      <c r="A272" s="2" t="n">
        <v>271</v>
      </c>
      <c r="B272" s="2" t="n">
        <v>28</v>
      </c>
      <c r="C272" s="3" t="str">
        <f aca="false">INDEX('부작 목록'!$C$2:$C$66,B272)</f>
        <v>이바라 전 장관 협박과 후속 보도</v>
      </c>
      <c r="D272" s="3" t="s">
        <v>16</v>
      </c>
      <c r="E272" s="2" t="n">
        <v>5907</v>
      </c>
      <c r="F272" s="2" t="n">
        <v>13</v>
      </c>
      <c r="G272" s="4" t="s">
        <v>419</v>
      </c>
    </row>
    <row r="273" customFormat="false" ht="15" hidden="false" customHeight="false" outlineLevel="0" collapsed="false">
      <c r="A273" s="2" t="n">
        <v>272</v>
      </c>
      <c r="B273" s="2" t="n">
        <v>28</v>
      </c>
      <c r="C273" s="3" t="str">
        <f aca="false">INDEX('부작 목록'!$C$2:$C$66,B273)</f>
        <v>이바라 전 장관 협박과 후속 보도</v>
      </c>
      <c r="D273" s="3" t="s">
        <v>16</v>
      </c>
      <c r="E273" s="2" t="n">
        <v>5923</v>
      </c>
      <c r="F273" s="2" t="n">
        <v>9</v>
      </c>
      <c r="G273" s="4" t="s">
        <v>420</v>
      </c>
    </row>
    <row r="274" customFormat="false" ht="15" hidden="false" customHeight="false" outlineLevel="0" collapsed="false">
      <c r="A274" s="2" t="n">
        <v>273</v>
      </c>
      <c r="B274" s="2" t="n">
        <v>28</v>
      </c>
      <c r="C274" s="3" t="str">
        <f aca="false">INDEX('부작 목록'!$C$2:$C$66,B274)</f>
        <v>이바라 전 장관 협박과 후속 보도</v>
      </c>
      <c r="D274" s="3" t="s">
        <v>16</v>
      </c>
      <c r="E274" s="2" t="n">
        <v>5934</v>
      </c>
      <c r="F274" s="2" t="n">
        <v>13</v>
      </c>
      <c r="G274" s="4" t="s">
        <v>421</v>
      </c>
    </row>
    <row r="275" customFormat="false" ht="15" hidden="false" customHeight="false" outlineLevel="0" collapsed="false">
      <c r="A275" s="2" t="n">
        <v>274</v>
      </c>
      <c r="B275" s="2" t="n">
        <v>28</v>
      </c>
      <c r="C275" s="3" t="str">
        <f aca="false">INDEX('부작 목록'!$C$2:$C$66,B275)</f>
        <v>이바라 전 장관 협박과 후속 보도</v>
      </c>
      <c r="D275" s="3" t="s">
        <v>16</v>
      </c>
      <c r="E275" s="2" t="n">
        <v>5950</v>
      </c>
      <c r="F275" s="2" t="n">
        <v>11</v>
      </c>
      <c r="G275" s="4" t="s">
        <v>422</v>
      </c>
    </row>
    <row r="276" customFormat="false" ht="15" hidden="false" customHeight="false" outlineLevel="0" collapsed="false">
      <c r="A276" s="2" t="n">
        <v>275</v>
      </c>
      <c r="B276" s="2" t="n">
        <v>28</v>
      </c>
      <c r="C276" s="3" t="str">
        <f aca="false">INDEX('부작 목록'!$C$2:$C$66,B276)</f>
        <v>이바라 전 장관 협박과 후속 보도</v>
      </c>
      <c r="D276" s="3" t="s">
        <v>16</v>
      </c>
      <c r="E276" s="2" t="n">
        <v>5964</v>
      </c>
      <c r="F276" s="2" t="n">
        <v>11</v>
      </c>
      <c r="G276" s="4" t="s">
        <v>423</v>
      </c>
    </row>
    <row r="277" customFormat="false" ht="15" hidden="false" customHeight="false" outlineLevel="0" collapsed="false">
      <c r="A277" s="2" t="n">
        <v>276</v>
      </c>
      <c r="B277" s="2" t="n">
        <v>28</v>
      </c>
      <c r="C277" s="3" t="str">
        <f aca="false">INDEX('부작 목록'!$C$2:$C$66,B277)</f>
        <v>이바라 전 장관 협박과 후속 보도</v>
      </c>
      <c r="D277" s="3" t="s">
        <v>16</v>
      </c>
      <c r="E277" s="2" t="n">
        <v>5977</v>
      </c>
      <c r="F277" s="2" t="n">
        <v>10</v>
      </c>
      <c r="G277" s="4" t="s">
        <v>424</v>
      </c>
    </row>
    <row r="278" customFormat="false" ht="15" hidden="false" customHeight="false" outlineLevel="0" collapsed="false">
      <c r="A278" s="2" t="n">
        <v>277</v>
      </c>
      <c r="B278" s="2" t="n">
        <v>28</v>
      </c>
      <c r="C278" s="3" t="str">
        <f aca="false">INDEX('부작 목록'!$C$2:$C$66,B278)</f>
        <v>이바라 전 장관 협박과 후속 보도</v>
      </c>
      <c r="D278" s="3" t="s">
        <v>16</v>
      </c>
      <c r="E278" s="2" t="n">
        <v>5990</v>
      </c>
      <c r="F278" s="2" t="n">
        <v>11</v>
      </c>
      <c r="G278" s="4" t="s">
        <v>425</v>
      </c>
    </row>
    <row r="279" customFormat="false" ht="15" hidden="false" customHeight="false" outlineLevel="0" collapsed="false">
      <c r="A279" s="2" t="n">
        <v>278</v>
      </c>
      <c r="B279" s="2" t="n">
        <v>28</v>
      </c>
      <c r="C279" s="3" t="str">
        <f aca="false">INDEX('부작 목록'!$C$2:$C$66,B279)</f>
        <v>이바라 전 장관 협박과 후속 보도</v>
      </c>
      <c r="D279" s="3" t="s">
        <v>16</v>
      </c>
      <c r="E279" s="2" t="n">
        <v>6004</v>
      </c>
      <c r="F279" s="2" t="n">
        <v>10</v>
      </c>
      <c r="G279" s="4" t="s">
        <v>426</v>
      </c>
    </row>
    <row r="280" customFormat="false" ht="15" hidden="false" customHeight="false" outlineLevel="0" collapsed="false">
      <c r="A280" s="2" t="n">
        <v>279</v>
      </c>
      <c r="B280" s="2" t="n">
        <v>28</v>
      </c>
      <c r="C280" s="3" t="str">
        <f aca="false">INDEX('부작 목록'!$C$2:$C$66,B280)</f>
        <v>이바라 전 장관 협박과 후속 보도</v>
      </c>
      <c r="D280" s="3" t="s">
        <v>16</v>
      </c>
      <c r="E280" s="2" t="n">
        <v>6016</v>
      </c>
      <c r="F280" s="2" t="n">
        <v>12</v>
      </c>
      <c r="G280" s="4" t="s">
        <v>427</v>
      </c>
    </row>
    <row r="281" customFormat="false" ht="15" hidden="false" customHeight="false" outlineLevel="0" collapsed="false">
      <c r="A281" s="2" t="n">
        <v>280</v>
      </c>
      <c r="B281" s="2" t="n">
        <v>28</v>
      </c>
      <c r="C281" s="3" t="str">
        <f aca="false">INDEX('부작 목록'!$C$2:$C$66,B281)</f>
        <v>이바라 전 장관 협박과 후속 보도</v>
      </c>
      <c r="D281" s="3" t="s">
        <v>16</v>
      </c>
      <c r="E281" s="2" t="n">
        <v>6031</v>
      </c>
      <c r="F281" s="2" t="n">
        <v>10</v>
      </c>
      <c r="G281" s="4" t="s">
        <v>428</v>
      </c>
    </row>
    <row r="282" customFormat="false" ht="15" hidden="false" customHeight="false" outlineLevel="0" collapsed="false">
      <c r="A282" s="2" t="n">
        <v>281</v>
      </c>
      <c r="B282" s="2" t="n">
        <v>28</v>
      </c>
      <c r="C282" s="3" t="str">
        <f aca="false">INDEX('부작 목록'!$C$2:$C$66,B282)</f>
        <v>이바라 전 장관 협박과 후속 보도</v>
      </c>
      <c r="D282" s="3" t="s">
        <v>16</v>
      </c>
      <c r="E282" s="2" t="n">
        <v>6043</v>
      </c>
      <c r="F282" s="2" t="n">
        <v>11</v>
      </c>
      <c r="G282" s="4" t="s">
        <v>429</v>
      </c>
    </row>
    <row r="283" customFormat="false" ht="15" hidden="false" customHeight="false" outlineLevel="0" collapsed="false">
      <c r="A283" s="2" t="n">
        <v>282</v>
      </c>
      <c r="B283" s="2" t="n">
        <v>28</v>
      </c>
      <c r="C283" s="3" t="str">
        <f aca="false">INDEX('부작 목록'!$C$2:$C$66,B283)</f>
        <v>이바라 전 장관 협박과 후속 보도</v>
      </c>
      <c r="D283" s="3" t="s">
        <v>16</v>
      </c>
      <c r="E283" s="2" t="n">
        <v>6056</v>
      </c>
      <c r="F283" s="2" t="n">
        <v>14</v>
      </c>
      <c r="G283" s="4" t="s">
        <v>430</v>
      </c>
    </row>
    <row r="284" customFormat="false" ht="15" hidden="false" customHeight="false" outlineLevel="0" collapsed="false">
      <c r="A284" s="2" t="n">
        <v>283</v>
      </c>
      <c r="B284" s="2" t="n">
        <v>28</v>
      </c>
      <c r="C284" s="3" t="str">
        <f aca="false">INDEX('부작 목록'!$C$2:$C$66,B284)</f>
        <v>이바라 전 장관 협박과 후속 보도</v>
      </c>
      <c r="D284" s="3" t="s">
        <v>16</v>
      </c>
      <c r="E284" s="2" t="n">
        <v>6073</v>
      </c>
      <c r="F284" s="2" t="n">
        <v>12</v>
      </c>
      <c r="G284" s="4" t="s">
        <v>431</v>
      </c>
    </row>
    <row r="285" customFormat="false" ht="15" hidden="false" customHeight="false" outlineLevel="0" collapsed="false">
      <c r="A285" s="2" t="n">
        <v>284</v>
      </c>
      <c r="B285" s="2" t="n">
        <v>28</v>
      </c>
      <c r="C285" s="3" t="str">
        <f aca="false">INDEX('부작 목록'!$C$2:$C$66,B285)</f>
        <v>이바라 전 장관 협박과 후속 보도</v>
      </c>
      <c r="D285" s="3" t="s">
        <v>16</v>
      </c>
      <c r="E285" s="2" t="n">
        <v>6087</v>
      </c>
      <c r="F285" s="2" t="n">
        <v>10</v>
      </c>
      <c r="G285" s="4" t="s">
        <v>432</v>
      </c>
    </row>
    <row r="286" customFormat="false" ht="15" hidden="false" customHeight="false" outlineLevel="0" collapsed="false">
      <c r="A286" s="2" t="n">
        <v>285</v>
      </c>
      <c r="B286" s="2" t="n">
        <v>28</v>
      </c>
      <c r="C286" s="3" t="str">
        <f aca="false">INDEX('부작 목록'!$C$2:$C$66,B286)</f>
        <v>이바라 전 장관 협박과 후속 보도</v>
      </c>
      <c r="D286" s="3" t="s">
        <v>16</v>
      </c>
      <c r="E286" s="2" t="n">
        <v>6100</v>
      </c>
      <c r="F286" s="2" t="n">
        <v>10</v>
      </c>
      <c r="G286" s="4" t="s">
        <v>433</v>
      </c>
    </row>
    <row r="287" customFormat="false" ht="15" hidden="false" customHeight="false" outlineLevel="0" collapsed="false">
      <c r="A287" s="2" t="n">
        <v>286</v>
      </c>
      <c r="B287" s="2" t="n">
        <v>28</v>
      </c>
      <c r="C287" s="3" t="str">
        <f aca="false">INDEX('부작 목록'!$C$2:$C$66,B287)</f>
        <v>이바라 전 장관 협박과 후속 보도</v>
      </c>
      <c r="D287" s="3" t="s">
        <v>16</v>
      </c>
      <c r="E287" s="2" t="n">
        <v>6113</v>
      </c>
      <c r="F287" s="2" t="n">
        <v>11</v>
      </c>
      <c r="G287" s="4" t="s">
        <v>434</v>
      </c>
    </row>
    <row r="288" customFormat="false" ht="15" hidden="false" customHeight="false" outlineLevel="0" collapsed="false">
      <c r="A288" s="2" t="n">
        <v>287</v>
      </c>
      <c r="B288" s="2" t="n">
        <v>28</v>
      </c>
      <c r="C288" s="3" t="str">
        <f aca="false">INDEX('부작 목록'!$C$2:$C$66,B288)</f>
        <v>이바라 전 장관 협박과 후속 보도</v>
      </c>
      <c r="D288" s="3" t="s">
        <v>16</v>
      </c>
      <c r="E288" s="2" t="n">
        <v>6126</v>
      </c>
      <c r="F288" s="2" t="n">
        <v>9</v>
      </c>
      <c r="G288" s="4" t="s">
        <v>435</v>
      </c>
    </row>
    <row r="289" customFormat="false" ht="15" hidden="false" customHeight="false" outlineLevel="0" collapsed="false">
      <c r="A289" s="2" t="n">
        <v>288</v>
      </c>
      <c r="B289" s="2" t="n">
        <v>28</v>
      </c>
      <c r="C289" s="3" t="str">
        <f aca="false">INDEX('부작 목록'!$C$2:$C$66,B289)</f>
        <v>이바라 전 장관 협박과 후속 보도</v>
      </c>
      <c r="D289" s="3" t="s">
        <v>16</v>
      </c>
      <c r="E289" s="2" t="n">
        <v>6138</v>
      </c>
      <c r="F289" s="2" t="n">
        <v>9</v>
      </c>
      <c r="G289" s="4" t="s">
        <v>436</v>
      </c>
    </row>
    <row r="290" customFormat="false" ht="15" hidden="false" customHeight="false" outlineLevel="0" collapsed="false">
      <c r="A290" s="2" t="n">
        <v>289</v>
      </c>
      <c r="B290" s="2" t="n">
        <v>28</v>
      </c>
      <c r="C290" s="3" t="str">
        <f aca="false">INDEX('부작 목록'!$C$2:$C$66,B290)</f>
        <v>이바라 전 장관 협박과 후속 보도</v>
      </c>
      <c r="D290" s="3" t="s">
        <v>16</v>
      </c>
      <c r="E290" s="2" t="n">
        <v>6149</v>
      </c>
      <c r="F290" s="2" t="n">
        <v>10</v>
      </c>
      <c r="G290" s="4" t="s">
        <v>437</v>
      </c>
    </row>
    <row r="291" customFormat="false" ht="15" hidden="false" customHeight="false" outlineLevel="0" collapsed="false">
      <c r="A291" s="2" t="n">
        <v>290</v>
      </c>
      <c r="B291" s="2" t="n">
        <v>28</v>
      </c>
      <c r="C291" s="3" t="str">
        <f aca="false">INDEX('부작 목록'!$C$2:$C$66,B291)</f>
        <v>이바라 전 장관 협박과 후속 보도</v>
      </c>
      <c r="D291" s="3" t="s">
        <v>16</v>
      </c>
      <c r="E291" s="2" t="n">
        <v>6162</v>
      </c>
      <c r="F291" s="2" t="n">
        <v>16</v>
      </c>
      <c r="G291" s="4" t="s">
        <v>438</v>
      </c>
    </row>
    <row r="292" customFormat="false" ht="41.75" hidden="false" customHeight="false" outlineLevel="0" collapsed="false">
      <c r="A292" s="2" t="n">
        <v>291</v>
      </c>
      <c r="B292" s="2" t="n">
        <v>29</v>
      </c>
      <c r="C292" s="3" t="str">
        <f aca="false">INDEX('부작 목록'!$C$2:$C$66,B292)</f>
        <v>가짜 주권 클라우드</v>
      </c>
      <c r="D292" s="3" t="s">
        <v>16</v>
      </c>
      <c r="E292" s="2" t="n">
        <v>6181</v>
      </c>
      <c r="F292" s="2" t="n">
        <v>16</v>
      </c>
      <c r="G292" s="4" t="s">
        <v>439</v>
      </c>
    </row>
    <row r="293" customFormat="false" ht="15" hidden="false" customHeight="false" outlineLevel="0" collapsed="false">
      <c r="A293" s="2" t="n">
        <v>292</v>
      </c>
      <c r="B293" s="2" t="n">
        <v>29</v>
      </c>
      <c r="C293" s="3" t="str">
        <f aca="false">INDEX('부작 목록'!$C$2:$C$66,B293)</f>
        <v>가짜 주권 클라우드</v>
      </c>
      <c r="D293" s="3" t="s">
        <v>16</v>
      </c>
      <c r="E293" s="2" t="n">
        <v>6200</v>
      </c>
      <c r="F293" s="2" t="n">
        <v>12</v>
      </c>
      <c r="G293" s="4" t="s">
        <v>440</v>
      </c>
    </row>
    <row r="294" customFormat="false" ht="15" hidden="false" customHeight="false" outlineLevel="0" collapsed="false">
      <c r="A294" s="2" t="n">
        <v>293</v>
      </c>
      <c r="B294" s="2" t="n">
        <v>29</v>
      </c>
      <c r="C294" s="3" t="str">
        <f aca="false">INDEX('부작 목록'!$C$2:$C$66,B294)</f>
        <v>가짜 주권 클라우드</v>
      </c>
      <c r="D294" s="3" t="s">
        <v>16</v>
      </c>
      <c r="E294" s="2" t="n">
        <v>6214</v>
      </c>
      <c r="F294" s="2" t="n">
        <v>10</v>
      </c>
      <c r="G294" s="4" t="s">
        <v>441</v>
      </c>
    </row>
    <row r="295" customFormat="false" ht="15" hidden="false" customHeight="false" outlineLevel="0" collapsed="false">
      <c r="A295" s="2" t="n">
        <v>294</v>
      </c>
      <c r="B295" s="2" t="n">
        <v>29</v>
      </c>
      <c r="C295" s="3" t="str">
        <f aca="false">INDEX('부작 목록'!$C$2:$C$66,B295)</f>
        <v>가짜 주권 클라우드</v>
      </c>
      <c r="D295" s="3" t="s">
        <v>16</v>
      </c>
      <c r="E295" s="2" t="n">
        <v>6227</v>
      </c>
      <c r="F295" s="2" t="n">
        <v>10</v>
      </c>
      <c r="G295" s="4" t="s">
        <v>442</v>
      </c>
    </row>
    <row r="296" customFormat="false" ht="15" hidden="false" customHeight="false" outlineLevel="0" collapsed="false">
      <c r="A296" s="2" t="n">
        <v>295</v>
      </c>
      <c r="B296" s="2" t="n">
        <v>29</v>
      </c>
      <c r="C296" s="3" t="str">
        <f aca="false">INDEX('부작 목록'!$C$2:$C$66,B296)</f>
        <v>가짜 주권 클라우드</v>
      </c>
      <c r="D296" s="3" t="s">
        <v>16</v>
      </c>
      <c r="E296" s="2" t="n">
        <v>6239</v>
      </c>
      <c r="F296" s="2" t="n">
        <v>13</v>
      </c>
      <c r="G296" s="4" t="s">
        <v>443</v>
      </c>
    </row>
    <row r="297" customFormat="false" ht="15" hidden="false" customHeight="false" outlineLevel="0" collapsed="false">
      <c r="A297" s="2" t="n">
        <v>296</v>
      </c>
      <c r="B297" s="2" t="n">
        <v>29</v>
      </c>
      <c r="C297" s="3" t="str">
        <f aca="false">INDEX('부작 목록'!$C$2:$C$66,B297)</f>
        <v>가짜 주권 클라우드</v>
      </c>
      <c r="D297" s="3" t="s">
        <v>16</v>
      </c>
      <c r="E297" s="2" t="n">
        <v>6254</v>
      </c>
      <c r="F297" s="2" t="n">
        <v>10</v>
      </c>
      <c r="G297" s="4" t="s">
        <v>444</v>
      </c>
    </row>
    <row r="298" customFormat="false" ht="15" hidden="false" customHeight="false" outlineLevel="0" collapsed="false">
      <c r="A298" s="2" t="n">
        <v>297</v>
      </c>
      <c r="B298" s="2" t="n">
        <v>29</v>
      </c>
      <c r="C298" s="3" t="str">
        <f aca="false">INDEX('부작 목록'!$C$2:$C$66,B298)</f>
        <v>가짜 주권 클라우드</v>
      </c>
      <c r="D298" s="3" t="s">
        <v>16</v>
      </c>
      <c r="E298" s="2" t="n">
        <v>6267</v>
      </c>
      <c r="F298" s="2" t="n">
        <v>10</v>
      </c>
      <c r="G298" s="4" t="s">
        <v>445</v>
      </c>
    </row>
    <row r="299" customFormat="false" ht="15" hidden="false" customHeight="false" outlineLevel="0" collapsed="false">
      <c r="A299" s="2" t="n">
        <v>298</v>
      </c>
      <c r="B299" s="2" t="n">
        <v>29</v>
      </c>
      <c r="C299" s="3" t="str">
        <f aca="false">INDEX('부작 목록'!$C$2:$C$66,B299)</f>
        <v>가짜 주권 클라우드</v>
      </c>
      <c r="D299" s="3" t="s">
        <v>16</v>
      </c>
      <c r="E299" s="2" t="n">
        <v>6279</v>
      </c>
      <c r="F299" s="2" t="n">
        <v>12</v>
      </c>
      <c r="G299" s="4" t="s">
        <v>446</v>
      </c>
    </row>
    <row r="300" customFormat="false" ht="15" hidden="false" customHeight="false" outlineLevel="0" collapsed="false">
      <c r="A300" s="2" t="n">
        <v>299</v>
      </c>
      <c r="B300" s="2" t="n">
        <v>29</v>
      </c>
      <c r="C300" s="3" t="str">
        <f aca="false">INDEX('부작 목록'!$C$2:$C$66,B300)</f>
        <v>가짜 주권 클라우드</v>
      </c>
      <c r="D300" s="3" t="s">
        <v>16</v>
      </c>
      <c r="E300" s="2" t="n">
        <v>6294</v>
      </c>
      <c r="F300" s="2" t="n">
        <v>11</v>
      </c>
      <c r="G300" s="4" t="s">
        <v>447</v>
      </c>
    </row>
    <row r="301" customFormat="false" ht="15" hidden="false" customHeight="false" outlineLevel="0" collapsed="false">
      <c r="A301" s="2" t="n">
        <v>300</v>
      </c>
      <c r="B301" s="2" t="n">
        <v>29</v>
      </c>
      <c r="C301" s="3" t="str">
        <f aca="false">INDEX('부작 목록'!$C$2:$C$66,B301)</f>
        <v>가짜 주권 클라우드</v>
      </c>
      <c r="D301" s="3" t="s">
        <v>16</v>
      </c>
      <c r="E301" s="2" t="n">
        <v>6307</v>
      </c>
      <c r="F301" s="2" t="n">
        <v>11</v>
      </c>
      <c r="G301" s="4" t="s">
        <v>448</v>
      </c>
    </row>
    <row r="302" customFormat="false" ht="15" hidden="false" customHeight="false" outlineLevel="0" collapsed="false">
      <c r="A302" s="2" t="n">
        <v>301</v>
      </c>
      <c r="B302" s="2" t="n">
        <v>29</v>
      </c>
      <c r="C302" s="3" t="str">
        <f aca="false">INDEX('부작 목록'!$C$2:$C$66,B302)</f>
        <v>가짜 주권 클라우드</v>
      </c>
      <c r="D302" s="3" t="s">
        <v>16</v>
      </c>
      <c r="E302" s="2" t="n">
        <v>6320</v>
      </c>
      <c r="F302" s="2" t="n">
        <v>10</v>
      </c>
      <c r="G302" s="4" t="s">
        <v>449</v>
      </c>
    </row>
    <row r="303" customFormat="false" ht="15" hidden="false" customHeight="false" outlineLevel="0" collapsed="false">
      <c r="A303" s="2" t="n">
        <v>302</v>
      </c>
      <c r="B303" s="2" t="n">
        <v>29</v>
      </c>
      <c r="C303" s="3" t="str">
        <f aca="false">INDEX('부작 목록'!$C$2:$C$66,B303)</f>
        <v>가짜 주권 클라우드</v>
      </c>
      <c r="D303" s="3" t="s">
        <v>16</v>
      </c>
      <c r="E303" s="2" t="n">
        <v>6333</v>
      </c>
      <c r="F303" s="2" t="n">
        <v>9</v>
      </c>
      <c r="G303" s="4" t="s">
        <v>450</v>
      </c>
    </row>
    <row r="304" customFormat="false" ht="15" hidden="false" customHeight="false" outlineLevel="0" collapsed="false">
      <c r="A304" s="2" t="n">
        <v>303</v>
      </c>
      <c r="B304" s="2" t="n">
        <v>29</v>
      </c>
      <c r="C304" s="3" t="str">
        <f aca="false">INDEX('부작 목록'!$C$2:$C$66,B304)</f>
        <v>가짜 주권 클라우드</v>
      </c>
      <c r="D304" s="3" t="s">
        <v>16</v>
      </c>
      <c r="E304" s="2" t="n">
        <v>6344</v>
      </c>
      <c r="F304" s="2" t="n">
        <v>10</v>
      </c>
      <c r="G304" s="4" t="s">
        <v>451</v>
      </c>
    </row>
    <row r="305" customFormat="false" ht="15" hidden="false" customHeight="false" outlineLevel="0" collapsed="false">
      <c r="A305" s="2" t="n">
        <v>304</v>
      </c>
      <c r="B305" s="2" t="n">
        <v>29</v>
      </c>
      <c r="C305" s="3" t="str">
        <f aca="false">INDEX('부작 목록'!$C$2:$C$66,B305)</f>
        <v>가짜 주권 클라우드</v>
      </c>
      <c r="D305" s="3" t="s">
        <v>16</v>
      </c>
      <c r="E305" s="2" t="n">
        <v>6357</v>
      </c>
      <c r="F305" s="2" t="n">
        <v>10</v>
      </c>
      <c r="G305" s="4" t="s">
        <v>452</v>
      </c>
    </row>
    <row r="306" customFormat="false" ht="15" hidden="false" customHeight="false" outlineLevel="0" collapsed="false">
      <c r="A306" s="2" t="n">
        <v>305</v>
      </c>
      <c r="B306" s="2" t="n">
        <v>29</v>
      </c>
      <c r="C306" s="3" t="str">
        <f aca="false">INDEX('부작 목록'!$C$2:$C$66,B306)</f>
        <v>가짜 주권 클라우드</v>
      </c>
      <c r="D306" s="3" t="s">
        <v>16</v>
      </c>
      <c r="E306" s="2" t="n">
        <v>6369</v>
      </c>
      <c r="F306" s="2" t="n">
        <v>11</v>
      </c>
      <c r="G306" s="4" t="s">
        <v>453</v>
      </c>
    </row>
    <row r="307" customFormat="false" ht="15" hidden="false" customHeight="false" outlineLevel="0" collapsed="false">
      <c r="A307" s="2" t="n">
        <v>306</v>
      </c>
      <c r="B307" s="2" t="n">
        <v>29</v>
      </c>
      <c r="C307" s="3" t="str">
        <f aca="false">INDEX('부작 목록'!$C$2:$C$66,B307)</f>
        <v>가짜 주권 클라우드</v>
      </c>
      <c r="D307" s="3" t="s">
        <v>16</v>
      </c>
      <c r="E307" s="2" t="n">
        <v>6383</v>
      </c>
      <c r="F307" s="2" t="n">
        <v>12</v>
      </c>
      <c r="G307" s="4" t="s">
        <v>454</v>
      </c>
    </row>
    <row r="308" customFormat="false" ht="15" hidden="false" customHeight="false" outlineLevel="0" collapsed="false">
      <c r="A308" s="2" t="n">
        <v>307</v>
      </c>
      <c r="B308" s="2" t="n">
        <v>29</v>
      </c>
      <c r="C308" s="3" t="str">
        <f aca="false">INDEX('부작 목록'!$C$2:$C$66,B308)</f>
        <v>가짜 주권 클라우드</v>
      </c>
      <c r="D308" s="3" t="s">
        <v>16</v>
      </c>
      <c r="E308" s="2" t="n">
        <v>6398</v>
      </c>
      <c r="F308" s="2" t="n">
        <v>12</v>
      </c>
      <c r="G308" s="4" t="s">
        <v>455</v>
      </c>
    </row>
    <row r="309" customFormat="false" ht="15" hidden="false" customHeight="false" outlineLevel="0" collapsed="false">
      <c r="A309" s="2" t="n">
        <v>308</v>
      </c>
      <c r="B309" s="2" t="n">
        <v>29</v>
      </c>
      <c r="C309" s="3" t="str">
        <f aca="false">INDEX('부작 목록'!$C$2:$C$66,B309)</f>
        <v>가짜 주권 클라우드</v>
      </c>
      <c r="D309" s="3" t="s">
        <v>16</v>
      </c>
      <c r="E309" s="2" t="n">
        <v>6412</v>
      </c>
      <c r="F309" s="2" t="n">
        <v>13</v>
      </c>
      <c r="G309" s="4" t="s">
        <v>456</v>
      </c>
    </row>
    <row r="310" customFormat="false" ht="15" hidden="false" customHeight="false" outlineLevel="0" collapsed="false">
      <c r="A310" s="2" t="n">
        <v>309</v>
      </c>
      <c r="B310" s="2" t="n">
        <v>29</v>
      </c>
      <c r="C310" s="3" t="str">
        <f aca="false">INDEX('부작 목록'!$C$2:$C$66,B310)</f>
        <v>가짜 주권 클라우드</v>
      </c>
      <c r="D310" s="3" t="s">
        <v>16</v>
      </c>
      <c r="E310" s="2" t="n">
        <v>6428</v>
      </c>
      <c r="F310" s="2" t="n">
        <v>29</v>
      </c>
      <c r="G310" s="4" t="s">
        <v>457</v>
      </c>
    </row>
    <row r="311" customFormat="false" ht="28.35" hidden="false" customHeight="false" outlineLevel="0" collapsed="false">
      <c r="A311" s="2" t="n">
        <v>310</v>
      </c>
      <c r="B311" s="2" t="n">
        <v>29</v>
      </c>
      <c r="C311" s="3" t="str">
        <f aca="false">INDEX('부작 목록'!$C$2:$C$66,B311)</f>
        <v>가짜 주권 클라우드</v>
      </c>
      <c r="D311" s="3" t="s">
        <v>16</v>
      </c>
      <c r="E311" s="2" t="n">
        <v>6461</v>
      </c>
      <c r="F311" s="2" t="n">
        <v>19</v>
      </c>
      <c r="G311" s="4" t="s">
        <v>458</v>
      </c>
    </row>
    <row r="312" customFormat="false" ht="15" hidden="false" customHeight="false" outlineLevel="0" collapsed="false">
      <c r="A312" s="2" t="n">
        <v>311</v>
      </c>
      <c r="B312" s="2" t="n">
        <v>29</v>
      </c>
      <c r="C312" s="3" t="str">
        <f aca="false">INDEX('부작 목록'!$C$2:$C$66,B312)</f>
        <v>가짜 주권 클라우드</v>
      </c>
      <c r="D312" s="3" t="s">
        <v>16</v>
      </c>
      <c r="E312" s="2" t="n">
        <v>6483</v>
      </c>
      <c r="F312" s="2" t="n">
        <v>15</v>
      </c>
      <c r="G312" s="4" t="s">
        <v>459</v>
      </c>
    </row>
    <row r="313" customFormat="false" ht="15" hidden="false" customHeight="false" outlineLevel="0" collapsed="false">
      <c r="A313" s="2" t="n">
        <v>312</v>
      </c>
      <c r="B313" s="2" t="n">
        <v>29</v>
      </c>
      <c r="C313" s="3" t="str">
        <f aca="false">INDEX('부작 목록'!$C$2:$C$66,B313)</f>
        <v>가짜 주권 클라우드</v>
      </c>
      <c r="D313" s="3" t="s">
        <v>16</v>
      </c>
      <c r="E313" s="2" t="n">
        <v>6500</v>
      </c>
      <c r="F313" s="2" t="n">
        <v>13</v>
      </c>
      <c r="G313" s="4" t="s">
        <v>460</v>
      </c>
    </row>
    <row r="314" customFormat="false" ht="15" hidden="false" customHeight="false" outlineLevel="0" collapsed="false">
      <c r="A314" s="2" t="n">
        <v>313</v>
      </c>
      <c r="B314" s="2" t="n">
        <v>29</v>
      </c>
      <c r="C314" s="3" t="str">
        <f aca="false">INDEX('부작 목록'!$C$2:$C$66,B314)</f>
        <v>가짜 주권 클라우드</v>
      </c>
      <c r="D314" s="3" t="s">
        <v>16</v>
      </c>
      <c r="E314" s="2" t="n">
        <v>6515</v>
      </c>
      <c r="F314" s="2" t="n">
        <v>18</v>
      </c>
      <c r="G314" s="4" t="s">
        <v>461</v>
      </c>
    </row>
    <row r="315" customFormat="false" ht="15" hidden="false" customHeight="false" outlineLevel="0" collapsed="false">
      <c r="A315" s="2" t="n">
        <v>314</v>
      </c>
      <c r="B315" s="2" t="n">
        <v>29</v>
      </c>
      <c r="C315" s="3" t="str">
        <f aca="false">INDEX('부작 목록'!$C$2:$C$66,B315)</f>
        <v>가짜 주권 클라우드</v>
      </c>
      <c r="D315" s="3" t="s">
        <v>16</v>
      </c>
      <c r="E315" s="2" t="n">
        <v>6536</v>
      </c>
      <c r="F315" s="2" t="n">
        <v>16</v>
      </c>
      <c r="G315" s="4" t="s">
        <v>462</v>
      </c>
    </row>
    <row r="316" customFormat="false" ht="15" hidden="false" customHeight="false" outlineLevel="0" collapsed="false">
      <c r="A316" s="2" t="n">
        <v>315</v>
      </c>
      <c r="B316" s="2" t="n">
        <v>29</v>
      </c>
      <c r="C316" s="3" t="str">
        <f aca="false">INDEX('부작 목록'!$C$2:$C$66,B316)</f>
        <v>가짜 주권 클라우드</v>
      </c>
      <c r="D316" s="3" t="s">
        <v>16</v>
      </c>
      <c r="E316" s="2" t="n">
        <v>6555</v>
      </c>
      <c r="F316" s="2" t="n">
        <v>21</v>
      </c>
      <c r="G316" s="4" t="s">
        <v>463</v>
      </c>
    </row>
    <row r="317" customFormat="false" ht="15" hidden="false" customHeight="false" outlineLevel="0" collapsed="false">
      <c r="A317" s="2" t="n">
        <v>316</v>
      </c>
      <c r="B317" s="2" t="n">
        <v>29</v>
      </c>
      <c r="C317" s="3" t="str">
        <f aca="false">INDEX('부작 목록'!$C$2:$C$66,B317)</f>
        <v>가짜 주권 클라우드</v>
      </c>
      <c r="D317" s="3" t="s">
        <v>16</v>
      </c>
      <c r="E317" s="2" t="n">
        <v>6579</v>
      </c>
      <c r="F317" s="2" t="n">
        <v>17</v>
      </c>
      <c r="G317" s="4" t="s">
        <v>464</v>
      </c>
    </row>
    <row r="318" customFormat="false" ht="41.75" hidden="false" customHeight="false" outlineLevel="0" collapsed="false">
      <c r="A318" s="2" t="n">
        <v>317</v>
      </c>
      <c r="B318" s="2" t="n">
        <v>30</v>
      </c>
      <c r="C318" s="3" t="str">
        <f aca="false">INDEX('부작 목록'!$C$2:$C$66,B318)</f>
        <v>농장 이주노동자 강제노동</v>
      </c>
      <c r="D318" s="3" t="s">
        <v>16</v>
      </c>
      <c r="E318" s="2" t="n">
        <v>6599</v>
      </c>
      <c r="F318" s="2" t="n">
        <v>13</v>
      </c>
      <c r="G318" s="4" t="s">
        <v>465</v>
      </c>
    </row>
    <row r="319" customFormat="false" ht="15" hidden="false" customHeight="false" outlineLevel="0" collapsed="false">
      <c r="A319" s="2" t="n">
        <v>318</v>
      </c>
      <c r="B319" s="2" t="n">
        <v>30</v>
      </c>
      <c r="C319" s="3" t="str">
        <f aca="false">INDEX('부작 목록'!$C$2:$C$66,B319)</f>
        <v>농장 이주노동자 강제노동</v>
      </c>
      <c r="D319" s="3" t="s">
        <v>16</v>
      </c>
      <c r="E319" s="2" t="n">
        <v>6615</v>
      </c>
      <c r="F319" s="2" t="n">
        <v>11</v>
      </c>
      <c r="G319" s="4" t="s">
        <v>466</v>
      </c>
    </row>
    <row r="320" customFormat="false" ht="28.35" hidden="false" customHeight="false" outlineLevel="0" collapsed="false">
      <c r="A320" s="2" t="n">
        <v>319</v>
      </c>
      <c r="B320" s="2" t="n">
        <v>30</v>
      </c>
      <c r="C320" s="3" t="str">
        <f aca="false">INDEX('부작 목록'!$C$2:$C$66,B320)</f>
        <v>농장 이주노동자 강제노동</v>
      </c>
      <c r="D320" s="3" t="s">
        <v>16</v>
      </c>
      <c r="E320" s="2" t="n">
        <v>6629</v>
      </c>
      <c r="F320" s="2" t="n">
        <v>16</v>
      </c>
      <c r="G320" s="4" t="s">
        <v>467</v>
      </c>
    </row>
    <row r="321" customFormat="false" ht="15" hidden="false" customHeight="false" outlineLevel="0" collapsed="false">
      <c r="A321" s="2" t="n">
        <v>320</v>
      </c>
      <c r="B321" s="2" t="n">
        <v>30</v>
      </c>
      <c r="C321" s="3" t="str">
        <f aca="false">INDEX('부작 목록'!$C$2:$C$66,B321)</f>
        <v>농장 이주노동자 강제노동</v>
      </c>
      <c r="D321" s="3" t="s">
        <v>16</v>
      </c>
      <c r="E321" s="2" t="n">
        <v>6647</v>
      </c>
      <c r="F321" s="2" t="n">
        <v>12</v>
      </c>
      <c r="G321" s="4" t="s">
        <v>468</v>
      </c>
    </row>
    <row r="322" customFormat="false" ht="15" hidden="false" customHeight="false" outlineLevel="0" collapsed="false">
      <c r="A322" s="2" t="n">
        <v>321</v>
      </c>
      <c r="B322" s="2" t="n">
        <v>30</v>
      </c>
      <c r="C322" s="3" t="str">
        <f aca="false">INDEX('부작 목록'!$C$2:$C$66,B322)</f>
        <v>농장 이주노동자 강제노동</v>
      </c>
      <c r="D322" s="3" t="s">
        <v>16</v>
      </c>
      <c r="E322" s="2" t="n">
        <v>6662</v>
      </c>
      <c r="F322" s="2" t="n">
        <v>16</v>
      </c>
      <c r="G322" s="4" t="s">
        <v>469</v>
      </c>
    </row>
    <row r="323" customFormat="false" ht="15" hidden="false" customHeight="false" outlineLevel="0" collapsed="false">
      <c r="A323" s="2" t="n">
        <v>322</v>
      </c>
      <c r="B323" s="2" t="n">
        <v>30</v>
      </c>
      <c r="C323" s="3" t="str">
        <f aca="false">INDEX('부작 목록'!$C$2:$C$66,B323)</f>
        <v>농장 이주노동자 강제노동</v>
      </c>
      <c r="D323" s="3" t="s">
        <v>16</v>
      </c>
      <c r="E323" s="2" t="n">
        <v>6681</v>
      </c>
      <c r="F323" s="2" t="n">
        <v>10</v>
      </c>
      <c r="G323" s="4" t="s">
        <v>470</v>
      </c>
    </row>
    <row r="324" customFormat="false" ht="15" hidden="false" customHeight="false" outlineLevel="0" collapsed="false">
      <c r="A324" s="2" t="n">
        <v>323</v>
      </c>
      <c r="B324" s="2" t="n">
        <v>30</v>
      </c>
      <c r="C324" s="3" t="str">
        <f aca="false">INDEX('부작 목록'!$C$2:$C$66,B324)</f>
        <v>농장 이주노동자 강제노동</v>
      </c>
      <c r="D324" s="3" t="s">
        <v>16</v>
      </c>
      <c r="E324" s="2" t="n">
        <v>6694</v>
      </c>
      <c r="F324" s="2" t="n">
        <v>13</v>
      </c>
      <c r="G324" s="4" t="s">
        <v>471</v>
      </c>
    </row>
    <row r="325" customFormat="false" ht="15" hidden="false" customHeight="false" outlineLevel="0" collapsed="false">
      <c r="A325" s="2" t="n">
        <v>324</v>
      </c>
      <c r="B325" s="2" t="n">
        <v>30</v>
      </c>
      <c r="C325" s="3" t="str">
        <f aca="false">INDEX('부작 목록'!$C$2:$C$66,B325)</f>
        <v>농장 이주노동자 강제노동</v>
      </c>
      <c r="D325" s="3" t="s">
        <v>16</v>
      </c>
      <c r="E325" s="2" t="n">
        <v>6709</v>
      </c>
      <c r="F325" s="2" t="n">
        <v>10</v>
      </c>
      <c r="G325" s="4" t="s">
        <v>472</v>
      </c>
    </row>
    <row r="326" customFormat="false" ht="15" hidden="false" customHeight="false" outlineLevel="0" collapsed="false">
      <c r="A326" s="2" t="n">
        <v>325</v>
      </c>
      <c r="B326" s="2" t="n">
        <v>30</v>
      </c>
      <c r="C326" s="3" t="str">
        <f aca="false">INDEX('부작 목록'!$C$2:$C$66,B326)</f>
        <v>농장 이주노동자 강제노동</v>
      </c>
      <c r="D326" s="3" t="s">
        <v>16</v>
      </c>
      <c r="E326" s="2" t="n">
        <v>6722</v>
      </c>
      <c r="F326" s="2" t="n">
        <v>15</v>
      </c>
      <c r="G326" s="4" t="s">
        <v>473</v>
      </c>
    </row>
    <row r="327" customFormat="false" ht="15" hidden="false" customHeight="false" outlineLevel="0" collapsed="false">
      <c r="A327" s="2" t="n">
        <v>326</v>
      </c>
      <c r="B327" s="2" t="n">
        <v>30</v>
      </c>
      <c r="C327" s="3" t="str">
        <f aca="false">INDEX('부작 목록'!$C$2:$C$66,B327)</f>
        <v>농장 이주노동자 강제노동</v>
      </c>
      <c r="D327" s="3" t="s">
        <v>16</v>
      </c>
      <c r="E327" s="2" t="n">
        <v>6740</v>
      </c>
      <c r="F327" s="2" t="n">
        <v>14</v>
      </c>
      <c r="G327" s="4" t="s">
        <v>474</v>
      </c>
    </row>
    <row r="328" customFormat="false" ht="15" hidden="false" customHeight="false" outlineLevel="0" collapsed="false">
      <c r="A328" s="2" t="n">
        <v>327</v>
      </c>
      <c r="B328" s="2" t="n">
        <v>30</v>
      </c>
      <c r="C328" s="3" t="str">
        <f aca="false">INDEX('부작 목록'!$C$2:$C$66,B328)</f>
        <v>농장 이주노동자 강제노동</v>
      </c>
      <c r="D328" s="3" t="s">
        <v>16</v>
      </c>
      <c r="E328" s="2" t="n">
        <v>6756</v>
      </c>
      <c r="F328" s="2" t="n">
        <v>10</v>
      </c>
      <c r="G328" s="4" t="s">
        <v>475</v>
      </c>
    </row>
    <row r="329" customFormat="false" ht="15" hidden="false" customHeight="false" outlineLevel="0" collapsed="false">
      <c r="A329" s="2" t="n">
        <v>328</v>
      </c>
      <c r="B329" s="2" t="n">
        <v>30</v>
      </c>
      <c r="C329" s="3" t="str">
        <f aca="false">INDEX('부작 목록'!$C$2:$C$66,B329)</f>
        <v>농장 이주노동자 강제노동</v>
      </c>
      <c r="D329" s="3" t="s">
        <v>16</v>
      </c>
      <c r="E329" s="2" t="n">
        <v>6769</v>
      </c>
      <c r="F329" s="2" t="n">
        <v>11</v>
      </c>
      <c r="G329" s="4" t="s">
        <v>476</v>
      </c>
    </row>
    <row r="330" customFormat="false" ht="15" hidden="false" customHeight="false" outlineLevel="0" collapsed="false">
      <c r="A330" s="2" t="n">
        <v>329</v>
      </c>
      <c r="B330" s="2" t="n">
        <v>30</v>
      </c>
      <c r="C330" s="3" t="str">
        <f aca="false">INDEX('부작 목록'!$C$2:$C$66,B330)</f>
        <v>농장 이주노동자 강제노동</v>
      </c>
      <c r="D330" s="3" t="s">
        <v>16</v>
      </c>
      <c r="E330" s="2" t="n">
        <v>6782</v>
      </c>
      <c r="F330" s="2" t="n">
        <v>8</v>
      </c>
      <c r="G330" s="4" t="s">
        <v>477</v>
      </c>
    </row>
    <row r="331" customFormat="false" ht="15" hidden="false" customHeight="false" outlineLevel="0" collapsed="false">
      <c r="A331" s="2" t="n">
        <v>330</v>
      </c>
      <c r="B331" s="2" t="n">
        <v>30</v>
      </c>
      <c r="C331" s="3" t="str">
        <f aca="false">INDEX('부작 목록'!$C$2:$C$66,B331)</f>
        <v>농장 이주노동자 강제노동</v>
      </c>
      <c r="D331" s="3" t="s">
        <v>16</v>
      </c>
      <c r="E331" s="2" t="n">
        <v>6792</v>
      </c>
      <c r="F331" s="2" t="n">
        <v>7</v>
      </c>
      <c r="G331" s="4" t="s">
        <v>478</v>
      </c>
    </row>
    <row r="332" customFormat="false" ht="15" hidden="false" customHeight="false" outlineLevel="0" collapsed="false">
      <c r="A332" s="2" t="n">
        <v>331</v>
      </c>
      <c r="B332" s="2" t="n">
        <v>30</v>
      </c>
      <c r="C332" s="3" t="str">
        <f aca="false">INDEX('부작 목록'!$C$2:$C$66,B332)</f>
        <v>농장 이주노동자 강제노동</v>
      </c>
      <c r="D332" s="3" t="s">
        <v>16</v>
      </c>
      <c r="E332" s="2" t="n">
        <v>6801</v>
      </c>
      <c r="F332" s="2" t="n">
        <v>11</v>
      </c>
      <c r="G332" s="4" t="s">
        <v>479</v>
      </c>
    </row>
    <row r="333" customFormat="false" ht="15" hidden="false" customHeight="false" outlineLevel="0" collapsed="false">
      <c r="A333" s="2" t="n">
        <v>332</v>
      </c>
      <c r="B333" s="2" t="n">
        <v>30</v>
      </c>
      <c r="C333" s="3" t="str">
        <f aca="false">INDEX('부작 목록'!$C$2:$C$66,B333)</f>
        <v>농장 이주노동자 강제노동</v>
      </c>
      <c r="D333" s="3" t="s">
        <v>16</v>
      </c>
      <c r="E333" s="2" t="n">
        <v>6815</v>
      </c>
      <c r="F333" s="2" t="n">
        <v>9</v>
      </c>
      <c r="G333" s="4" t="s">
        <v>480</v>
      </c>
    </row>
    <row r="334" customFormat="false" ht="15" hidden="false" customHeight="false" outlineLevel="0" collapsed="false">
      <c r="A334" s="2" t="n">
        <v>333</v>
      </c>
      <c r="B334" s="2" t="n">
        <v>30</v>
      </c>
      <c r="C334" s="3" t="str">
        <f aca="false">INDEX('부작 목록'!$C$2:$C$66,B334)</f>
        <v>농장 이주노동자 강제노동</v>
      </c>
      <c r="D334" s="3" t="s">
        <v>16</v>
      </c>
      <c r="E334" s="2" t="n">
        <v>6827</v>
      </c>
      <c r="F334" s="2" t="n">
        <v>13</v>
      </c>
      <c r="G334" s="4" t="s">
        <v>481</v>
      </c>
    </row>
    <row r="335" customFormat="false" ht="15" hidden="false" customHeight="false" outlineLevel="0" collapsed="false">
      <c r="A335" s="2" t="n">
        <v>334</v>
      </c>
      <c r="B335" s="2" t="n">
        <v>30</v>
      </c>
      <c r="C335" s="3" t="str">
        <f aca="false">INDEX('부작 목록'!$C$2:$C$66,B335)</f>
        <v>농장 이주노동자 강제노동</v>
      </c>
      <c r="D335" s="3" t="s">
        <v>16</v>
      </c>
      <c r="E335" s="2" t="n">
        <v>6842</v>
      </c>
      <c r="F335" s="2" t="n">
        <v>9</v>
      </c>
      <c r="G335" s="4" t="s">
        <v>482</v>
      </c>
    </row>
    <row r="336" customFormat="false" ht="15" hidden="false" customHeight="false" outlineLevel="0" collapsed="false">
      <c r="A336" s="2" t="n">
        <v>335</v>
      </c>
      <c r="B336" s="2" t="n">
        <v>30</v>
      </c>
      <c r="C336" s="3" t="str">
        <f aca="false">INDEX('부작 목록'!$C$2:$C$66,B336)</f>
        <v>농장 이주노동자 강제노동</v>
      </c>
      <c r="D336" s="3" t="s">
        <v>16</v>
      </c>
      <c r="E336" s="2" t="n">
        <v>6853</v>
      </c>
      <c r="F336" s="2" t="n">
        <v>9</v>
      </c>
      <c r="G336" s="4" t="s">
        <v>483</v>
      </c>
    </row>
    <row r="337" customFormat="false" ht="15" hidden="false" customHeight="false" outlineLevel="0" collapsed="false">
      <c r="A337" s="2" t="n">
        <v>336</v>
      </c>
      <c r="B337" s="2" t="n">
        <v>30</v>
      </c>
      <c r="C337" s="3" t="str">
        <f aca="false">INDEX('부작 목록'!$C$2:$C$66,B337)</f>
        <v>농장 이주노동자 강제노동</v>
      </c>
      <c r="D337" s="3" t="s">
        <v>16</v>
      </c>
      <c r="E337" s="2" t="n">
        <v>6865</v>
      </c>
      <c r="F337" s="2" t="n">
        <v>11</v>
      </c>
      <c r="G337" s="4" t="s">
        <v>484</v>
      </c>
    </row>
    <row r="338" customFormat="false" ht="15" hidden="false" customHeight="false" outlineLevel="0" collapsed="false">
      <c r="A338" s="2" t="n">
        <v>337</v>
      </c>
      <c r="B338" s="2" t="n">
        <v>30</v>
      </c>
      <c r="C338" s="3" t="str">
        <f aca="false">INDEX('부작 목록'!$C$2:$C$66,B338)</f>
        <v>농장 이주노동자 강제노동</v>
      </c>
      <c r="D338" s="3" t="s">
        <v>16</v>
      </c>
      <c r="E338" s="2" t="n">
        <v>6878</v>
      </c>
      <c r="F338" s="2" t="n">
        <v>12</v>
      </c>
      <c r="G338" s="4" t="s">
        <v>485</v>
      </c>
    </row>
    <row r="339" customFormat="false" ht="15" hidden="false" customHeight="false" outlineLevel="0" collapsed="false">
      <c r="A339" s="2" t="n">
        <v>338</v>
      </c>
      <c r="B339" s="2" t="n">
        <v>30</v>
      </c>
      <c r="C339" s="3" t="str">
        <f aca="false">INDEX('부작 목록'!$C$2:$C$66,B339)</f>
        <v>농장 이주노동자 강제노동</v>
      </c>
      <c r="D339" s="3" t="s">
        <v>16</v>
      </c>
      <c r="E339" s="2" t="n">
        <v>6893</v>
      </c>
      <c r="F339" s="2" t="n">
        <v>12</v>
      </c>
      <c r="G339" s="4" t="s">
        <v>486</v>
      </c>
    </row>
    <row r="340" customFormat="false" ht="15" hidden="false" customHeight="false" outlineLevel="0" collapsed="false">
      <c r="A340" s="2" t="n">
        <v>339</v>
      </c>
      <c r="B340" s="2" t="n">
        <v>30</v>
      </c>
      <c r="C340" s="3" t="str">
        <f aca="false">INDEX('부작 목록'!$C$2:$C$66,B340)</f>
        <v>농장 이주노동자 강제노동</v>
      </c>
      <c r="D340" s="3" t="s">
        <v>16</v>
      </c>
      <c r="E340" s="2" t="n">
        <v>6908</v>
      </c>
      <c r="F340" s="2" t="n">
        <v>16</v>
      </c>
      <c r="G340" s="4" t="s">
        <v>487</v>
      </c>
    </row>
    <row r="341" customFormat="false" ht="15" hidden="false" customHeight="false" outlineLevel="0" collapsed="false">
      <c r="A341" s="2" t="n">
        <v>340</v>
      </c>
      <c r="B341" s="2" t="n">
        <v>30</v>
      </c>
      <c r="C341" s="3" t="str">
        <f aca="false">INDEX('부작 목록'!$C$2:$C$66,B341)</f>
        <v>농장 이주노동자 강제노동</v>
      </c>
      <c r="D341" s="3" t="s">
        <v>16</v>
      </c>
      <c r="E341" s="2" t="n">
        <v>6927</v>
      </c>
      <c r="F341" s="2" t="n">
        <v>10</v>
      </c>
      <c r="G341" s="4" t="s">
        <v>488</v>
      </c>
    </row>
    <row r="342" customFormat="false" ht="15" hidden="false" customHeight="false" outlineLevel="0" collapsed="false">
      <c r="A342" s="2" t="n">
        <v>341</v>
      </c>
      <c r="B342" s="2" t="n">
        <v>30</v>
      </c>
      <c r="C342" s="3" t="str">
        <f aca="false">INDEX('부작 목록'!$C$2:$C$66,B342)</f>
        <v>농장 이주노동자 강제노동</v>
      </c>
      <c r="D342" s="3" t="s">
        <v>16</v>
      </c>
      <c r="E342" s="2" t="n">
        <v>6939</v>
      </c>
      <c r="F342" s="2" t="n">
        <v>17</v>
      </c>
      <c r="G342" s="4" t="s">
        <v>489</v>
      </c>
    </row>
    <row r="343" customFormat="false" ht="15" hidden="false" customHeight="false" outlineLevel="0" collapsed="false">
      <c r="A343" s="2" t="n">
        <v>342</v>
      </c>
      <c r="B343" s="2" t="n">
        <v>30</v>
      </c>
      <c r="C343" s="3" t="str">
        <f aca="false">INDEX('부작 목록'!$C$2:$C$66,B343)</f>
        <v>농장 이주노동자 강제노동</v>
      </c>
      <c r="D343" s="3" t="s">
        <v>16</v>
      </c>
      <c r="E343" s="2" t="n">
        <v>6959</v>
      </c>
      <c r="F343" s="2" t="n">
        <v>11</v>
      </c>
      <c r="G343" s="4" t="s">
        <v>490</v>
      </c>
    </row>
    <row r="344" customFormat="false" ht="15" hidden="false" customHeight="false" outlineLevel="0" collapsed="false">
      <c r="A344" s="2" t="n">
        <v>343</v>
      </c>
      <c r="B344" s="2" t="n">
        <v>30</v>
      </c>
      <c r="C344" s="3" t="str">
        <f aca="false">INDEX('부작 목록'!$C$2:$C$66,B344)</f>
        <v>농장 이주노동자 강제노동</v>
      </c>
      <c r="D344" s="3" t="s">
        <v>16</v>
      </c>
      <c r="E344" s="2" t="n">
        <v>6973</v>
      </c>
      <c r="F344" s="2" t="n">
        <v>10</v>
      </c>
      <c r="G344" s="4" t="s">
        <v>491</v>
      </c>
    </row>
    <row r="345" customFormat="false" ht="28.35" hidden="false" customHeight="false" outlineLevel="0" collapsed="false">
      <c r="A345" s="2" t="n">
        <v>344</v>
      </c>
      <c r="B345" s="2" t="n">
        <v>31</v>
      </c>
      <c r="C345" s="3" t="str">
        <f aca="false">INDEX('부작 목록'!$C$2:$C$66,B345)</f>
        <v>콜롬비아-스페인 마약 조직 잠입</v>
      </c>
      <c r="D345" s="3" t="s">
        <v>16</v>
      </c>
      <c r="E345" s="2" t="n">
        <v>6985</v>
      </c>
      <c r="F345" s="2" t="n">
        <v>23</v>
      </c>
      <c r="G345" s="4" t="s">
        <v>492</v>
      </c>
    </row>
    <row r="346" customFormat="false" ht="15" hidden="false" customHeight="false" outlineLevel="0" collapsed="false">
      <c r="A346" s="2" t="n">
        <v>345</v>
      </c>
      <c r="B346" s="2" t="n">
        <v>31</v>
      </c>
      <c r="C346" s="3" t="str">
        <f aca="false">INDEX('부작 목록'!$C$2:$C$66,B346)</f>
        <v>콜롬비아-스페인 마약 조직 잠입</v>
      </c>
      <c r="D346" s="3" t="s">
        <v>16</v>
      </c>
      <c r="E346" s="2" t="n">
        <v>7012</v>
      </c>
      <c r="F346" s="2" t="n">
        <v>12</v>
      </c>
      <c r="G346" s="4" t="s">
        <v>493</v>
      </c>
    </row>
    <row r="347" customFormat="false" ht="15" hidden="false" customHeight="false" outlineLevel="0" collapsed="false">
      <c r="A347" s="2" t="n">
        <v>346</v>
      </c>
      <c r="B347" s="2" t="n">
        <v>31</v>
      </c>
      <c r="C347" s="3" t="str">
        <f aca="false">INDEX('부작 목록'!$C$2:$C$66,B347)</f>
        <v>콜롬비아-스페인 마약 조직 잠입</v>
      </c>
      <c r="D347" s="3" t="s">
        <v>16</v>
      </c>
      <c r="E347" s="2" t="n">
        <v>7026</v>
      </c>
      <c r="F347" s="2" t="n">
        <v>14</v>
      </c>
      <c r="G347" s="4" t="s">
        <v>494</v>
      </c>
    </row>
    <row r="348" customFormat="false" ht="15" hidden="false" customHeight="false" outlineLevel="0" collapsed="false">
      <c r="A348" s="2" t="n">
        <v>347</v>
      </c>
      <c r="B348" s="2" t="n">
        <v>31</v>
      </c>
      <c r="C348" s="3" t="str">
        <f aca="false">INDEX('부작 목록'!$C$2:$C$66,B348)</f>
        <v>콜롬비아-스페인 마약 조직 잠입</v>
      </c>
      <c r="D348" s="3" t="s">
        <v>16</v>
      </c>
      <c r="E348" s="2" t="n">
        <v>7043</v>
      </c>
      <c r="F348" s="2" t="n">
        <v>14</v>
      </c>
      <c r="G348" s="4" t="s">
        <v>495</v>
      </c>
    </row>
    <row r="349" customFormat="false" ht="15" hidden="false" customHeight="false" outlineLevel="0" collapsed="false">
      <c r="A349" s="2" t="n">
        <v>348</v>
      </c>
      <c r="B349" s="2" t="n">
        <v>31</v>
      </c>
      <c r="C349" s="3" t="str">
        <f aca="false">INDEX('부작 목록'!$C$2:$C$66,B349)</f>
        <v>콜롬비아-스페인 마약 조직 잠입</v>
      </c>
      <c r="D349" s="3" t="s">
        <v>16</v>
      </c>
      <c r="E349" s="2" t="n">
        <v>7060</v>
      </c>
      <c r="F349" s="2" t="n">
        <v>11</v>
      </c>
      <c r="G349" s="4" t="s">
        <v>496</v>
      </c>
    </row>
    <row r="350" customFormat="false" ht="15" hidden="false" customHeight="false" outlineLevel="0" collapsed="false">
      <c r="A350" s="2" t="n">
        <v>349</v>
      </c>
      <c r="B350" s="2" t="n">
        <v>31</v>
      </c>
      <c r="C350" s="3" t="str">
        <f aca="false">INDEX('부작 목록'!$C$2:$C$66,B350)</f>
        <v>콜롬비아-스페인 마약 조직 잠입</v>
      </c>
      <c r="D350" s="3" t="s">
        <v>16</v>
      </c>
      <c r="E350" s="2" t="n">
        <v>7073</v>
      </c>
      <c r="F350" s="2" t="n">
        <v>12</v>
      </c>
      <c r="G350" s="6" t="s">
        <v>497</v>
      </c>
    </row>
    <row r="351" customFormat="false" ht="15" hidden="false" customHeight="false" outlineLevel="0" collapsed="false">
      <c r="A351" s="2" t="n">
        <v>350</v>
      </c>
      <c r="B351" s="2" t="n">
        <v>31</v>
      </c>
      <c r="C351" s="3" t="str">
        <f aca="false">INDEX('부작 목록'!$C$2:$C$66,B351)</f>
        <v>콜롬비아-스페인 마약 조직 잠입</v>
      </c>
      <c r="D351" s="3" t="s">
        <v>16</v>
      </c>
      <c r="E351" s="2" t="n">
        <v>7088</v>
      </c>
      <c r="F351" s="2" t="n">
        <v>13</v>
      </c>
      <c r="G351" s="4" t="s">
        <v>498</v>
      </c>
    </row>
    <row r="352" customFormat="false" ht="15" hidden="false" customHeight="false" outlineLevel="0" collapsed="false">
      <c r="A352" s="2" t="n">
        <v>351</v>
      </c>
      <c r="B352" s="2" t="n">
        <v>31</v>
      </c>
      <c r="C352" s="3" t="str">
        <f aca="false">INDEX('부작 목록'!$C$2:$C$66,B352)</f>
        <v>콜롬비아-스페인 마약 조직 잠입</v>
      </c>
      <c r="D352" s="3" t="s">
        <v>16</v>
      </c>
      <c r="E352" s="2" t="n">
        <v>7103</v>
      </c>
      <c r="F352" s="2" t="n">
        <v>11</v>
      </c>
      <c r="G352" s="4" t="s">
        <v>499</v>
      </c>
    </row>
    <row r="353" customFormat="false" ht="15" hidden="false" customHeight="false" outlineLevel="0" collapsed="false">
      <c r="A353" s="2" t="n">
        <v>352</v>
      </c>
      <c r="B353" s="2" t="n">
        <v>31</v>
      </c>
      <c r="C353" s="3" t="str">
        <f aca="false">INDEX('부작 목록'!$C$2:$C$66,B353)</f>
        <v>콜롬비아-스페인 마약 조직 잠입</v>
      </c>
      <c r="D353" s="3" t="s">
        <v>16</v>
      </c>
      <c r="E353" s="2" t="n">
        <v>7116</v>
      </c>
      <c r="F353" s="2" t="n">
        <v>12</v>
      </c>
      <c r="G353" s="4" t="s">
        <v>500</v>
      </c>
    </row>
    <row r="354" customFormat="false" ht="15" hidden="false" customHeight="false" outlineLevel="0" collapsed="false">
      <c r="A354" s="2" t="n">
        <v>353</v>
      </c>
      <c r="B354" s="2" t="n">
        <v>31</v>
      </c>
      <c r="C354" s="3" t="str">
        <f aca="false">INDEX('부작 목록'!$C$2:$C$66,B354)</f>
        <v>콜롬비아-스페인 마약 조직 잠입</v>
      </c>
      <c r="D354" s="3" t="s">
        <v>16</v>
      </c>
      <c r="E354" s="2" t="n">
        <v>7131</v>
      </c>
      <c r="F354" s="2" t="n">
        <v>9</v>
      </c>
      <c r="G354" s="4" t="s">
        <v>501</v>
      </c>
    </row>
    <row r="355" customFormat="false" ht="15" hidden="false" customHeight="false" outlineLevel="0" collapsed="false">
      <c r="A355" s="2" t="n">
        <v>354</v>
      </c>
      <c r="B355" s="2" t="n">
        <v>31</v>
      </c>
      <c r="C355" s="3" t="str">
        <f aca="false">INDEX('부작 목록'!$C$2:$C$66,B355)</f>
        <v>콜롬비아-스페인 마약 조직 잠입</v>
      </c>
      <c r="D355" s="3" t="s">
        <v>16</v>
      </c>
      <c r="E355" s="2" t="n">
        <v>7142</v>
      </c>
      <c r="F355" s="2" t="n">
        <v>15</v>
      </c>
      <c r="G355" s="4" t="s">
        <v>502</v>
      </c>
    </row>
    <row r="356" customFormat="false" ht="15" hidden="false" customHeight="false" outlineLevel="0" collapsed="false">
      <c r="A356" s="2" t="n">
        <v>355</v>
      </c>
      <c r="B356" s="2" t="n">
        <v>31</v>
      </c>
      <c r="C356" s="3" t="str">
        <f aca="false">INDEX('부작 목록'!$C$2:$C$66,B356)</f>
        <v>콜롬비아-스페인 마약 조직 잠입</v>
      </c>
      <c r="D356" s="3" t="s">
        <v>16</v>
      </c>
      <c r="E356" s="2" t="n">
        <v>7160</v>
      </c>
      <c r="F356" s="2" t="n">
        <v>13</v>
      </c>
      <c r="G356" s="4" t="s">
        <v>503</v>
      </c>
    </row>
    <row r="357" customFormat="false" ht="15" hidden="false" customHeight="false" outlineLevel="0" collapsed="false">
      <c r="A357" s="2" t="n">
        <v>356</v>
      </c>
      <c r="B357" s="2" t="n">
        <v>31</v>
      </c>
      <c r="C357" s="3" t="str">
        <f aca="false">INDEX('부작 목록'!$C$2:$C$66,B357)</f>
        <v>콜롬비아-스페인 마약 조직 잠입</v>
      </c>
      <c r="D357" s="3" t="s">
        <v>16</v>
      </c>
      <c r="E357" s="2" t="n">
        <v>7176</v>
      </c>
      <c r="F357" s="2" t="n">
        <v>9</v>
      </c>
      <c r="G357" s="4" t="s">
        <v>504</v>
      </c>
    </row>
    <row r="358" customFormat="false" ht="28.35" hidden="false" customHeight="false" outlineLevel="0" collapsed="false">
      <c r="A358" s="2" t="n">
        <v>357</v>
      </c>
      <c r="B358" s="2" t="n">
        <v>31</v>
      </c>
      <c r="C358" s="3" t="str">
        <f aca="false">INDEX('부작 목록'!$C$2:$C$66,B358)</f>
        <v>콜롬비아-스페인 마약 조직 잠입</v>
      </c>
      <c r="D358" s="3" t="s">
        <v>16</v>
      </c>
      <c r="E358" s="2" t="n">
        <v>7187</v>
      </c>
      <c r="F358" s="2" t="n">
        <v>12</v>
      </c>
      <c r="G358" s="4" t="s">
        <v>505</v>
      </c>
    </row>
    <row r="359" customFormat="false" ht="15" hidden="false" customHeight="false" outlineLevel="0" collapsed="false">
      <c r="A359" s="2" t="n">
        <v>358</v>
      </c>
      <c r="B359" s="2" t="n">
        <v>31</v>
      </c>
      <c r="C359" s="3" t="str">
        <f aca="false">INDEX('부작 목록'!$C$2:$C$66,B359)</f>
        <v>콜롬비아-스페인 마약 조직 잠입</v>
      </c>
      <c r="D359" s="3" t="s">
        <v>16</v>
      </c>
      <c r="E359" s="2" t="n">
        <v>7201</v>
      </c>
      <c r="F359" s="2" t="n">
        <v>10</v>
      </c>
      <c r="G359" s="4" t="s">
        <v>506</v>
      </c>
    </row>
    <row r="360" customFormat="false" ht="15" hidden="false" customHeight="false" outlineLevel="0" collapsed="false">
      <c r="A360" s="2" t="n">
        <v>359</v>
      </c>
      <c r="B360" s="2" t="n">
        <v>31</v>
      </c>
      <c r="C360" s="3" t="str">
        <f aca="false">INDEX('부작 목록'!$C$2:$C$66,B360)</f>
        <v>콜롬비아-스페인 마약 조직 잠입</v>
      </c>
      <c r="D360" s="3" t="s">
        <v>16</v>
      </c>
      <c r="E360" s="2" t="n">
        <v>7214</v>
      </c>
      <c r="F360" s="2" t="n">
        <v>8</v>
      </c>
      <c r="G360" s="4" t="s">
        <v>507</v>
      </c>
    </row>
    <row r="361" customFormat="false" ht="15" hidden="false" customHeight="false" outlineLevel="0" collapsed="false">
      <c r="A361" s="2" t="n">
        <v>360</v>
      </c>
      <c r="B361" s="2" t="n">
        <v>31</v>
      </c>
      <c r="C361" s="3" t="str">
        <f aca="false">INDEX('부작 목록'!$C$2:$C$66,B361)</f>
        <v>콜롬비아-스페인 마약 조직 잠입</v>
      </c>
      <c r="D361" s="3" t="s">
        <v>16</v>
      </c>
      <c r="E361" s="2" t="n">
        <v>7224</v>
      </c>
      <c r="F361" s="2" t="n">
        <v>15</v>
      </c>
      <c r="G361" s="4" t="s">
        <v>508</v>
      </c>
    </row>
    <row r="362" customFormat="false" ht="15" hidden="false" customHeight="false" outlineLevel="0" collapsed="false">
      <c r="A362" s="2" t="n">
        <v>361</v>
      </c>
      <c r="B362" s="2" t="n">
        <v>31</v>
      </c>
      <c r="C362" s="3" t="str">
        <f aca="false">INDEX('부작 목록'!$C$2:$C$66,B362)</f>
        <v>콜롬비아-스페인 마약 조직 잠입</v>
      </c>
      <c r="D362" s="3" t="s">
        <v>16</v>
      </c>
      <c r="E362" s="2" t="n">
        <v>7242</v>
      </c>
      <c r="F362" s="2" t="n">
        <v>12</v>
      </c>
      <c r="G362" s="4" t="s">
        <v>509</v>
      </c>
    </row>
    <row r="363" customFormat="false" ht="15" hidden="false" customHeight="false" outlineLevel="0" collapsed="false">
      <c r="A363" s="2" t="n">
        <v>362</v>
      </c>
      <c r="B363" s="2" t="n">
        <v>31</v>
      </c>
      <c r="C363" s="3" t="str">
        <f aca="false">INDEX('부작 목록'!$C$2:$C$66,B363)</f>
        <v>콜롬비아-스페인 마약 조직 잠입</v>
      </c>
      <c r="D363" s="3" t="s">
        <v>16</v>
      </c>
      <c r="E363" s="2" t="n">
        <v>7257</v>
      </c>
      <c r="F363" s="2" t="n">
        <v>12</v>
      </c>
      <c r="G363" s="4" t="s">
        <v>510</v>
      </c>
    </row>
    <row r="364" customFormat="false" ht="15" hidden="false" customHeight="false" outlineLevel="0" collapsed="false">
      <c r="A364" s="2" t="n">
        <v>363</v>
      </c>
      <c r="B364" s="2" t="n">
        <v>31</v>
      </c>
      <c r="C364" s="3" t="str">
        <f aca="false">INDEX('부작 목록'!$C$2:$C$66,B364)</f>
        <v>콜롬비아-스페인 마약 조직 잠입</v>
      </c>
      <c r="D364" s="3" t="s">
        <v>16</v>
      </c>
      <c r="E364" s="2" t="n">
        <v>7271</v>
      </c>
      <c r="F364" s="2" t="n">
        <v>13</v>
      </c>
      <c r="G364" s="4" t="s">
        <v>511</v>
      </c>
    </row>
    <row r="365" customFormat="false" ht="15" hidden="false" customHeight="false" outlineLevel="0" collapsed="false">
      <c r="A365" s="2" t="n">
        <v>364</v>
      </c>
      <c r="B365" s="2" t="n">
        <v>31</v>
      </c>
      <c r="C365" s="3" t="str">
        <f aca="false">INDEX('부작 목록'!$C$2:$C$66,B365)</f>
        <v>콜롬비아-스페인 마약 조직 잠입</v>
      </c>
      <c r="D365" s="3" t="s">
        <v>16</v>
      </c>
      <c r="E365" s="2" t="n">
        <v>7288</v>
      </c>
      <c r="F365" s="2" t="n">
        <v>12</v>
      </c>
      <c r="G365" s="4" t="s">
        <v>512</v>
      </c>
    </row>
    <row r="366" customFormat="false" ht="15" hidden="false" customHeight="false" outlineLevel="0" collapsed="false">
      <c r="A366" s="2" t="n">
        <v>365</v>
      </c>
      <c r="B366" s="2" t="n">
        <v>31</v>
      </c>
      <c r="C366" s="3" t="str">
        <f aca="false">INDEX('부작 목록'!$C$2:$C$66,B366)</f>
        <v>콜롬비아-스페인 마약 조직 잠입</v>
      </c>
      <c r="D366" s="3" t="s">
        <v>16</v>
      </c>
      <c r="E366" s="2" t="n">
        <v>7303</v>
      </c>
      <c r="F366" s="2" t="n">
        <v>11</v>
      </c>
      <c r="G366" s="4" t="s">
        <v>513</v>
      </c>
    </row>
    <row r="367" customFormat="false" ht="15" hidden="false" customHeight="false" outlineLevel="0" collapsed="false">
      <c r="A367" s="2" t="n">
        <v>366</v>
      </c>
      <c r="B367" s="2" t="n">
        <v>31</v>
      </c>
      <c r="C367" s="3" t="str">
        <f aca="false">INDEX('부작 목록'!$C$2:$C$66,B367)</f>
        <v>콜롬비아-스페인 마약 조직 잠입</v>
      </c>
      <c r="D367" s="3" t="s">
        <v>16</v>
      </c>
      <c r="E367" s="2" t="n">
        <v>7316</v>
      </c>
      <c r="F367" s="2" t="n">
        <v>12</v>
      </c>
      <c r="G367" s="4" t="s">
        <v>514</v>
      </c>
    </row>
    <row r="368" customFormat="false" ht="15" hidden="false" customHeight="false" outlineLevel="0" collapsed="false">
      <c r="A368" s="2" t="n">
        <v>367</v>
      </c>
      <c r="B368" s="2" t="n">
        <v>31</v>
      </c>
      <c r="C368" s="3" t="str">
        <f aca="false">INDEX('부작 목록'!$C$2:$C$66,B368)</f>
        <v>콜롬비아-스페인 마약 조직 잠입</v>
      </c>
      <c r="D368" s="3" t="s">
        <v>16</v>
      </c>
      <c r="E368" s="2" t="n">
        <v>7331</v>
      </c>
      <c r="F368" s="2" t="n">
        <v>9</v>
      </c>
      <c r="G368" s="4" t="s">
        <v>515</v>
      </c>
    </row>
    <row r="369" customFormat="false" ht="15" hidden="false" customHeight="false" outlineLevel="0" collapsed="false">
      <c r="A369" s="2" t="n">
        <v>368</v>
      </c>
      <c r="B369" s="2" t="n">
        <v>31</v>
      </c>
      <c r="C369" s="3" t="str">
        <f aca="false">INDEX('부작 목록'!$C$2:$C$66,B369)</f>
        <v>콜롬비아-스페인 마약 조직 잠입</v>
      </c>
      <c r="D369" s="3" t="s">
        <v>16</v>
      </c>
      <c r="E369" s="2" t="n">
        <v>7342</v>
      </c>
      <c r="F369" s="2" t="n">
        <v>11</v>
      </c>
      <c r="G369" s="4" t="s">
        <v>516</v>
      </c>
    </row>
    <row r="370" customFormat="false" ht="15" hidden="false" customHeight="false" outlineLevel="0" collapsed="false">
      <c r="A370" s="2" t="n">
        <v>369</v>
      </c>
      <c r="B370" s="2" t="n">
        <v>31</v>
      </c>
      <c r="C370" s="3" t="str">
        <f aca="false">INDEX('부작 목록'!$C$2:$C$66,B370)</f>
        <v>콜롬비아-스페인 마약 조직 잠입</v>
      </c>
      <c r="D370" s="3" t="s">
        <v>16</v>
      </c>
      <c r="E370" s="2" t="n">
        <v>7356</v>
      </c>
      <c r="F370" s="2" t="n">
        <v>8</v>
      </c>
      <c r="G370" s="4" t="s">
        <v>517</v>
      </c>
    </row>
    <row r="371" customFormat="false" ht="15" hidden="false" customHeight="false" outlineLevel="0" collapsed="false">
      <c r="A371" s="2" t="n">
        <v>370</v>
      </c>
      <c r="B371" s="2" t="n">
        <v>31</v>
      </c>
      <c r="C371" s="3" t="str">
        <f aca="false">INDEX('부작 목록'!$C$2:$C$66,B371)</f>
        <v>콜롬비아-스페인 마약 조직 잠입</v>
      </c>
      <c r="D371" s="3" t="s">
        <v>16</v>
      </c>
      <c r="E371" s="2" t="n">
        <v>7366</v>
      </c>
      <c r="F371" s="2" t="n">
        <v>12</v>
      </c>
      <c r="G371" s="4" t="s">
        <v>518</v>
      </c>
    </row>
    <row r="372" customFormat="false" ht="15" hidden="false" customHeight="false" outlineLevel="0" collapsed="false">
      <c r="A372" s="2" t="n">
        <v>371</v>
      </c>
      <c r="B372" s="2" t="n">
        <v>31</v>
      </c>
      <c r="C372" s="3" t="str">
        <f aca="false">INDEX('부작 목록'!$C$2:$C$66,B372)</f>
        <v>콜롬비아-스페인 마약 조직 잠입</v>
      </c>
      <c r="D372" s="3" t="s">
        <v>16</v>
      </c>
      <c r="E372" s="2" t="n">
        <v>7380</v>
      </c>
      <c r="F372" s="2" t="n">
        <v>16</v>
      </c>
      <c r="G372" s="4" t="s">
        <v>519</v>
      </c>
    </row>
    <row r="373" customFormat="false" ht="15" hidden="false" customHeight="false" outlineLevel="0" collapsed="false">
      <c r="A373" s="2" t="n">
        <v>372</v>
      </c>
      <c r="B373" s="2" t="n">
        <v>31</v>
      </c>
      <c r="C373" s="3" t="str">
        <f aca="false">INDEX('부작 목록'!$C$2:$C$66,B373)</f>
        <v>콜롬비아-스페인 마약 조직 잠입</v>
      </c>
      <c r="D373" s="3" t="s">
        <v>16</v>
      </c>
      <c r="E373" s="2" t="n">
        <v>7399</v>
      </c>
      <c r="F373" s="2" t="n">
        <v>11</v>
      </c>
      <c r="G373" s="4" t="s">
        <v>520</v>
      </c>
    </row>
    <row r="374" customFormat="false" ht="15" hidden="false" customHeight="false" outlineLevel="0" collapsed="false">
      <c r="A374" s="2" t="n">
        <v>373</v>
      </c>
      <c r="B374" s="2" t="n">
        <v>31</v>
      </c>
      <c r="C374" s="3" t="str">
        <f aca="false">INDEX('부작 목록'!$C$2:$C$66,B374)</f>
        <v>콜롬비아-스페인 마약 조직 잠입</v>
      </c>
      <c r="D374" s="3" t="s">
        <v>16</v>
      </c>
      <c r="E374" s="2" t="n">
        <v>7412</v>
      </c>
      <c r="F374" s="2" t="n">
        <v>12</v>
      </c>
      <c r="G374" s="4" t="s">
        <v>521</v>
      </c>
    </row>
    <row r="375" customFormat="false" ht="15" hidden="false" customHeight="false" outlineLevel="0" collapsed="false">
      <c r="A375" s="2" t="n">
        <v>374</v>
      </c>
      <c r="B375" s="2" t="n">
        <v>31</v>
      </c>
      <c r="C375" s="3" t="str">
        <f aca="false">INDEX('부작 목록'!$C$2:$C$66,B375)</f>
        <v>콜롬비아-스페인 마약 조직 잠입</v>
      </c>
      <c r="D375" s="3" t="s">
        <v>16</v>
      </c>
      <c r="E375" s="2" t="n">
        <v>7426</v>
      </c>
      <c r="F375" s="2" t="n">
        <v>10</v>
      </c>
      <c r="G375" s="4" t="s">
        <v>490</v>
      </c>
    </row>
    <row r="376" customFormat="false" ht="15" hidden="false" customHeight="false" outlineLevel="0" collapsed="false">
      <c r="A376" s="2" t="n">
        <v>375</v>
      </c>
      <c r="B376" s="2" t="n">
        <v>31</v>
      </c>
      <c r="C376" s="3" t="str">
        <f aca="false">INDEX('부작 목록'!$C$2:$C$66,B376)</f>
        <v>콜롬비아-스페인 마약 조직 잠입</v>
      </c>
      <c r="D376" s="3" t="s">
        <v>16</v>
      </c>
      <c r="E376" s="2" t="n">
        <v>7439</v>
      </c>
      <c r="F376" s="2" t="n">
        <v>15</v>
      </c>
      <c r="G376" s="4" t="s">
        <v>522</v>
      </c>
    </row>
    <row r="377" customFormat="false" ht="28.35" hidden="false" customHeight="false" outlineLevel="0" collapsed="false">
      <c r="A377" s="2" t="n">
        <v>376</v>
      </c>
      <c r="B377" s="2" t="n">
        <v>32</v>
      </c>
      <c r="C377" s="3" t="str">
        <f aca="false">INDEX('부작 목록'!$C$2:$C$66,B377)</f>
        <v>EU 브뤼셀 로비 네트워크</v>
      </c>
      <c r="D377" s="3" t="s">
        <v>77</v>
      </c>
      <c r="E377" s="2" t="n">
        <v>7457</v>
      </c>
      <c r="F377" s="2" t="n">
        <v>23</v>
      </c>
      <c r="G377" s="4" t="s">
        <v>523</v>
      </c>
    </row>
    <row r="378" customFormat="false" ht="15" hidden="false" customHeight="false" outlineLevel="0" collapsed="false">
      <c r="A378" s="2" t="n">
        <v>377</v>
      </c>
      <c r="B378" s="2" t="n">
        <v>32</v>
      </c>
      <c r="C378" s="3" t="str">
        <f aca="false">INDEX('부작 목록'!$C$2:$C$66,B378)</f>
        <v>EU 브뤼셀 로비 네트워크</v>
      </c>
      <c r="D378" s="3" t="s">
        <v>77</v>
      </c>
      <c r="E378" s="2" t="n">
        <v>7483</v>
      </c>
      <c r="F378" s="2" t="n">
        <v>20</v>
      </c>
      <c r="G378" s="4" t="s">
        <v>524</v>
      </c>
    </row>
    <row r="379" customFormat="false" ht="28.35" hidden="false" customHeight="false" outlineLevel="0" collapsed="false">
      <c r="A379" s="2" t="n">
        <v>378</v>
      </c>
      <c r="B379" s="2" t="n">
        <v>32</v>
      </c>
      <c r="C379" s="3" t="str">
        <f aca="false">INDEX('부작 목록'!$C$2:$C$66,B379)</f>
        <v>EU 브뤼셀 로비 네트워크</v>
      </c>
      <c r="D379" s="3" t="s">
        <v>77</v>
      </c>
      <c r="E379" s="2" t="n">
        <v>7506</v>
      </c>
      <c r="F379" s="2" t="n">
        <v>15</v>
      </c>
      <c r="G379" s="4" t="s">
        <v>525</v>
      </c>
    </row>
    <row r="380" customFormat="false" ht="15" hidden="false" customHeight="false" outlineLevel="0" collapsed="false">
      <c r="A380" s="2" t="n">
        <v>379</v>
      </c>
      <c r="B380" s="2" t="n">
        <v>32</v>
      </c>
      <c r="C380" s="3" t="str">
        <f aca="false">INDEX('부작 목록'!$C$2:$C$66,B380)</f>
        <v>EU 브뤼셀 로비 네트워크</v>
      </c>
      <c r="D380" s="3" t="s">
        <v>77</v>
      </c>
      <c r="E380" s="2" t="n">
        <v>7524</v>
      </c>
      <c r="F380" s="2" t="n">
        <v>12</v>
      </c>
      <c r="G380" s="4" t="s">
        <v>526</v>
      </c>
    </row>
    <row r="381" customFormat="false" ht="15" hidden="false" customHeight="false" outlineLevel="0" collapsed="false">
      <c r="A381" s="2" t="n">
        <v>380</v>
      </c>
      <c r="B381" s="2" t="n">
        <v>32</v>
      </c>
      <c r="C381" s="3" t="str">
        <f aca="false">INDEX('부작 목록'!$C$2:$C$66,B381)</f>
        <v>EU 브뤼셀 로비 네트워크</v>
      </c>
      <c r="D381" s="3" t="s">
        <v>77</v>
      </c>
      <c r="E381" s="2" t="n">
        <v>7539</v>
      </c>
      <c r="F381" s="2" t="n">
        <v>17</v>
      </c>
      <c r="G381" s="4" t="s">
        <v>527</v>
      </c>
    </row>
    <row r="382" customFormat="false" ht="15" hidden="false" customHeight="false" outlineLevel="0" collapsed="false">
      <c r="A382" s="2" t="n">
        <v>381</v>
      </c>
      <c r="B382" s="2" t="n">
        <v>32</v>
      </c>
      <c r="C382" s="3" t="str">
        <f aca="false">INDEX('부작 목록'!$C$2:$C$66,B382)</f>
        <v>EU 브뤼셀 로비 네트워크</v>
      </c>
      <c r="D382" s="3" t="s">
        <v>77</v>
      </c>
      <c r="E382" s="2" t="n">
        <v>7559</v>
      </c>
      <c r="F382" s="2" t="n">
        <v>19</v>
      </c>
      <c r="G382" s="4" t="s">
        <v>528</v>
      </c>
    </row>
    <row r="383" customFormat="false" ht="15" hidden="false" customHeight="false" outlineLevel="0" collapsed="false">
      <c r="A383" s="2" t="n">
        <v>382</v>
      </c>
      <c r="B383" s="2" t="n">
        <v>32</v>
      </c>
      <c r="C383" s="3" t="str">
        <f aca="false">INDEX('부작 목록'!$C$2:$C$66,B383)</f>
        <v>EU 브뤼셀 로비 네트워크</v>
      </c>
      <c r="D383" s="3" t="s">
        <v>77</v>
      </c>
      <c r="E383" s="2" t="n">
        <v>7581</v>
      </c>
      <c r="F383" s="2" t="n">
        <v>16</v>
      </c>
      <c r="G383" s="4" t="s">
        <v>529</v>
      </c>
    </row>
    <row r="384" customFormat="false" ht="15" hidden="false" customHeight="false" outlineLevel="0" collapsed="false">
      <c r="A384" s="2" t="n">
        <v>383</v>
      </c>
      <c r="B384" s="2" t="n">
        <v>32</v>
      </c>
      <c r="C384" s="3" t="str">
        <f aca="false">INDEX('부작 목록'!$C$2:$C$66,B384)</f>
        <v>EU 브뤼셀 로비 네트워크</v>
      </c>
      <c r="D384" s="3" t="s">
        <v>77</v>
      </c>
      <c r="E384" s="2" t="n">
        <v>7599</v>
      </c>
      <c r="F384" s="2" t="n">
        <v>16</v>
      </c>
      <c r="G384" s="4" t="s">
        <v>530</v>
      </c>
    </row>
    <row r="385" customFormat="false" ht="15" hidden="false" customHeight="false" outlineLevel="0" collapsed="false">
      <c r="A385" s="2" t="n">
        <v>384</v>
      </c>
      <c r="B385" s="2" t="n">
        <v>32</v>
      </c>
      <c r="C385" s="3" t="str">
        <f aca="false">INDEX('부작 목록'!$C$2:$C$66,B385)</f>
        <v>EU 브뤼셀 로비 네트워크</v>
      </c>
      <c r="D385" s="3" t="s">
        <v>77</v>
      </c>
      <c r="E385" s="2" t="n">
        <v>7618</v>
      </c>
      <c r="F385" s="2" t="n">
        <v>16</v>
      </c>
      <c r="G385" s="4" t="s">
        <v>531</v>
      </c>
    </row>
    <row r="386" customFormat="false" ht="15" hidden="false" customHeight="false" outlineLevel="0" collapsed="false">
      <c r="A386" s="2" t="n">
        <v>385</v>
      </c>
      <c r="B386" s="2" t="n">
        <v>32</v>
      </c>
      <c r="C386" s="3" t="str">
        <f aca="false">INDEX('부작 목록'!$C$2:$C$66,B386)</f>
        <v>EU 브뤼셀 로비 네트워크</v>
      </c>
      <c r="D386" s="3" t="s">
        <v>77</v>
      </c>
      <c r="E386" s="2" t="n">
        <v>7637</v>
      </c>
      <c r="F386" s="2" t="n">
        <v>15</v>
      </c>
      <c r="G386" s="4" t="s">
        <v>532</v>
      </c>
    </row>
    <row r="387" customFormat="false" ht="15" hidden="false" customHeight="false" outlineLevel="0" collapsed="false">
      <c r="A387" s="2" t="n">
        <v>386</v>
      </c>
      <c r="B387" s="2" t="n">
        <v>32</v>
      </c>
      <c r="C387" s="3" t="str">
        <f aca="false">INDEX('부작 목록'!$C$2:$C$66,B387)</f>
        <v>EU 브뤼셀 로비 네트워크</v>
      </c>
      <c r="D387" s="3" t="s">
        <v>77</v>
      </c>
      <c r="E387" s="2" t="n">
        <v>7655</v>
      </c>
      <c r="F387" s="2" t="n">
        <v>14</v>
      </c>
      <c r="G387" s="4" t="s">
        <v>533</v>
      </c>
    </row>
    <row r="388" customFormat="false" ht="15" hidden="false" customHeight="false" outlineLevel="0" collapsed="false">
      <c r="A388" s="2" t="n">
        <v>387</v>
      </c>
      <c r="B388" s="2" t="n">
        <v>32</v>
      </c>
      <c r="C388" s="3" t="str">
        <f aca="false">INDEX('부작 목록'!$C$2:$C$66,B388)</f>
        <v>EU 브뤼셀 로비 네트워크</v>
      </c>
      <c r="D388" s="3" t="s">
        <v>77</v>
      </c>
      <c r="E388" s="2" t="n">
        <v>7672</v>
      </c>
      <c r="F388" s="2" t="n">
        <v>18</v>
      </c>
      <c r="G388" s="4" t="s">
        <v>534</v>
      </c>
    </row>
    <row r="389" customFormat="false" ht="15" hidden="false" customHeight="false" outlineLevel="0" collapsed="false">
      <c r="A389" s="2" t="n">
        <v>388</v>
      </c>
      <c r="B389" s="2" t="n">
        <v>32</v>
      </c>
      <c r="C389" s="3" t="str">
        <f aca="false">INDEX('부작 목록'!$C$2:$C$66,B389)</f>
        <v>EU 브뤼셀 로비 네트워크</v>
      </c>
      <c r="D389" s="3" t="s">
        <v>77</v>
      </c>
      <c r="E389" s="2" t="n">
        <v>7693</v>
      </c>
      <c r="F389" s="2" t="n">
        <v>14</v>
      </c>
      <c r="G389" s="4" t="s">
        <v>535</v>
      </c>
    </row>
    <row r="390" customFormat="false" ht="15" hidden="false" customHeight="false" outlineLevel="0" collapsed="false">
      <c r="A390" s="2" t="n">
        <v>389</v>
      </c>
      <c r="B390" s="2" t="n">
        <v>32</v>
      </c>
      <c r="C390" s="3" t="str">
        <f aca="false">INDEX('부작 목록'!$C$2:$C$66,B390)</f>
        <v>EU 브뤼셀 로비 네트워크</v>
      </c>
      <c r="D390" s="3" t="s">
        <v>77</v>
      </c>
      <c r="E390" s="2" t="n">
        <v>7710</v>
      </c>
      <c r="F390" s="2" t="n">
        <v>13</v>
      </c>
      <c r="G390" s="4" t="s">
        <v>536</v>
      </c>
    </row>
    <row r="391" customFormat="false" ht="15" hidden="false" customHeight="false" outlineLevel="0" collapsed="false">
      <c r="A391" s="2" t="n">
        <v>390</v>
      </c>
      <c r="B391" s="2" t="n">
        <v>32</v>
      </c>
      <c r="C391" s="3" t="str">
        <f aca="false">INDEX('부작 목록'!$C$2:$C$66,B391)</f>
        <v>EU 브뤼셀 로비 네트워크</v>
      </c>
      <c r="D391" s="3" t="s">
        <v>77</v>
      </c>
      <c r="E391" s="2" t="n">
        <v>7725</v>
      </c>
      <c r="F391" s="2" t="n">
        <v>11</v>
      </c>
      <c r="G391" s="4" t="s">
        <v>537</v>
      </c>
    </row>
    <row r="392" customFormat="false" ht="15" hidden="false" customHeight="false" outlineLevel="0" collapsed="false">
      <c r="A392" s="2" t="n">
        <v>391</v>
      </c>
      <c r="B392" s="2" t="n">
        <v>32</v>
      </c>
      <c r="C392" s="3" t="str">
        <f aca="false">INDEX('부작 목록'!$C$2:$C$66,B392)</f>
        <v>EU 브뤼셀 로비 네트워크</v>
      </c>
      <c r="D392" s="3" t="s">
        <v>77</v>
      </c>
      <c r="E392" s="2" t="n">
        <v>7739</v>
      </c>
      <c r="F392" s="2" t="n">
        <v>12</v>
      </c>
      <c r="G392" s="4" t="s">
        <v>538</v>
      </c>
    </row>
    <row r="393" customFormat="false" ht="15" hidden="false" customHeight="false" outlineLevel="0" collapsed="false">
      <c r="A393" s="2" t="n">
        <v>392</v>
      </c>
      <c r="B393" s="2" t="n">
        <v>32</v>
      </c>
      <c r="C393" s="3" t="str">
        <f aca="false">INDEX('부작 목록'!$C$2:$C$66,B393)</f>
        <v>EU 브뤼셀 로비 네트워크</v>
      </c>
      <c r="D393" s="3" t="s">
        <v>77</v>
      </c>
      <c r="E393" s="2" t="n">
        <v>7754</v>
      </c>
      <c r="F393" s="2" t="n">
        <v>11</v>
      </c>
      <c r="G393" s="4" t="s">
        <v>539</v>
      </c>
    </row>
    <row r="394" customFormat="false" ht="15" hidden="false" customHeight="false" outlineLevel="0" collapsed="false">
      <c r="A394" s="2" t="n">
        <v>393</v>
      </c>
      <c r="B394" s="2" t="n">
        <v>32</v>
      </c>
      <c r="C394" s="3" t="str">
        <f aca="false">INDEX('부작 목록'!$C$2:$C$66,B394)</f>
        <v>EU 브뤼셀 로비 네트워크</v>
      </c>
      <c r="D394" s="3" t="s">
        <v>77</v>
      </c>
      <c r="E394" s="2" t="n">
        <v>7767</v>
      </c>
      <c r="F394" s="2" t="n">
        <v>14</v>
      </c>
      <c r="G394" s="4" t="s">
        <v>540</v>
      </c>
    </row>
    <row r="395" customFormat="false" ht="28.35" hidden="false" customHeight="false" outlineLevel="0" collapsed="false">
      <c r="A395" s="2" t="n">
        <v>394</v>
      </c>
      <c r="B395" s="2" t="n">
        <v>32</v>
      </c>
      <c r="C395" s="3" t="str">
        <f aca="false">INDEX('부작 목록'!$C$2:$C$66,B395)</f>
        <v>EU 브뤼셀 로비 네트워크</v>
      </c>
      <c r="D395" s="3" t="s">
        <v>77</v>
      </c>
      <c r="E395" s="2" t="n">
        <v>7784</v>
      </c>
      <c r="F395" s="2" t="n">
        <v>14</v>
      </c>
      <c r="G395" s="4" t="s">
        <v>541</v>
      </c>
    </row>
    <row r="396" customFormat="false" ht="15" hidden="false" customHeight="false" outlineLevel="0" collapsed="false">
      <c r="A396" s="2" t="n">
        <v>395</v>
      </c>
      <c r="B396" s="2" t="n">
        <v>32</v>
      </c>
      <c r="C396" s="3" t="str">
        <f aca="false">INDEX('부작 목록'!$C$2:$C$66,B396)</f>
        <v>EU 브뤼셀 로비 네트워크</v>
      </c>
      <c r="D396" s="3" t="s">
        <v>77</v>
      </c>
      <c r="E396" s="2" t="n">
        <v>7801</v>
      </c>
      <c r="F396" s="2" t="n">
        <v>12</v>
      </c>
      <c r="G396" s="4" t="s">
        <v>542</v>
      </c>
    </row>
    <row r="397" customFormat="false" ht="15" hidden="false" customHeight="false" outlineLevel="0" collapsed="false">
      <c r="A397" s="2" t="n">
        <v>396</v>
      </c>
      <c r="B397" s="2" t="n">
        <v>32</v>
      </c>
      <c r="C397" s="3" t="str">
        <f aca="false">INDEX('부작 목록'!$C$2:$C$66,B397)</f>
        <v>EU 브뤼셀 로비 네트워크</v>
      </c>
      <c r="D397" s="3" t="s">
        <v>77</v>
      </c>
      <c r="E397" s="2" t="n">
        <v>7816</v>
      </c>
      <c r="F397" s="2" t="n">
        <v>11</v>
      </c>
      <c r="G397" s="4" t="s">
        <v>543</v>
      </c>
    </row>
    <row r="398" customFormat="false" ht="15" hidden="false" customHeight="false" outlineLevel="0" collapsed="false">
      <c r="A398" s="2" t="n">
        <v>397</v>
      </c>
      <c r="B398" s="2" t="n">
        <v>32</v>
      </c>
      <c r="C398" s="3" t="str">
        <f aca="false">INDEX('부작 목록'!$C$2:$C$66,B398)</f>
        <v>EU 브뤼셀 로비 네트워크</v>
      </c>
      <c r="D398" s="3" t="s">
        <v>77</v>
      </c>
      <c r="E398" s="2" t="n">
        <v>7829</v>
      </c>
      <c r="F398" s="2" t="n">
        <v>14</v>
      </c>
      <c r="G398" s="4" t="s">
        <v>544</v>
      </c>
    </row>
    <row r="399" customFormat="false" ht="15" hidden="false" customHeight="false" outlineLevel="0" collapsed="false">
      <c r="A399" s="2" t="n">
        <v>398</v>
      </c>
      <c r="B399" s="2" t="n">
        <v>32</v>
      </c>
      <c r="C399" s="3" t="str">
        <f aca="false">INDEX('부작 목록'!$C$2:$C$66,B399)</f>
        <v>EU 브뤼셀 로비 네트워크</v>
      </c>
      <c r="D399" s="3" t="s">
        <v>77</v>
      </c>
      <c r="E399" s="2" t="n">
        <v>7846</v>
      </c>
      <c r="F399" s="2" t="n">
        <v>11</v>
      </c>
      <c r="G399" s="4" t="s">
        <v>490</v>
      </c>
    </row>
    <row r="400" customFormat="false" ht="15" hidden="false" customHeight="false" outlineLevel="0" collapsed="false">
      <c r="A400" s="2" t="n">
        <v>399</v>
      </c>
      <c r="B400" s="2" t="n">
        <v>32</v>
      </c>
      <c r="C400" s="3" t="str">
        <f aca="false">INDEX('부작 목록'!$C$2:$C$66,B400)</f>
        <v>EU 브뤼셀 로비 네트워크</v>
      </c>
      <c r="D400" s="3" t="s">
        <v>77</v>
      </c>
      <c r="E400" s="2" t="n">
        <v>7860</v>
      </c>
      <c r="F400" s="2" t="n">
        <v>11</v>
      </c>
      <c r="G400" s="4" t="s">
        <v>545</v>
      </c>
    </row>
    <row r="401" customFormat="false" ht="15" hidden="false" customHeight="false" outlineLevel="0" collapsed="false">
      <c r="A401" s="2" t="n">
        <v>400</v>
      </c>
      <c r="B401" s="2" t="n">
        <v>32</v>
      </c>
      <c r="C401" s="3" t="str">
        <f aca="false">INDEX('부작 목록'!$C$2:$C$66,B401)</f>
        <v>EU 브뤼셀 로비 네트워크</v>
      </c>
      <c r="D401" s="3" t="s">
        <v>77</v>
      </c>
      <c r="E401" s="2" t="n">
        <v>7873</v>
      </c>
      <c r="F401" s="2" t="n">
        <v>13</v>
      </c>
      <c r="G401" s="4" t="s">
        <v>546</v>
      </c>
    </row>
    <row r="402" customFormat="false" ht="28.35" hidden="false" customHeight="false" outlineLevel="0" collapsed="false">
      <c r="A402" s="2" t="n">
        <v>401</v>
      </c>
      <c r="B402" s="2" t="n">
        <v>32</v>
      </c>
      <c r="C402" s="3" t="str">
        <f aca="false">INDEX('부작 목록'!$C$2:$C$66,B402)</f>
        <v>EU 브뤼셀 로비 네트워크</v>
      </c>
      <c r="D402" s="3" t="s">
        <v>77</v>
      </c>
      <c r="E402" s="2" t="n">
        <v>7889</v>
      </c>
      <c r="F402" s="2" t="n">
        <v>20</v>
      </c>
      <c r="G402" s="4" t="s">
        <v>547</v>
      </c>
    </row>
    <row r="403" customFormat="false" ht="15" hidden="false" customHeight="false" outlineLevel="0" collapsed="false">
      <c r="A403" s="2" t="n">
        <v>402</v>
      </c>
      <c r="B403" s="2" t="n">
        <v>32</v>
      </c>
      <c r="C403" s="3" t="str">
        <f aca="false">INDEX('부작 목록'!$C$2:$C$66,B403)</f>
        <v>EU 브뤼셀 로비 네트워크</v>
      </c>
      <c r="D403" s="3" t="s">
        <v>77</v>
      </c>
      <c r="E403" s="2" t="n">
        <v>7912</v>
      </c>
      <c r="F403" s="2" t="n">
        <v>11</v>
      </c>
      <c r="G403" s="4" t="s">
        <v>548</v>
      </c>
    </row>
    <row r="404" customFormat="false" ht="15" hidden="false" customHeight="false" outlineLevel="0" collapsed="false">
      <c r="A404" s="2" t="n">
        <v>403</v>
      </c>
      <c r="B404" s="2" t="n">
        <v>32</v>
      </c>
      <c r="C404" s="3" t="str">
        <f aca="false">INDEX('부작 목록'!$C$2:$C$66,B404)</f>
        <v>EU 브뤼셀 로비 네트워크</v>
      </c>
      <c r="D404" s="3" t="s">
        <v>77</v>
      </c>
      <c r="E404" s="2" t="n">
        <v>7926</v>
      </c>
      <c r="F404" s="2" t="n">
        <v>13</v>
      </c>
      <c r="G404" s="4" t="s">
        <v>549</v>
      </c>
    </row>
    <row r="405" customFormat="false" ht="15" hidden="false" customHeight="false" outlineLevel="0" collapsed="false">
      <c r="A405" s="2" t="n">
        <v>404</v>
      </c>
      <c r="B405" s="2" t="n">
        <v>32</v>
      </c>
      <c r="C405" s="3" t="str">
        <f aca="false">INDEX('부작 목록'!$C$2:$C$66,B405)</f>
        <v>EU 브뤼셀 로비 네트워크</v>
      </c>
      <c r="D405" s="3" t="s">
        <v>77</v>
      </c>
      <c r="E405" s="2" t="n">
        <v>7942</v>
      </c>
      <c r="F405" s="2" t="n">
        <v>13</v>
      </c>
      <c r="G405" s="4" t="s">
        <v>550</v>
      </c>
    </row>
    <row r="406" customFormat="false" ht="15" hidden="false" customHeight="false" outlineLevel="0" collapsed="false">
      <c r="A406" s="2" t="n">
        <v>405</v>
      </c>
      <c r="B406" s="2" t="n">
        <v>32</v>
      </c>
      <c r="C406" s="3" t="str">
        <f aca="false">INDEX('부작 목록'!$C$2:$C$66,B406)</f>
        <v>EU 브뤼셀 로비 네트워크</v>
      </c>
      <c r="D406" s="3" t="s">
        <v>77</v>
      </c>
      <c r="E406" s="2" t="n">
        <v>7957</v>
      </c>
      <c r="F406" s="2" t="n">
        <v>14</v>
      </c>
      <c r="G406" s="4" t="s">
        <v>551</v>
      </c>
    </row>
    <row r="407" customFormat="false" ht="15" hidden="false" customHeight="false" outlineLevel="0" collapsed="false">
      <c r="A407" s="2" t="n">
        <v>406</v>
      </c>
      <c r="B407" s="2" t="n">
        <v>32</v>
      </c>
      <c r="C407" s="3" t="str">
        <f aca="false">INDEX('부작 목록'!$C$2:$C$66,B407)</f>
        <v>EU 브뤼셀 로비 네트워크</v>
      </c>
      <c r="D407" s="3" t="s">
        <v>77</v>
      </c>
      <c r="E407" s="2" t="n">
        <v>7974</v>
      </c>
      <c r="F407" s="2" t="n">
        <v>15</v>
      </c>
      <c r="G407" s="4" t="s">
        <v>552</v>
      </c>
    </row>
    <row r="408" customFormat="false" ht="28.35" hidden="false" customHeight="false" outlineLevel="0" collapsed="false">
      <c r="A408" s="2" t="n">
        <v>407</v>
      </c>
      <c r="B408" s="2" t="n">
        <v>32</v>
      </c>
      <c r="C408" s="3" t="str">
        <f aca="false">INDEX('부작 목록'!$C$2:$C$66,B408)</f>
        <v>EU 브뤼셀 로비 네트워크</v>
      </c>
      <c r="D408" s="3" t="s">
        <v>77</v>
      </c>
      <c r="E408" s="2" t="n">
        <v>7992</v>
      </c>
      <c r="F408" s="2" t="n">
        <v>15</v>
      </c>
      <c r="G408" s="4" t="s">
        <v>553</v>
      </c>
    </row>
    <row r="409" customFormat="false" ht="28.35" hidden="false" customHeight="false" outlineLevel="0" collapsed="false">
      <c r="A409" s="2" t="n">
        <v>408</v>
      </c>
      <c r="B409" s="2" t="n">
        <v>32</v>
      </c>
      <c r="C409" s="3" t="str">
        <f aca="false">INDEX('부작 목록'!$C$2:$C$66,B409)</f>
        <v>EU 브뤼셀 로비 네트워크</v>
      </c>
      <c r="D409" s="3" t="s">
        <v>77</v>
      </c>
      <c r="E409" s="2" t="n">
        <v>8010</v>
      </c>
      <c r="F409" s="2" t="n">
        <v>14</v>
      </c>
      <c r="G409" s="4" t="s">
        <v>554</v>
      </c>
    </row>
    <row r="410" customFormat="false" ht="15" hidden="false" customHeight="false" outlineLevel="0" collapsed="false">
      <c r="A410" s="2" t="n">
        <v>409</v>
      </c>
      <c r="B410" s="2" t="n">
        <v>32</v>
      </c>
      <c r="C410" s="3" t="str">
        <f aca="false">INDEX('부작 목록'!$C$2:$C$66,B410)</f>
        <v>EU 브뤼셀 로비 네트워크</v>
      </c>
      <c r="D410" s="3" t="s">
        <v>77</v>
      </c>
      <c r="E410" s="2" t="n">
        <v>8027</v>
      </c>
      <c r="F410" s="2" t="n">
        <v>14</v>
      </c>
      <c r="G410" s="4" t="s">
        <v>555</v>
      </c>
    </row>
    <row r="411" customFormat="false" ht="15" hidden="false" customHeight="false" outlineLevel="0" collapsed="false">
      <c r="A411" s="2" t="n">
        <v>410</v>
      </c>
      <c r="B411" s="2" t="n">
        <v>32</v>
      </c>
      <c r="C411" s="3" t="str">
        <f aca="false">INDEX('부작 목록'!$C$2:$C$66,B411)</f>
        <v>EU 브뤼셀 로비 네트워크</v>
      </c>
      <c r="D411" s="3" t="s">
        <v>77</v>
      </c>
      <c r="E411" s="2" t="n">
        <v>8043</v>
      </c>
      <c r="F411" s="2" t="n">
        <v>17</v>
      </c>
      <c r="G411" s="4" t="s">
        <v>556</v>
      </c>
    </row>
    <row r="412" customFormat="false" ht="15" hidden="false" customHeight="false" outlineLevel="0" collapsed="false">
      <c r="A412" s="2" t="n">
        <v>411</v>
      </c>
      <c r="B412" s="2" t="n">
        <v>32</v>
      </c>
      <c r="C412" s="3" t="str">
        <f aca="false">INDEX('부작 목록'!$C$2:$C$66,B412)</f>
        <v>EU 브뤼셀 로비 네트워크</v>
      </c>
      <c r="D412" s="3" t="s">
        <v>77</v>
      </c>
      <c r="E412" s="2" t="n">
        <v>8063</v>
      </c>
      <c r="F412" s="2" t="n">
        <v>15</v>
      </c>
      <c r="G412" s="4" t="s">
        <v>557</v>
      </c>
    </row>
    <row r="413" customFormat="false" ht="28.35" hidden="false" customHeight="false" outlineLevel="0" collapsed="false">
      <c r="A413" s="2" t="n">
        <v>412</v>
      </c>
      <c r="B413" s="2" t="n">
        <v>32</v>
      </c>
      <c r="C413" s="3" t="str">
        <f aca="false">INDEX('부작 목록'!$C$2:$C$66,B413)</f>
        <v>EU 브뤼셀 로비 네트워크</v>
      </c>
      <c r="D413" s="3" t="s">
        <v>77</v>
      </c>
      <c r="E413" s="2" t="n">
        <v>8081</v>
      </c>
      <c r="F413" s="2" t="n">
        <v>16</v>
      </c>
      <c r="G413" s="4" t="s">
        <v>558</v>
      </c>
    </row>
    <row r="414" customFormat="false" ht="15" hidden="false" customHeight="false" outlineLevel="0" collapsed="false">
      <c r="A414" s="2" t="n">
        <v>413</v>
      </c>
      <c r="B414" s="2" t="n">
        <v>32</v>
      </c>
      <c r="C414" s="3" t="str">
        <f aca="false">INDEX('부작 목록'!$C$2:$C$66,B414)</f>
        <v>EU 브뤼셀 로비 네트워크</v>
      </c>
      <c r="D414" s="3" t="s">
        <v>77</v>
      </c>
      <c r="E414" s="2" t="n">
        <v>8100</v>
      </c>
      <c r="F414" s="2" t="n">
        <v>19</v>
      </c>
      <c r="G414" s="4" t="s">
        <v>559</v>
      </c>
    </row>
    <row r="415" customFormat="false" ht="15" hidden="false" customHeight="false" outlineLevel="0" collapsed="false">
      <c r="A415" s="2" t="n">
        <v>414</v>
      </c>
      <c r="B415" s="2" t="n">
        <v>32</v>
      </c>
      <c r="C415" s="3" t="str">
        <f aca="false">INDEX('부작 목록'!$C$2:$C$66,B415)</f>
        <v>EU 브뤼셀 로비 네트워크</v>
      </c>
      <c r="D415" s="3" t="s">
        <v>77</v>
      </c>
      <c r="E415" s="2" t="n">
        <v>8122</v>
      </c>
      <c r="F415" s="2" t="n">
        <v>19</v>
      </c>
      <c r="G415" s="4" t="s">
        <v>560</v>
      </c>
    </row>
    <row r="416" customFormat="false" ht="15" hidden="false" customHeight="false" outlineLevel="0" collapsed="false">
      <c r="A416" s="2" t="n">
        <v>415</v>
      </c>
      <c r="B416" s="2" t="n">
        <v>32</v>
      </c>
      <c r="C416" s="3" t="str">
        <f aca="false">INDEX('부작 목록'!$C$2:$C$66,B416)</f>
        <v>EU 브뤼셀 로비 네트워크</v>
      </c>
      <c r="D416" s="3" t="s">
        <v>77</v>
      </c>
      <c r="E416" s="2" t="n">
        <v>8144</v>
      </c>
      <c r="F416" s="2" t="n">
        <v>14</v>
      </c>
      <c r="G416" s="4" t="s">
        <v>561</v>
      </c>
    </row>
    <row r="417" customFormat="false" ht="15" hidden="false" customHeight="false" outlineLevel="0" collapsed="false">
      <c r="A417" s="2" t="n">
        <v>416</v>
      </c>
      <c r="B417" s="2" t="n">
        <v>32</v>
      </c>
      <c r="C417" s="3" t="str">
        <f aca="false">INDEX('부작 목록'!$C$2:$C$66,B417)</f>
        <v>EU 브뤼셀 로비 네트워크</v>
      </c>
      <c r="D417" s="3" t="s">
        <v>77</v>
      </c>
      <c r="E417" s="2" t="n">
        <v>8161</v>
      </c>
      <c r="F417" s="2" t="n">
        <v>13</v>
      </c>
      <c r="G417" s="4" t="s">
        <v>562</v>
      </c>
    </row>
    <row r="418" customFormat="false" ht="15" hidden="false" customHeight="false" outlineLevel="0" collapsed="false">
      <c r="A418" s="2" t="n">
        <v>417</v>
      </c>
      <c r="B418" s="2" t="n">
        <v>32</v>
      </c>
      <c r="C418" s="3" t="str">
        <f aca="false">INDEX('부작 목록'!$C$2:$C$66,B418)</f>
        <v>EU 브뤼셀 로비 네트워크</v>
      </c>
      <c r="D418" s="3" t="s">
        <v>77</v>
      </c>
      <c r="E418" s="2" t="n">
        <v>8177</v>
      </c>
      <c r="F418" s="2" t="n">
        <v>12</v>
      </c>
      <c r="G418" s="4" t="s">
        <v>563</v>
      </c>
    </row>
    <row r="419" customFormat="false" ht="15" hidden="false" customHeight="false" outlineLevel="0" collapsed="false">
      <c r="A419" s="2" t="n">
        <v>418</v>
      </c>
      <c r="B419" s="2" t="n">
        <v>32</v>
      </c>
      <c r="C419" s="3" t="str">
        <f aca="false">INDEX('부작 목록'!$C$2:$C$66,B419)</f>
        <v>EU 브뤼셀 로비 네트워크</v>
      </c>
      <c r="D419" s="3" t="s">
        <v>77</v>
      </c>
      <c r="E419" s="2" t="n">
        <v>8191</v>
      </c>
      <c r="F419" s="2" t="n">
        <v>10</v>
      </c>
      <c r="G419" s="4" t="s">
        <v>564</v>
      </c>
    </row>
    <row r="420" customFormat="false" ht="15" hidden="false" customHeight="false" outlineLevel="0" collapsed="false">
      <c r="A420" s="2" t="n">
        <v>419</v>
      </c>
      <c r="B420" s="2" t="n">
        <v>32</v>
      </c>
      <c r="C420" s="3" t="str">
        <f aca="false">INDEX('부작 목록'!$C$2:$C$66,B420)</f>
        <v>EU 브뤼셀 로비 네트워크</v>
      </c>
      <c r="D420" s="3" t="s">
        <v>77</v>
      </c>
      <c r="E420" s="2" t="n">
        <v>8204</v>
      </c>
      <c r="F420" s="2" t="n">
        <v>11</v>
      </c>
      <c r="G420" s="4" t="s">
        <v>565</v>
      </c>
    </row>
    <row r="421" customFormat="false" ht="15" hidden="false" customHeight="false" outlineLevel="0" collapsed="false">
      <c r="A421" s="2" t="n">
        <v>420</v>
      </c>
      <c r="B421" s="2" t="n">
        <v>32</v>
      </c>
      <c r="C421" s="3" t="str">
        <f aca="false">INDEX('부작 목록'!$C$2:$C$66,B421)</f>
        <v>EU 브뤼셀 로비 네트워크</v>
      </c>
      <c r="D421" s="3" t="s">
        <v>77</v>
      </c>
      <c r="E421" s="2" t="n">
        <v>8218</v>
      </c>
      <c r="F421" s="2" t="n">
        <v>11</v>
      </c>
      <c r="G421" s="4" t="s">
        <v>566</v>
      </c>
    </row>
    <row r="422" customFormat="false" ht="15" hidden="false" customHeight="false" outlineLevel="0" collapsed="false">
      <c r="A422" s="2" t="n">
        <v>421</v>
      </c>
      <c r="B422" s="2" t="n">
        <v>32</v>
      </c>
      <c r="C422" s="3" t="str">
        <f aca="false">INDEX('부작 목록'!$C$2:$C$66,B422)</f>
        <v>EU 브뤼셀 로비 네트워크</v>
      </c>
      <c r="D422" s="3" t="s">
        <v>77</v>
      </c>
      <c r="E422" s="2" t="n">
        <v>8231</v>
      </c>
      <c r="F422" s="2" t="n">
        <v>13</v>
      </c>
      <c r="G422" s="4" t="s">
        <v>567</v>
      </c>
    </row>
    <row r="423" customFormat="false" ht="15" hidden="false" customHeight="false" outlineLevel="0" collapsed="false">
      <c r="A423" s="2" t="n">
        <v>422</v>
      </c>
      <c r="B423" s="2" t="n">
        <v>32</v>
      </c>
      <c r="C423" s="3" t="str">
        <f aca="false">INDEX('부작 목록'!$C$2:$C$66,B423)</f>
        <v>EU 브뤼셀 로비 네트워크</v>
      </c>
      <c r="D423" s="3" t="s">
        <v>77</v>
      </c>
      <c r="E423" s="2" t="n">
        <v>8247</v>
      </c>
      <c r="F423" s="2" t="n">
        <v>18</v>
      </c>
      <c r="G423" s="4" t="s">
        <v>568</v>
      </c>
    </row>
    <row r="424" customFormat="false" ht="15" hidden="false" customHeight="false" outlineLevel="0" collapsed="false">
      <c r="A424" s="2" t="n">
        <v>423</v>
      </c>
      <c r="B424" s="2" t="n">
        <v>32</v>
      </c>
      <c r="C424" s="3" t="str">
        <f aca="false">INDEX('부작 목록'!$C$2:$C$66,B424)</f>
        <v>EU 브뤼셀 로비 네트워크</v>
      </c>
      <c r="D424" s="3" t="s">
        <v>77</v>
      </c>
      <c r="E424" s="2" t="n">
        <v>8268</v>
      </c>
      <c r="F424" s="2" t="n">
        <v>11</v>
      </c>
      <c r="G424" s="4" t="s">
        <v>569</v>
      </c>
    </row>
    <row r="425" customFormat="false" ht="15" hidden="false" customHeight="false" outlineLevel="0" collapsed="false">
      <c r="A425" s="2" t="n">
        <v>424</v>
      </c>
      <c r="B425" s="2" t="n">
        <v>32</v>
      </c>
      <c r="C425" s="3" t="str">
        <f aca="false">INDEX('부작 목록'!$C$2:$C$66,B425)</f>
        <v>EU 브뤼셀 로비 네트워크</v>
      </c>
      <c r="D425" s="3" t="s">
        <v>77</v>
      </c>
      <c r="E425" s="2" t="n">
        <v>8282</v>
      </c>
      <c r="F425" s="2" t="n">
        <v>12</v>
      </c>
      <c r="G425" s="4" t="s">
        <v>570</v>
      </c>
    </row>
    <row r="426" customFormat="false" ht="15" hidden="false" customHeight="false" outlineLevel="0" collapsed="false">
      <c r="A426" s="2" t="n">
        <v>425</v>
      </c>
      <c r="B426" s="2" t="n">
        <v>32</v>
      </c>
      <c r="C426" s="3" t="str">
        <f aca="false">INDEX('부작 목록'!$C$2:$C$66,B426)</f>
        <v>EU 브뤼셀 로비 네트워크</v>
      </c>
      <c r="D426" s="3" t="s">
        <v>77</v>
      </c>
      <c r="E426" s="2" t="n">
        <v>8296</v>
      </c>
      <c r="F426" s="2" t="n">
        <v>9</v>
      </c>
      <c r="G426" s="4" t="s">
        <v>571</v>
      </c>
    </row>
    <row r="427" customFormat="false" ht="15" hidden="false" customHeight="false" outlineLevel="0" collapsed="false">
      <c r="A427" s="2" t="n">
        <v>426</v>
      </c>
      <c r="B427" s="2" t="n">
        <v>32</v>
      </c>
      <c r="C427" s="3" t="str">
        <f aca="false">INDEX('부작 목록'!$C$2:$C$66,B427)</f>
        <v>EU 브뤼셀 로비 네트워크</v>
      </c>
      <c r="D427" s="3" t="s">
        <v>77</v>
      </c>
      <c r="E427" s="2" t="n">
        <v>8308</v>
      </c>
      <c r="F427" s="2" t="n">
        <v>10</v>
      </c>
      <c r="G427" s="4" t="s">
        <v>572</v>
      </c>
    </row>
    <row r="428" customFormat="false" ht="15" hidden="false" customHeight="false" outlineLevel="0" collapsed="false">
      <c r="A428" s="2" t="n">
        <v>427</v>
      </c>
      <c r="B428" s="2" t="n">
        <v>32</v>
      </c>
      <c r="C428" s="3" t="str">
        <f aca="false">INDEX('부작 목록'!$C$2:$C$66,B428)</f>
        <v>EU 브뤼셀 로비 네트워크</v>
      </c>
      <c r="D428" s="3" t="s">
        <v>77</v>
      </c>
      <c r="E428" s="2" t="n">
        <v>8320</v>
      </c>
      <c r="F428" s="2" t="n">
        <v>10</v>
      </c>
      <c r="G428" s="4" t="s">
        <v>573</v>
      </c>
    </row>
    <row r="429" customFormat="false" ht="15" hidden="false" customHeight="false" outlineLevel="0" collapsed="false">
      <c r="A429" s="2" t="n">
        <v>428</v>
      </c>
      <c r="B429" s="2" t="n">
        <v>32</v>
      </c>
      <c r="C429" s="3" t="str">
        <f aca="false">INDEX('부작 목록'!$C$2:$C$66,B429)</f>
        <v>EU 브뤼셀 로비 네트워크</v>
      </c>
      <c r="D429" s="3" t="s">
        <v>77</v>
      </c>
      <c r="E429" s="2" t="n">
        <v>8332</v>
      </c>
      <c r="F429" s="2" t="n">
        <v>11</v>
      </c>
      <c r="G429" s="4" t="s">
        <v>574</v>
      </c>
    </row>
    <row r="430" customFormat="false" ht="15" hidden="false" customHeight="false" outlineLevel="0" collapsed="false">
      <c r="A430" s="2" t="n">
        <v>429</v>
      </c>
      <c r="B430" s="2" t="n">
        <v>32</v>
      </c>
      <c r="C430" s="3" t="str">
        <f aca="false">INDEX('부작 목록'!$C$2:$C$66,B430)</f>
        <v>EU 브뤼셀 로비 네트워크</v>
      </c>
      <c r="D430" s="3" t="s">
        <v>77</v>
      </c>
      <c r="E430" s="2" t="n">
        <v>8346</v>
      </c>
      <c r="F430" s="2" t="n">
        <v>14</v>
      </c>
      <c r="G430" s="4" t="s">
        <v>575</v>
      </c>
    </row>
    <row r="431" customFormat="false" ht="15" hidden="false" customHeight="false" outlineLevel="0" collapsed="false">
      <c r="A431" s="2" t="n">
        <v>430</v>
      </c>
      <c r="B431" s="2" t="n">
        <v>32</v>
      </c>
      <c r="C431" s="3" t="str">
        <f aca="false">INDEX('부작 목록'!$C$2:$C$66,B431)</f>
        <v>EU 브뤼셀 로비 네트워크</v>
      </c>
      <c r="D431" s="3" t="s">
        <v>77</v>
      </c>
      <c r="E431" s="2" t="n">
        <v>8362</v>
      </c>
      <c r="F431" s="2" t="n">
        <v>11</v>
      </c>
      <c r="G431" s="4" t="s">
        <v>576</v>
      </c>
    </row>
    <row r="432" customFormat="false" ht="15" hidden="false" customHeight="false" outlineLevel="0" collapsed="false">
      <c r="A432" s="2" t="n">
        <v>431</v>
      </c>
      <c r="B432" s="2" t="n">
        <v>32</v>
      </c>
      <c r="C432" s="3" t="str">
        <f aca="false">INDEX('부작 목록'!$C$2:$C$66,B432)</f>
        <v>EU 브뤼셀 로비 네트워크</v>
      </c>
      <c r="D432" s="3" t="s">
        <v>77</v>
      </c>
      <c r="E432" s="2" t="n">
        <v>8376</v>
      </c>
      <c r="F432" s="2" t="n">
        <v>13</v>
      </c>
      <c r="G432" s="4" t="s">
        <v>577</v>
      </c>
    </row>
    <row r="433" customFormat="false" ht="15" hidden="false" customHeight="false" outlineLevel="0" collapsed="false">
      <c r="A433" s="2" t="n">
        <v>432</v>
      </c>
      <c r="B433" s="2" t="n">
        <v>32</v>
      </c>
      <c r="C433" s="3" t="str">
        <f aca="false">INDEX('부작 목록'!$C$2:$C$66,B433)</f>
        <v>EU 브뤼셀 로비 네트워크</v>
      </c>
      <c r="D433" s="3" t="s">
        <v>77</v>
      </c>
      <c r="E433" s="2" t="n">
        <v>8392</v>
      </c>
      <c r="F433" s="2" t="n">
        <v>11</v>
      </c>
      <c r="G433" s="4" t="s">
        <v>578</v>
      </c>
    </row>
    <row r="434" customFormat="false" ht="15" hidden="false" customHeight="false" outlineLevel="0" collapsed="false">
      <c r="A434" s="2" t="n">
        <v>433</v>
      </c>
      <c r="B434" s="2" t="n">
        <v>32</v>
      </c>
      <c r="C434" s="3" t="str">
        <f aca="false">INDEX('부작 목록'!$C$2:$C$66,B434)</f>
        <v>EU 브뤼셀 로비 네트워크</v>
      </c>
      <c r="D434" s="3" t="s">
        <v>77</v>
      </c>
      <c r="E434" s="2" t="n">
        <v>8405</v>
      </c>
      <c r="F434" s="2" t="n">
        <v>11</v>
      </c>
      <c r="G434" s="4" t="s">
        <v>579</v>
      </c>
    </row>
    <row r="435" customFormat="false" ht="15" hidden="false" customHeight="false" outlineLevel="0" collapsed="false">
      <c r="A435" s="2" t="n">
        <v>434</v>
      </c>
      <c r="B435" s="2" t="n">
        <v>32</v>
      </c>
      <c r="C435" s="3" t="str">
        <f aca="false">INDEX('부작 목록'!$C$2:$C$66,B435)</f>
        <v>EU 브뤼셀 로비 네트워크</v>
      </c>
      <c r="D435" s="3" t="s">
        <v>77</v>
      </c>
      <c r="E435" s="2" t="n">
        <v>8418</v>
      </c>
      <c r="F435" s="2" t="n">
        <v>11</v>
      </c>
      <c r="G435" s="4" t="s">
        <v>580</v>
      </c>
    </row>
    <row r="436" customFormat="false" ht="15" hidden="false" customHeight="false" outlineLevel="0" collapsed="false">
      <c r="A436" s="2" t="n">
        <v>435</v>
      </c>
      <c r="B436" s="2" t="n">
        <v>32</v>
      </c>
      <c r="C436" s="3" t="str">
        <f aca="false">INDEX('부작 목록'!$C$2:$C$66,B436)</f>
        <v>EU 브뤼셀 로비 네트워크</v>
      </c>
      <c r="D436" s="3" t="s">
        <v>77</v>
      </c>
      <c r="E436" s="2" t="n">
        <v>8432</v>
      </c>
      <c r="F436" s="2" t="n">
        <v>11</v>
      </c>
      <c r="G436" s="4" t="s">
        <v>581</v>
      </c>
    </row>
    <row r="437" customFormat="false" ht="15" hidden="false" customHeight="false" outlineLevel="0" collapsed="false">
      <c r="A437" s="2" t="n">
        <v>436</v>
      </c>
      <c r="B437" s="2" t="n">
        <v>32</v>
      </c>
      <c r="C437" s="3" t="str">
        <f aca="false">INDEX('부작 목록'!$C$2:$C$66,B437)</f>
        <v>EU 브뤼셀 로비 네트워크</v>
      </c>
      <c r="D437" s="3" t="s">
        <v>77</v>
      </c>
      <c r="E437" s="2" t="n">
        <v>8445</v>
      </c>
      <c r="F437" s="2" t="n">
        <v>11</v>
      </c>
      <c r="G437" s="4" t="s">
        <v>582</v>
      </c>
    </row>
    <row r="438" customFormat="false" ht="15" hidden="false" customHeight="false" outlineLevel="0" collapsed="false">
      <c r="A438" s="2" t="n">
        <v>437</v>
      </c>
      <c r="B438" s="2" t="n">
        <v>32</v>
      </c>
      <c r="C438" s="3" t="str">
        <f aca="false">INDEX('부작 목록'!$C$2:$C$66,B438)</f>
        <v>EU 브뤼셀 로비 네트워크</v>
      </c>
      <c r="D438" s="3" t="s">
        <v>77</v>
      </c>
      <c r="E438" s="2" t="n">
        <v>8459</v>
      </c>
      <c r="F438" s="2" t="n">
        <v>12</v>
      </c>
      <c r="G438" s="4" t="s">
        <v>583</v>
      </c>
    </row>
    <row r="439" customFormat="false" ht="15" hidden="false" customHeight="false" outlineLevel="0" collapsed="false">
      <c r="A439" s="2" t="n">
        <v>438</v>
      </c>
      <c r="B439" s="2" t="n">
        <v>32</v>
      </c>
      <c r="C439" s="3" t="str">
        <f aca="false">INDEX('부작 목록'!$C$2:$C$66,B439)</f>
        <v>EU 브뤼셀 로비 네트워크</v>
      </c>
      <c r="D439" s="3" t="s">
        <v>77</v>
      </c>
      <c r="E439" s="2" t="n">
        <v>8474</v>
      </c>
      <c r="F439" s="2" t="n">
        <v>11</v>
      </c>
      <c r="G439" s="4" t="s">
        <v>584</v>
      </c>
    </row>
    <row r="440" customFormat="false" ht="15" hidden="false" customHeight="false" outlineLevel="0" collapsed="false">
      <c r="A440" s="2" t="n">
        <v>439</v>
      </c>
      <c r="B440" s="2" t="n">
        <v>32</v>
      </c>
      <c r="C440" s="3" t="str">
        <f aca="false">INDEX('부작 목록'!$C$2:$C$66,B440)</f>
        <v>EU 브뤼셀 로비 네트워크</v>
      </c>
      <c r="D440" s="3" t="s">
        <v>77</v>
      </c>
      <c r="E440" s="2" t="n">
        <v>8487</v>
      </c>
      <c r="F440" s="2" t="n">
        <v>20</v>
      </c>
      <c r="G440" s="4" t="s">
        <v>585</v>
      </c>
    </row>
    <row r="441" customFormat="false" ht="15" hidden="false" customHeight="false" outlineLevel="0" collapsed="false">
      <c r="A441" s="2" t="n">
        <v>440</v>
      </c>
      <c r="B441" s="2" t="n">
        <v>32</v>
      </c>
      <c r="C441" s="3" t="str">
        <f aca="false">INDEX('부작 목록'!$C$2:$C$66,B441)</f>
        <v>EU 브뤼셀 로비 네트워크</v>
      </c>
      <c r="D441" s="3" t="s">
        <v>77</v>
      </c>
      <c r="E441" s="2" t="n">
        <v>8510</v>
      </c>
      <c r="F441" s="2" t="n">
        <v>13</v>
      </c>
      <c r="G441" s="4" t="s">
        <v>586</v>
      </c>
    </row>
    <row r="442" customFormat="false" ht="15" hidden="false" customHeight="false" outlineLevel="0" collapsed="false">
      <c r="A442" s="2" t="n">
        <v>441</v>
      </c>
      <c r="B442" s="2" t="n">
        <v>32</v>
      </c>
      <c r="C442" s="3" t="str">
        <f aca="false">INDEX('부작 목록'!$C$2:$C$66,B442)</f>
        <v>EU 브뤼셀 로비 네트워크</v>
      </c>
      <c r="D442" s="3" t="s">
        <v>77</v>
      </c>
      <c r="E442" s="2" t="n">
        <v>8526</v>
      </c>
      <c r="F442" s="2" t="n">
        <v>12</v>
      </c>
      <c r="G442" s="4" t="s">
        <v>587</v>
      </c>
    </row>
    <row r="443" customFormat="false" ht="15" hidden="false" customHeight="false" outlineLevel="0" collapsed="false">
      <c r="A443" s="2" t="n">
        <v>442</v>
      </c>
      <c r="B443" s="2" t="n">
        <v>32</v>
      </c>
      <c r="C443" s="3" t="str">
        <f aca="false">INDEX('부작 목록'!$C$2:$C$66,B443)</f>
        <v>EU 브뤼셀 로비 네트워크</v>
      </c>
      <c r="D443" s="3" t="s">
        <v>77</v>
      </c>
      <c r="E443" s="2" t="n">
        <v>8541</v>
      </c>
      <c r="F443" s="2" t="n">
        <v>16</v>
      </c>
      <c r="G443" s="4" t="s">
        <v>588</v>
      </c>
    </row>
    <row r="444" customFormat="false" ht="15" hidden="false" customHeight="false" outlineLevel="0" collapsed="false">
      <c r="A444" s="2" t="n">
        <v>443</v>
      </c>
      <c r="B444" s="2" t="n">
        <v>32</v>
      </c>
      <c r="C444" s="3" t="str">
        <f aca="false">INDEX('부작 목록'!$C$2:$C$66,B444)</f>
        <v>EU 브뤼셀 로비 네트워크</v>
      </c>
      <c r="D444" s="3" t="s">
        <v>77</v>
      </c>
      <c r="E444" s="2" t="n">
        <v>8560</v>
      </c>
      <c r="F444" s="2" t="n">
        <v>10</v>
      </c>
      <c r="G444" s="4" t="s">
        <v>589</v>
      </c>
    </row>
    <row r="445" customFormat="false" ht="15" hidden="false" customHeight="false" outlineLevel="0" collapsed="false">
      <c r="A445" s="2" t="n">
        <v>444</v>
      </c>
      <c r="B445" s="2" t="n">
        <v>32</v>
      </c>
      <c r="C445" s="3" t="str">
        <f aca="false">INDEX('부작 목록'!$C$2:$C$66,B445)</f>
        <v>EU 브뤼셀 로비 네트워크</v>
      </c>
      <c r="D445" s="3" t="s">
        <v>77</v>
      </c>
      <c r="E445" s="2" t="n">
        <v>8572</v>
      </c>
      <c r="F445" s="2" t="n">
        <v>17</v>
      </c>
      <c r="G445" s="4" t="s">
        <v>590</v>
      </c>
    </row>
    <row r="446" customFormat="false" ht="15" hidden="false" customHeight="false" outlineLevel="0" collapsed="false">
      <c r="A446" s="2" t="n">
        <v>445</v>
      </c>
      <c r="B446" s="2" t="n">
        <v>32</v>
      </c>
      <c r="C446" s="3" t="str">
        <f aca="false">INDEX('부작 목록'!$C$2:$C$66,B446)</f>
        <v>EU 브뤼셀 로비 네트워크</v>
      </c>
      <c r="D446" s="3" t="s">
        <v>77</v>
      </c>
      <c r="E446" s="2" t="n">
        <v>8592</v>
      </c>
      <c r="F446" s="2" t="n">
        <v>13</v>
      </c>
      <c r="G446" s="4" t="s">
        <v>591</v>
      </c>
    </row>
    <row r="447" customFormat="false" ht="15" hidden="false" customHeight="false" outlineLevel="0" collapsed="false">
      <c r="A447" s="2" t="n">
        <v>446</v>
      </c>
      <c r="B447" s="2" t="n">
        <v>32</v>
      </c>
      <c r="C447" s="3" t="str">
        <f aca="false">INDEX('부작 목록'!$C$2:$C$66,B447)</f>
        <v>EU 브뤼셀 로비 네트워크</v>
      </c>
      <c r="D447" s="3" t="s">
        <v>77</v>
      </c>
      <c r="E447" s="2" t="n">
        <v>8608</v>
      </c>
      <c r="F447" s="2" t="n">
        <v>12</v>
      </c>
      <c r="G447" s="4" t="s">
        <v>592</v>
      </c>
    </row>
    <row r="448" customFormat="false" ht="15" hidden="false" customHeight="false" outlineLevel="0" collapsed="false">
      <c r="A448" s="2" t="n">
        <v>447</v>
      </c>
      <c r="B448" s="2" t="n">
        <v>32</v>
      </c>
      <c r="C448" s="3" t="str">
        <f aca="false">INDEX('부작 목록'!$C$2:$C$66,B448)</f>
        <v>EU 브뤼셀 로비 네트워크</v>
      </c>
      <c r="D448" s="3" t="s">
        <v>77</v>
      </c>
      <c r="E448" s="2" t="n">
        <v>8623</v>
      </c>
      <c r="F448" s="2" t="n">
        <v>12</v>
      </c>
      <c r="G448" s="4" t="s">
        <v>593</v>
      </c>
    </row>
    <row r="449" customFormat="false" ht="15" hidden="false" customHeight="false" outlineLevel="0" collapsed="false">
      <c r="A449" s="2" t="n">
        <v>448</v>
      </c>
      <c r="B449" s="2" t="n">
        <v>32</v>
      </c>
      <c r="C449" s="3" t="str">
        <f aca="false">INDEX('부작 목록'!$C$2:$C$66,B449)</f>
        <v>EU 브뤼셀 로비 네트워크</v>
      </c>
      <c r="D449" s="3" t="s">
        <v>77</v>
      </c>
      <c r="E449" s="2" t="n">
        <v>8637</v>
      </c>
      <c r="F449" s="2" t="n">
        <v>12</v>
      </c>
      <c r="G449" s="4" t="s">
        <v>594</v>
      </c>
    </row>
    <row r="450" customFormat="false" ht="15" hidden="false" customHeight="false" outlineLevel="0" collapsed="false">
      <c r="A450" s="2" t="n">
        <v>449</v>
      </c>
      <c r="B450" s="2" t="n">
        <v>32</v>
      </c>
      <c r="C450" s="3" t="str">
        <f aca="false">INDEX('부작 목록'!$C$2:$C$66,B450)</f>
        <v>EU 브뤼셀 로비 네트워크</v>
      </c>
      <c r="D450" s="3" t="s">
        <v>77</v>
      </c>
      <c r="E450" s="2" t="n">
        <v>8652</v>
      </c>
      <c r="F450" s="2" t="n">
        <v>10</v>
      </c>
      <c r="G450" s="4" t="s">
        <v>595</v>
      </c>
    </row>
    <row r="451" customFormat="false" ht="15" hidden="false" customHeight="false" outlineLevel="0" collapsed="false">
      <c r="A451" s="2" t="n">
        <v>450</v>
      </c>
      <c r="B451" s="2" t="n">
        <v>32</v>
      </c>
      <c r="C451" s="3" t="str">
        <f aca="false">INDEX('부작 목록'!$C$2:$C$66,B451)</f>
        <v>EU 브뤼셀 로비 네트워크</v>
      </c>
      <c r="D451" s="3" t="s">
        <v>77</v>
      </c>
      <c r="E451" s="2" t="n">
        <v>8665</v>
      </c>
      <c r="F451" s="2" t="n">
        <v>12</v>
      </c>
      <c r="G451" s="4" t="s">
        <v>596</v>
      </c>
    </row>
    <row r="452" customFormat="false" ht="15" hidden="false" customHeight="false" outlineLevel="0" collapsed="false">
      <c r="A452" s="2" t="n">
        <v>451</v>
      </c>
      <c r="B452" s="2" t="n">
        <v>32</v>
      </c>
      <c r="C452" s="3" t="str">
        <f aca="false">INDEX('부작 목록'!$C$2:$C$66,B452)</f>
        <v>EU 브뤼셀 로비 네트워크</v>
      </c>
      <c r="D452" s="3" t="s">
        <v>77</v>
      </c>
      <c r="E452" s="2" t="n">
        <v>8679</v>
      </c>
      <c r="F452" s="2" t="n">
        <v>13</v>
      </c>
      <c r="G452" s="4" t="s">
        <v>597</v>
      </c>
    </row>
    <row r="453" customFormat="false" ht="15" hidden="false" customHeight="false" outlineLevel="0" collapsed="false">
      <c r="A453" s="2" t="n">
        <v>452</v>
      </c>
      <c r="B453" s="2" t="n">
        <v>32</v>
      </c>
      <c r="C453" s="3" t="str">
        <f aca="false">INDEX('부작 목록'!$C$2:$C$66,B453)</f>
        <v>EU 브뤼셀 로비 네트워크</v>
      </c>
      <c r="D453" s="3" t="s">
        <v>77</v>
      </c>
      <c r="E453" s="2" t="n">
        <v>8695</v>
      </c>
      <c r="F453" s="2" t="n">
        <v>12</v>
      </c>
      <c r="G453" s="4" t="s">
        <v>598</v>
      </c>
    </row>
    <row r="454" customFormat="false" ht="15" hidden="false" customHeight="false" outlineLevel="0" collapsed="false">
      <c r="A454" s="2" t="n">
        <v>453</v>
      </c>
      <c r="B454" s="2" t="n">
        <v>32</v>
      </c>
      <c r="C454" s="3" t="str">
        <f aca="false">INDEX('부작 목록'!$C$2:$C$66,B454)</f>
        <v>EU 브뤼셀 로비 네트워크</v>
      </c>
      <c r="D454" s="3" t="s">
        <v>77</v>
      </c>
      <c r="E454" s="2" t="n">
        <v>8710</v>
      </c>
      <c r="F454" s="2" t="n">
        <v>8</v>
      </c>
      <c r="G454" s="4" t="s">
        <v>599</v>
      </c>
    </row>
    <row r="455" customFormat="false" ht="15" hidden="false" customHeight="false" outlineLevel="0" collapsed="false">
      <c r="A455" s="2" t="n">
        <v>454</v>
      </c>
      <c r="B455" s="2" t="n">
        <v>32</v>
      </c>
      <c r="C455" s="3" t="str">
        <f aca="false">INDEX('부작 목록'!$C$2:$C$66,B455)</f>
        <v>EU 브뤼셀 로비 네트워크</v>
      </c>
      <c r="D455" s="3" t="s">
        <v>77</v>
      </c>
      <c r="E455" s="2" t="n">
        <v>8720</v>
      </c>
      <c r="F455" s="2" t="n">
        <v>13</v>
      </c>
      <c r="G455" s="4" t="s">
        <v>600</v>
      </c>
    </row>
    <row r="456" customFormat="false" ht="15" hidden="false" customHeight="false" outlineLevel="0" collapsed="false">
      <c r="A456" s="2" t="n">
        <v>455</v>
      </c>
      <c r="B456" s="2" t="n">
        <v>32</v>
      </c>
      <c r="C456" s="3" t="str">
        <f aca="false">INDEX('부작 목록'!$C$2:$C$66,B456)</f>
        <v>EU 브뤼셀 로비 네트워크</v>
      </c>
      <c r="D456" s="3" t="s">
        <v>77</v>
      </c>
      <c r="E456" s="2" t="n">
        <v>8736</v>
      </c>
      <c r="F456" s="2" t="n">
        <v>13</v>
      </c>
      <c r="G456" s="4" t="s">
        <v>601</v>
      </c>
    </row>
    <row r="457" customFormat="false" ht="15" hidden="false" customHeight="false" outlineLevel="0" collapsed="false">
      <c r="A457" s="2" t="n">
        <v>456</v>
      </c>
      <c r="B457" s="2" t="n">
        <v>32</v>
      </c>
      <c r="C457" s="3" t="str">
        <f aca="false">INDEX('부작 목록'!$C$2:$C$66,B457)</f>
        <v>EU 브뤼셀 로비 네트워크</v>
      </c>
      <c r="D457" s="3" t="s">
        <v>77</v>
      </c>
      <c r="E457" s="2" t="n">
        <v>8752</v>
      </c>
      <c r="F457" s="2" t="n">
        <v>13</v>
      </c>
      <c r="G457" s="4" t="s">
        <v>602</v>
      </c>
    </row>
    <row r="458" customFormat="false" ht="15" hidden="false" customHeight="false" outlineLevel="0" collapsed="false">
      <c r="A458" s="2" t="n">
        <v>457</v>
      </c>
      <c r="B458" s="2" t="n">
        <v>32</v>
      </c>
      <c r="C458" s="3" t="str">
        <f aca="false">INDEX('부작 목록'!$C$2:$C$66,B458)</f>
        <v>EU 브뤼셀 로비 네트워크</v>
      </c>
      <c r="D458" s="3" t="s">
        <v>77</v>
      </c>
      <c r="E458" s="2" t="n">
        <v>8767</v>
      </c>
      <c r="F458" s="2" t="n">
        <v>10</v>
      </c>
      <c r="G458" s="4" t="s">
        <v>603</v>
      </c>
    </row>
    <row r="459" customFormat="false" ht="15" hidden="false" customHeight="false" outlineLevel="0" collapsed="false">
      <c r="A459" s="2" t="n">
        <v>458</v>
      </c>
      <c r="B459" s="2" t="n">
        <v>32</v>
      </c>
      <c r="C459" s="3" t="str">
        <f aca="false">INDEX('부작 목록'!$C$2:$C$66,B459)</f>
        <v>EU 브뤼셀 로비 네트워크</v>
      </c>
      <c r="D459" s="3" t="s">
        <v>77</v>
      </c>
      <c r="E459" s="2" t="n">
        <v>8779</v>
      </c>
      <c r="F459" s="2" t="n">
        <v>13</v>
      </c>
      <c r="G459" s="4" t="s">
        <v>604</v>
      </c>
    </row>
    <row r="460" customFormat="false" ht="15" hidden="false" customHeight="false" outlineLevel="0" collapsed="false">
      <c r="A460" s="2" t="n">
        <v>459</v>
      </c>
      <c r="B460" s="2" t="n">
        <v>32</v>
      </c>
      <c r="C460" s="3" t="str">
        <f aca="false">INDEX('부작 목록'!$C$2:$C$66,B460)</f>
        <v>EU 브뤼셀 로비 네트워크</v>
      </c>
      <c r="D460" s="3" t="s">
        <v>77</v>
      </c>
      <c r="E460" s="2" t="n">
        <v>8795</v>
      </c>
      <c r="F460" s="2" t="n">
        <v>6</v>
      </c>
      <c r="G460" s="4" t="s">
        <v>605</v>
      </c>
    </row>
    <row r="461" customFormat="false" ht="28.35" hidden="false" customHeight="false" outlineLevel="0" collapsed="false">
      <c r="A461" s="2" t="n">
        <v>460</v>
      </c>
      <c r="B461" s="2" t="n">
        <v>33</v>
      </c>
      <c r="C461" s="3" t="str">
        <f aca="false">INDEX('부작 목록'!$C$2:$C$66,B461)</f>
        <v>스페인 중앙은행 공작</v>
      </c>
      <c r="D461" s="3" t="s">
        <v>81</v>
      </c>
      <c r="E461" s="2" t="n">
        <v>8803</v>
      </c>
      <c r="F461" s="2" t="n">
        <v>21</v>
      </c>
      <c r="G461" s="4" t="s">
        <v>606</v>
      </c>
    </row>
    <row r="462" customFormat="false" ht="28.35" hidden="false" customHeight="false" outlineLevel="0" collapsed="false">
      <c r="A462" s="2" t="n">
        <v>461</v>
      </c>
      <c r="B462" s="2" t="n">
        <v>33</v>
      </c>
      <c r="C462" s="3" t="str">
        <f aca="false">INDEX('부작 목록'!$C$2:$C$66,B462)</f>
        <v>스페인 중앙은행 공작</v>
      </c>
      <c r="D462" s="3" t="s">
        <v>81</v>
      </c>
      <c r="E462" s="2" t="n">
        <v>8827</v>
      </c>
      <c r="F462" s="2" t="n">
        <v>16</v>
      </c>
      <c r="G462" s="4" t="s">
        <v>607</v>
      </c>
    </row>
    <row r="463" customFormat="false" ht="15" hidden="false" customHeight="false" outlineLevel="0" collapsed="false">
      <c r="A463" s="2" t="n">
        <v>462</v>
      </c>
      <c r="B463" s="2" t="n">
        <v>33</v>
      </c>
      <c r="C463" s="3" t="str">
        <f aca="false">INDEX('부작 목록'!$C$2:$C$66,B463)</f>
        <v>스페인 중앙은행 공작</v>
      </c>
      <c r="D463" s="3" t="s">
        <v>81</v>
      </c>
      <c r="E463" s="2" t="n">
        <v>8846</v>
      </c>
      <c r="F463" s="2" t="n">
        <v>10</v>
      </c>
      <c r="G463" s="4" t="s">
        <v>608</v>
      </c>
    </row>
    <row r="464" customFormat="false" ht="15" hidden="false" customHeight="false" outlineLevel="0" collapsed="false">
      <c r="A464" s="2" t="n">
        <v>463</v>
      </c>
      <c r="B464" s="2" t="n">
        <v>33</v>
      </c>
      <c r="C464" s="3" t="str">
        <f aca="false">INDEX('부작 목록'!$C$2:$C$66,B464)</f>
        <v>스페인 중앙은행 공작</v>
      </c>
      <c r="D464" s="3" t="s">
        <v>81</v>
      </c>
      <c r="E464" s="2" t="n">
        <v>8859</v>
      </c>
      <c r="F464" s="2" t="n">
        <v>16</v>
      </c>
      <c r="G464" s="4" t="s">
        <v>609</v>
      </c>
    </row>
    <row r="465" customFormat="false" ht="15" hidden="false" customHeight="false" outlineLevel="0" collapsed="false">
      <c r="A465" s="2" t="n">
        <v>464</v>
      </c>
      <c r="B465" s="2" t="n">
        <v>33</v>
      </c>
      <c r="C465" s="3" t="str">
        <f aca="false">INDEX('부작 목록'!$C$2:$C$66,B465)</f>
        <v>스페인 중앙은행 공작</v>
      </c>
      <c r="D465" s="3" t="s">
        <v>81</v>
      </c>
      <c r="E465" s="2" t="n">
        <v>8878</v>
      </c>
      <c r="F465" s="2" t="n">
        <v>9</v>
      </c>
      <c r="G465" s="4" t="s">
        <v>610</v>
      </c>
    </row>
    <row r="466" customFormat="false" ht="15" hidden="false" customHeight="false" outlineLevel="0" collapsed="false">
      <c r="A466" s="2" t="n">
        <v>465</v>
      </c>
      <c r="B466" s="2" t="n">
        <v>33</v>
      </c>
      <c r="C466" s="3" t="str">
        <f aca="false">INDEX('부작 목록'!$C$2:$C$66,B466)</f>
        <v>스페인 중앙은행 공작</v>
      </c>
      <c r="D466" s="3" t="s">
        <v>81</v>
      </c>
      <c r="E466" s="2" t="n">
        <v>8889</v>
      </c>
      <c r="F466" s="2" t="n">
        <v>14</v>
      </c>
      <c r="G466" s="4" t="s">
        <v>611</v>
      </c>
    </row>
    <row r="467" customFormat="false" ht="15" hidden="false" customHeight="false" outlineLevel="0" collapsed="false">
      <c r="A467" s="2" t="n">
        <v>466</v>
      </c>
      <c r="B467" s="2" t="n">
        <v>33</v>
      </c>
      <c r="C467" s="3" t="str">
        <f aca="false">INDEX('부작 목록'!$C$2:$C$66,B467)</f>
        <v>스페인 중앙은행 공작</v>
      </c>
      <c r="D467" s="3" t="s">
        <v>81</v>
      </c>
      <c r="E467" s="2" t="n">
        <v>8906</v>
      </c>
      <c r="F467" s="2" t="n">
        <v>12</v>
      </c>
      <c r="G467" s="4" t="s">
        <v>612</v>
      </c>
    </row>
    <row r="468" customFormat="false" ht="15" hidden="false" customHeight="false" outlineLevel="0" collapsed="false">
      <c r="A468" s="2" t="n">
        <v>467</v>
      </c>
      <c r="B468" s="2" t="n">
        <v>33</v>
      </c>
      <c r="C468" s="3" t="str">
        <f aca="false">INDEX('부작 목록'!$C$2:$C$66,B468)</f>
        <v>스페인 중앙은행 공작</v>
      </c>
      <c r="D468" s="3" t="s">
        <v>81</v>
      </c>
      <c r="E468" s="2" t="n">
        <v>8921</v>
      </c>
      <c r="F468" s="2" t="n">
        <v>13</v>
      </c>
      <c r="G468" s="4" t="s">
        <v>613</v>
      </c>
    </row>
    <row r="469" customFormat="false" ht="15" hidden="false" customHeight="false" outlineLevel="0" collapsed="false">
      <c r="A469" s="2" t="n">
        <v>468</v>
      </c>
      <c r="B469" s="2" t="n">
        <v>33</v>
      </c>
      <c r="C469" s="3" t="str">
        <f aca="false">INDEX('부작 목록'!$C$2:$C$66,B469)</f>
        <v>스페인 중앙은행 공작</v>
      </c>
      <c r="D469" s="3" t="s">
        <v>81</v>
      </c>
      <c r="E469" s="2" t="n">
        <v>8937</v>
      </c>
      <c r="F469" s="2" t="n">
        <v>12</v>
      </c>
      <c r="G469" s="4" t="s">
        <v>614</v>
      </c>
    </row>
    <row r="470" customFormat="false" ht="15" hidden="false" customHeight="false" outlineLevel="0" collapsed="false">
      <c r="A470" s="2" t="n">
        <v>469</v>
      </c>
      <c r="B470" s="2" t="n">
        <v>33</v>
      </c>
      <c r="C470" s="3" t="str">
        <f aca="false">INDEX('부작 목록'!$C$2:$C$66,B470)</f>
        <v>스페인 중앙은행 공작</v>
      </c>
      <c r="D470" s="3" t="s">
        <v>81</v>
      </c>
      <c r="E470" s="2" t="n">
        <v>8951</v>
      </c>
      <c r="F470" s="2" t="n">
        <v>12</v>
      </c>
      <c r="G470" s="4" t="s">
        <v>615</v>
      </c>
    </row>
    <row r="471" customFormat="false" ht="15" hidden="false" customHeight="false" outlineLevel="0" collapsed="false">
      <c r="A471" s="2" t="n">
        <v>470</v>
      </c>
      <c r="B471" s="2" t="n">
        <v>33</v>
      </c>
      <c r="C471" s="3" t="str">
        <f aca="false">INDEX('부작 목록'!$C$2:$C$66,B471)</f>
        <v>스페인 중앙은행 공작</v>
      </c>
      <c r="D471" s="3" t="s">
        <v>81</v>
      </c>
      <c r="E471" s="2" t="n">
        <v>8965</v>
      </c>
      <c r="F471" s="2" t="n">
        <v>9</v>
      </c>
      <c r="G471" s="4" t="s">
        <v>616</v>
      </c>
    </row>
    <row r="472" customFormat="false" ht="15" hidden="false" customHeight="false" outlineLevel="0" collapsed="false">
      <c r="A472" s="2" t="n">
        <v>471</v>
      </c>
      <c r="B472" s="2" t="n">
        <v>33</v>
      </c>
      <c r="C472" s="3" t="str">
        <f aca="false">INDEX('부작 목록'!$C$2:$C$66,B472)</f>
        <v>스페인 중앙은행 공작</v>
      </c>
      <c r="D472" s="3" t="s">
        <v>81</v>
      </c>
      <c r="E472" s="2" t="n">
        <v>8977</v>
      </c>
      <c r="F472" s="2" t="n">
        <v>22</v>
      </c>
      <c r="G472" s="4" t="s">
        <v>617</v>
      </c>
    </row>
    <row r="473" customFormat="false" ht="15" hidden="false" customHeight="false" outlineLevel="0" collapsed="false">
      <c r="A473" s="2" t="n">
        <v>472</v>
      </c>
      <c r="B473" s="2" t="n">
        <v>33</v>
      </c>
      <c r="C473" s="3" t="str">
        <f aca="false">INDEX('부작 목록'!$C$2:$C$66,B473)</f>
        <v>스페인 중앙은행 공작</v>
      </c>
      <c r="D473" s="3" t="s">
        <v>81</v>
      </c>
      <c r="E473" s="2" t="n">
        <v>9002</v>
      </c>
      <c r="F473" s="2" t="n">
        <v>15</v>
      </c>
      <c r="G473" s="4" t="s">
        <v>618</v>
      </c>
    </row>
    <row r="474" customFormat="false" ht="15" hidden="false" customHeight="false" outlineLevel="0" collapsed="false">
      <c r="A474" s="2" t="n">
        <v>473</v>
      </c>
      <c r="B474" s="2" t="n">
        <v>33</v>
      </c>
      <c r="C474" s="3" t="str">
        <f aca="false">INDEX('부작 목록'!$C$2:$C$66,B474)</f>
        <v>스페인 중앙은행 공작</v>
      </c>
      <c r="D474" s="3" t="s">
        <v>81</v>
      </c>
      <c r="E474" s="2" t="n">
        <v>9020</v>
      </c>
      <c r="F474" s="2" t="n">
        <v>12</v>
      </c>
      <c r="G474" s="4" t="s">
        <v>619</v>
      </c>
    </row>
    <row r="475" customFormat="false" ht="15" hidden="false" customHeight="false" outlineLevel="0" collapsed="false">
      <c r="A475" s="2" t="n">
        <v>474</v>
      </c>
      <c r="B475" s="2" t="n">
        <v>33</v>
      </c>
      <c r="C475" s="3" t="str">
        <f aca="false">INDEX('부작 목록'!$C$2:$C$66,B475)</f>
        <v>스페인 중앙은행 공작</v>
      </c>
      <c r="D475" s="3" t="s">
        <v>81</v>
      </c>
      <c r="E475" s="2" t="n">
        <v>9035</v>
      </c>
      <c r="F475" s="2" t="n">
        <v>11</v>
      </c>
      <c r="G475" s="4" t="s">
        <v>620</v>
      </c>
    </row>
    <row r="476" customFormat="false" ht="15" hidden="false" customHeight="false" outlineLevel="0" collapsed="false">
      <c r="A476" s="2" t="n">
        <v>475</v>
      </c>
      <c r="B476" s="2" t="n">
        <v>33</v>
      </c>
      <c r="C476" s="3" t="str">
        <f aca="false">INDEX('부작 목록'!$C$2:$C$66,B476)</f>
        <v>스페인 중앙은행 공작</v>
      </c>
      <c r="D476" s="3" t="s">
        <v>81</v>
      </c>
      <c r="E476" s="2" t="n">
        <v>9048</v>
      </c>
      <c r="F476" s="2" t="n">
        <v>13</v>
      </c>
      <c r="G476" s="4" t="s">
        <v>621</v>
      </c>
    </row>
    <row r="477" customFormat="false" ht="15" hidden="false" customHeight="false" outlineLevel="0" collapsed="false">
      <c r="A477" s="2" t="n">
        <v>476</v>
      </c>
      <c r="B477" s="2" t="n">
        <v>33</v>
      </c>
      <c r="C477" s="3" t="str">
        <f aca="false">INDEX('부작 목록'!$C$2:$C$66,B477)</f>
        <v>스페인 중앙은행 공작</v>
      </c>
      <c r="D477" s="3" t="s">
        <v>81</v>
      </c>
      <c r="E477" s="2" t="n">
        <v>9064</v>
      </c>
      <c r="F477" s="2" t="n">
        <v>14</v>
      </c>
      <c r="G477" s="4" t="s">
        <v>622</v>
      </c>
    </row>
    <row r="478" customFormat="false" ht="15" hidden="false" customHeight="false" outlineLevel="0" collapsed="false">
      <c r="A478" s="2" t="n">
        <v>477</v>
      </c>
      <c r="B478" s="2" t="n">
        <v>33</v>
      </c>
      <c r="C478" s="3" t="str">
        <f aca="false">INDEX('부작 목록'!$C$2:$C$66,B478)</f>
        <v>스페인 중앙은행 공작</v>
      </c>
      <c r="D478" s="3" t="s">
        <v>81</v>
      </c>
      <c r="E478" s="2" t="n">
        <v>9081</v>
      </c>
      <c r="F478" s="2" t="n">
        <v>19</v>
      </c>
      <c r="G478" s="4" t="s">
        <v>623</v>
      </c>
    </row>
    <row r="479" customFormat="false" ht="15" hidden="false" customHeight="false" outlineLevel="0" collapsed="false">
      <c r="A479" s="2" t="n">
        <v>478</v>
      </c>
      <c r="B479" s="2" t="n">
        <v>33</v>
      </c>
      <c r="C479" s="3" t="str">
        <f aca="false">INDEX('부작 목록'!$C$2:$C$66,B479)</f>
        <v>스페인 중앙은행 공작</v>
      </c>
      <c r="D479" s="3" t="s">
        <v>81</v>
      </c>
      <c r="E479" s="2" t="n">
        <v>9103</v>
      </c>
      <c r="F479" s="2" t="n">
        <v>16</v>
      </c>
      <c r="G479" s="4" t="s">
        <v>624</v>
      </c>
    </row>
    <row r="480" customFormat="false" ht="15" hidden="false" customHeight="false" outlineLevel="0" collapsed="false">
      <c r="A480" s="2" t="n">
        <v>479</v>
      </c>
      <c r="B480" s="2" t="n">
        <v>33</v>
      </c>
      <c r="C480" s="3" t="str">
        <f aca="false">INDEX('부작 목록'!$C$2:$C$66,B480)</f>
        <v>스페인 중앙은행 공작</v>
      </c>
      <c r="D480" s="3" t="s">
        <v>81</v>
      </c>
      <c r="E480" s="2" t="n">
        <v>9122</v>
      </c>
      <c r="F480" s="2" t="n">
        <v>16</v>
      </c>
      <c r="G480" s="4" t="s">
        <v>625</v>
      </c>
    </row>
    <row r="481" customFormat="false" ht="15" hidden="false" customHeight="false" outlineLevel="0" collapsed="false">
      <c r="A481" s="2" t="n">
        <v>480</v>
      </c>
      <c r="B481" s="2" t="n">
        <v>33</v>
      </c>
      <c r="C481" s="3" t="str">
        <f aca="false">INDEX('부작 목록'!$C$2:$C$66,B481)</f>
        <v>스페인 중앙은행 공작</v>
      </c>
      <c r="D481" s="3" t="s">
        <v>81</v>
      </c>
      <c r="E481" s="2" t="n">
        <v>9141</v>
      </c>
      <c r="F481" s="2" t="n">
        <v>12</v>
      </c>
      <c r="G481" s="4" t="s">
        <v>626</v>
      </c>
    </row>
    <row r="482" customFormat="false" ht="15" hidden="false" customHeight="false" outlineLevel="0" collapsed="false">
      <c r="A482" s="2" t="n">
        <v>481</v>
      </c>
      <c r="B482" s="2" t="n">
        <v>33</v>
      </c>
      <c r="C482" s="3" t="str">
        <f aca="false">INDEX('부작 목록'!$C$2:$C$66,B482)</f>
        <v>스페인 중앙은행 공작</v>
      </c>
      <c r="D482" s="3" t="s">
        <v>81</v>
      </c>
      <c r="E482" s="2" t="n">
        <v>9155</v>
      </c>
      <c r="F482" s="2" t="n">
        <v>14</v>
      </c>
      <c r="G482" s="4" t="s">
        <v>627</v>
      </c>
    </row>
    <row r="483" customFormat="false" ht="15" hidden="false" customHeight="false" outlineLevel="0" collapsed="false">
      <c r="A483" s="2" t="n">
        <v>482</v>
      </c>
      <c r="B483" s="2" t="n">
        <v>33</v>
      </c>
      <c r="C483" s="3" t="str">
        <f aca="false">INDEX('부작 목록'!$C$2:$C$66,B483)</f>
        <v>스페인 중앙은행 공작</v>
      </c>
      <c r="D483" s="3" t="s">
        <v>81</v>
      </c>
      <c r="E483" s="2" t="n">
        <v>9172</v>
      </c>
      <c r="F483" s="2" t="n">
        <v>17</v>
      </c>
      <c r="G483" s="4" t="s">
        <v>628</v>
      </c>
    </row>
    <row r="484" customFormat="false" ht="15" hidden="false" customHeight="false" outlineLevel="0" collapsed="false">
      <c r="A484" s="2" t="n">
        <v>483</v>
      </c>
      <c r="B484" s="2" t="n">
        <v>33</v>
      </c>
      <c r="C484" s="3" t="str">
        <f aca="false">INDEX('부작 목록'!$C$2:$C$66,B484)</f>
        <v>스페인 중앙은행 공작</v>
      </c>
      <c r="D484" s="3" t="s">
        <v>81</v>
      </c>
      <c r="E484" s="2" t="n">
        <v>9192</v>
      </c>
      <c r="F484" s="2" t="n">
        <v>18</v>
      </c>
      <c r="G484" s="4" t="s">
        <v>629</v>
      </c>
    </row>
    <row r="485" customFormat="false" ht="28.35" hidden="false" customHeight="false" outlineLevel="0" collapsed="false">
      <c r="A485" s="2" t="n">
        <v>484</v>
      </c>
      <c r="B485" s="2" t="n">
        <v>34</v>
      </c>
      <c r="C485" s="3" t="str">
        <f aca="false">INDEX('부작 목록'!$C$2:$C$66,B485)</f>
        <v>로셀요의 만찬 회유</v>
      </c>
      <c r="D485" s="3" t="s">
        <v>81</v>
      </c>
      <c r="E485" s="2" t="n">
        <v>9213</v>
      </c>
      <c r="F485" s="2" t="n">
        <v>20</v>
      </c>
      <c r="G485" s="4" t="s">
        <v>630</v>
      </c>
    </row>
    <row r="486" customFormat="false" ht="15" hidden="false" customHeight="false" outlineLevel="0" collapsed="false">
      <c r="A486" s="2" t="n">
        <v>485</v>
      </c>
      <c r="B486" s="2" t="n">
        <v>34</v>
      </c>
      <c r="C486" s="3" t="str">
        <f aca="false">INDEX('부작 목록'!$C$2:$C$66,B486)</f>
        <v>로셀요의 만찬 회유</v>
      </c>
      <c r="D486" s="3" t="s">
        <v>81</v>
      </c>
      <c r="E486" s="2" t="n">
        <v>9236</v>
      </c>
      <c r="F486" s="2" t="n">
        <v>23</v>
      </c>
      <c r="G486" s="4" t="s">
        <v>631</v>
      </c>
    </row>
    <row r="487" customFormat="false" ht="15" hidden="false" customHeight="false" outlineLevel="0" collapsed="false">
      <c r="A487" s="2" t="n">
        <v>486</v>
      </c>
      <c r="B487" s="2" t="n">
        <v>34</v>
      </c>
      <c r="C487" s="3" t="str">
        <f aca="false">INDEX('부작 목록'!$C$2:$C$66,B487)</f>
        <v>로셀요의 만찬 회유</v>
      </c>
      <c r="D487" s="3" t="s">
        <v>81</v>
      </c>
      <c r="E487" s="2" t="n">
        <v>9262</v>
      </c>
      <c r="F487" s="2" t="n">
        <v>21</v>
      </c>
      <c r="G487" s="4" t="s">
        <v>632</v>
      </c>
    </row>
    <row r="488" customFormat="false" ht="15" hidden="false" customHeight="false" outlineLevel="0" collapsed="false">
      <c r="A488" s="2" t="n">
        <v>487</v>
      </c>
      <c r="B488" s="2" t="n">
        <v>34</v>
      </c>
      <c r="C488" s="3" t="str">
        <f aca="false">INDEX('부작 목록'!$C$2:$C$66,B488)</f>
        <v>로셀요의 만찬 회유</v>
      </c>
      <c r="D488" s="3" t="s">
        <v>81</v>
      </c>
      <c r="E488" s="2" t="n">
        <v>9286</v>
      </c>
      <c r="F488" s="2" t="n">
        <v>19</v>
      </c>
      <c r="G488" s="4" t="s">
        <v>633</v>
      </c>
    </row>
    <row r="489" customFormat="false" ht="15" hidden="false" customHeight="false" outlineLevel="0" collapsed="false">
      <c r="A489" s="2" t="n">
        <v>488</v>
      </c>
      <c r="B489" s="2" t="n">
        <v>34</v>
      </c>
      <c r="C489" s="3" t="str">
        <f aca="false">INDEX('부작 목록'!$C$2:$C$66,B489)</f>
        <v>로셀요의 만찬 회유</v>
      </c>
      <c r="D489" s="3" t="s">
        <v>81</v>
      </c>
      <c r="E489" s="2" t="n">
        <v>9308</v>
      </c>
      <c r="F489" s="2" t="n">
        <v>15</v>
      </c>
      <c r="G489" s="4" t="s">
        <v>634</v>
      </c>
    </row>
    <row r="490" customFormat="false" ht="15" hidden="false" customHeight="false" outlineLevel="0" collapsed="false">
      <c r="A490" s="2" t="n">
        <v>489</v>
      </c>
      <c r="B490" s="2" t="n">
        <v>34</v>
      </c>
      <c r="C490" s="3" t="str">
        <f aca="false">INDEX('부작 목록'!$C$2:$C$66,B490)</f>
        <v>로셀요의 만찬 회유</v>
      </c>
      <c r="D490" s="3" t="s">
        <v>81</v>
      </c>
      <c r="E490" s="2" t="n">
        <v>9326</v>
      </c>
      <c r="F490" s="2" t="n">
        <v>20</v>
      </c>
      <c r="G490" s="4" t="s">
        <v>635</v>
      </c>
    </row>
    <row r="491" customFormat="false" ht="15" hidden="false" customHeight="false" outlineLevel="0" collapsed="false">
      <c r="A491" s="2" t="n">
        <v>490</v>
      </c>
      <c r="B491" s="2" t="n">
        <v>34</v>
      </c>
      <c r="C491" s="3" t="str">
        <f aca="false">INDEX('부작 목록'!$C$2:$C$66,B491)</f>
        <v>로셀요의 만찬 회유</v>
      </c>
      <c r="D491" s="3" t="s">
        <v>81</v>
      </c>
      <c r="E491" s="2" t="n">
        <v>9349</v>
      </c>
      <c r="F491" s="2" t="n">
        <v>17</v>
      </c>
      <c r="G491" s="4" t="s">
        <v>636</v>
      </c>
    </row>
    <row r="492" customFormat="false" ht="15" hidden="false" customHeight="false" outlineLevel="0" collapsed="false">
      <c r="A492" s="2" t="n">
        <v>491</v>
      </c>
      <c r="B492" s="2" t="n">
        <v>34</v>
      </c>
      <c r="C492" s="3" t="str">
        <f aca="false">INDEX('부작 목록'!$C$2:$C$66,B492)</f>
        <v>로셀요의 만찬 회유</v>
      </c>
      <c r="D492" s="3" t="s">
        <v>81</v>
      </c>
      <c r="E492" s="2" t="n">
        <v>9369</v>
      </c>
      <c r="F492" s="2" t="n">
        <v>19</v>
      </c>
      <c r="G492" s="4" t="s">
        <v>637</v>
      </c>
    </row>
    <row r="493" customFormat="false" ht="15" hidden="false" customHeight="false" outlineLevel="0" collapsed="false">
      <c r="A493" s="2" t="n">
        <v>492</v>
      </c>
      <c r="B493" s="2" t="n">
        <v>34</v>
      </c>
      <c r="C493" s="3" t="str">
        <f aca="false">INDEX('부작 목록'!$C$2:$C$66,B493)</f>
        <v>로셀요의 만찬 회유</v>
      </c>
      <c r="D493" s="3" t="s">
        <v>81</v>
      </c>
      <c r="E493" s="2" t="n">
        <v>9390</v>
      </c>
      <c r="F493" s="2" t="n">
        <v>19</v>
      </c>
      <c r="G493" s="4" t="s">
        <v>638</v>
      </c>
    </row>
    <row r="494" customFormat="false" ht="15" hidden="false" customHeight="false" outlineLevel="0" collapsed="false">
      <c r="A494" s="2" t="n">
        <v>493</v>
      </c>
      <c r="B494" s="2" t="n">
        <v>34</v>
      </c>
      <c r="C494" s="3" t="str">
        <f aca="false">INDEX('부작 목록'!$C$2:$C$66,B494)</f>
        <v>로셀요의 만찬 회유</v>
      </c>
      <c r="D494" s="3" t="s">
        <v>81</v>
      </c>
      <c r="E494" s="2" t="n">
        <v>9412</v>
      </c>
      <c r="F494" s="2" t="n">
        <v>10</v>
      </c>
      <c r="G494" s="4" t="s">
        <v>639</v>
      </c>
    </row>
    <row r="495" customFormat="false" ht="28.35" hidden="false" customHeight="false" outlineLevel="0" collapsed="false">
      <c r="A495" s="2" t="n">
        <v>494</v>
      </c>
      <c r="B495" s="2" t="n">
        <v>35</v>
      </c>
      <c r="C495" s="3" t="str">
        <f aca="false">INDEX('부작 목록'!$C$2:$C$66,B495)</f>
        <v>사프란 원산지 사기</v>
      </c>
      <c r="D495" s="3" t="s">
        <v>81</v>
      </c>
      <c r="E495" s="2" t="n">
        <v>9424</v>
      </c>
      <c r="F495" s="2" t="n">
        <v>11</v>
      </c>
      <c r="G495" s="4" t="s">
        <v>640</v>
      </c>
    </row>
    <row r="496" customFormat="false" ht="15" hidden="false" customHeight="false" outlineLevel="0" collapsed="false">
      <c r="A496" s="2" t="n">
        <v>495</v>
      </c>
      <c r="B496" s="2" t="n">
        <v>35</v>
      </c>
      <c r="C496" s="3" t="str">
        <f aca="false">INDEX('부작 목록'!$C$2:$C$66,B496)</f>
        <v>사프란 원산지 사기</v>
      </c>
      <c r="D496" s="3" t="s">
        <v>81</v>
      </c>
      <c r="E496" s="2" t="n">
        <v>9438</v>
      </c>
      <c r="F496" s="2" t="n">
        <v>12</v>
      </c>
      <c r="G496" s="4" t="s">
        <v>641</v>
      </c>
    </row>
    <row r="497" customFormat="false" ht="15" hidden="false" customHeight="false" outlineLevel="0" collapsed="false">
      <c r="A497" s="2" t="n">
        <v>496</v>
      </c>
      <c r="B497" s="2" t="n">
        <v>35</v>
      </c>
      <c r="C497" s="3" t="str">
        <f aca="false">INDEX('부작 목록'!$C$2:$C$66,B497)</f>
        <v>사프란 원산지 사기</v>
      </c>
      <c r="D497" s="3" t="s">
        <v>81</v>
      </c>
      <c r="E497" s="2" t="n">
        <v>9452</v>
      </c>
      <c r="F497" s="2" t="n">
        <v>10</v>
      </c>
      <c r="G497" s="4" t="s">
        <v>642</v>
      </c>
    </row>
    <row r="498" customFormat="false" ht="15" hidden="false" customHeight="false" outlineLevel="0" collapsed="false">
      <c r="A498" s="2" t="n">
        <v>497</v>
      </c>
      <c r="B498" s="2" t="n">
        <v>35</v>
      </c>
      <c r="C498" s="3" t="str">
        <f aca="false">INDEX('부작 목록'!$C$2:$C$66,B498)</f>
        <v>사프란 원산지 사기</v>
      </c>
      <c r="D498" s="3" t="s">
        <v>81</v>
      </c>
      <c r="E498" s="2" t="n">
        <v>9464</v>
      </c>
      <c r="F498" s="2" t="n">
        <v>12</v>
      </c>
      <c r="G498" s="4" t="s">
        <v>643</v>
      </c>
    </row>
    <row r="499" customFormat="false" ht="15" hidden="false" customHeight="false" outlineLevel="0" collapsed="false">
      <c r="A499" s="2" t="n">
        <v>498</v>
      </c>
      <c r="B499" s="2" t="n">
        <v>35</v>
      </c>
      <c r="C499" s="3" t="str">
        <f aca="false">INDEX('부작 목록'!$C$2:$C$66,B499)</f>
        <v>사프란 원산지 사기</v>
      </c>
      <c r="D499" s="3" t="s">
        <v>81</v>
      </c>
      <c r="E499" s="2" t="n">
        <v>9479</v>
      </c>
      <c r="F499" s="2" t="n">
        <v>9</v>
      </c>
      <c r="G499" s="4" t="s">
        <v>644</v>
      </c>
    </row>
    <row r="500" customFormat="false" ht="15" hidden="false" customHeight="false" outlineLevel="0" collapsed="false">
      <c r="A500" s="2" t="n">
        <v>499</v>
      </c>
      <c r="B500" s="2" t="n">
        <v>35</v>
      </c>
      <c r="C500" s="3" t="str">
        <f aca="false">INDEX('부작 목록'!$C$2:$C$66,B500)</f>
        <v>사프란 원산지 사기</v>
      </c>
      <c r="D500" s="3" t="s">
        <v>81</v>
      </c>
      <c r="E500" s="2" t="n">
        <v>9490</v>
      </c>
      <c r="F500" s="2" t="n">
        <v>12</v>
      </c>
      <c r="G500" s="4" t="s">
        <v>645</v>
      </c>
    </row>
    <row r="501" customFormat="false" ht="15" hidden="false" customHeight="false" outlineLevel="0" collapsed="false">
      <c r="A501" s="2" t="n">
        <v>500</v>
      </c>
      <c r="B501" s="2" t="n">
        <v>35</v>
      </c>
      <c r="C501" s="3" t="str">
        <f aca="false">INDEX('부작 목록'!$C$2:$C$66,B501)</f>
        <v>사프란 원산지 사기</v>
      </c>
      <c r="D501" s="3" t="s">
        <v>81</v>
      </c>
      <c r="E501" s="2" t="n">
        <v>9505</v>
      </c>
      <c r="F501" s="2" t="n">
        <v>10</v>
      </c>
      <c r="G501" s="4" t="s">
        <v>646</v>
      </c>
    </row>
    <row r="502" customFormat="false" ht="15" hidden="false" customHeight="false" outlineLevel="0" collapsed="false">
      <c r="A502" s="2" t="n">
        <v>501</v>
      </c>
      <c r="B502" s="2" t="n">
        <v>35</v>
      </c>
      <c r="C502" s="3" t="str">
        <f aca="false">INDEX('부작 목록'!$C$2:$C$66,B502)</f>
        <v>사프란 원산지 사기</v>
      </c>
      <c r="D502" s="3" t="s">
        <v>81</v>
      </c>
      <c r="E502" s="2" t="n">
        <v>9518</v>
      </c>
      <c r="F502" s="2" t="n">
        <v>9</v>
      </c>
      <c r="G502" s="4" t="s">
        <v>647</v>
      </c>
    </row>
    <row r="503" customFormat="false" ht="28.35" hidden="false" customHeight="false" outlineLevel="0" collapsed="false">
      <c r="A503" s="2" t="n">
        <v>502</v>
      </c>
      <c r="B503" s="2" t="n">
        <v>35</v>
      </c>
      <c r="C503" s="3" t="str">
        <f aca="false">INDEX('부작 목록'!$C$2:$C$66,B503)</f>
        <v>사프란 원산지 사기</v>
      </c>
      <c r="D503" s="3" t="s">
        <v>81</v>
      </c>
      <c r="E503" s="2" t="n">
        <v>9529</v>
      </c>
      <c r="F503" s="2" t="n">
        <v>17</v>
      </c>
      <c r="G503" s="4" t="s">
        <v>648</v>
      </c>
    </row>
    <row r="504" customFormat="false" ht="28.35" hidden="false" customHeight="false" outlineLevel="0" collapsed="false">
      <c r="A504" s="2" t="n">
        <v>503</v>
      </c>
      <c r="B504" s="2" t="n">
        <v>36</v>
      </c>
      <c r="C504" s="3" t="str">
        <f aca="false">INDEX('부작 목록'!$C$2:$C$66,B504)</f>
        <v>루카와의 재회</v>
      </c>
      <c r="D504" s="3" t="s">
        <v>81</v>
      </c>
      <c r="E504" s="2" t="n">
        <v>9549</v>
      </c>
      <c r="F504" s="2" t="n">
        <v>13</v>
      </c>
      <c r="G504" s="4" t="s">
        <v>649</v>
      </c>
    </row>
    <row r="505" customFormat="false" ht="15" hidden="false" customHeight="false" outlineLevel="0" collapsed="false">
      <c r="A505" s="2" t="n">
        <v>504</v>
      </c>
      <c r="B505" s="2" t="n">
        <v>36</v>
      </c>
      <c r="C505" s="3" t="str">
        <f aca="false">INDEX('부작 목록'!$C$2:$C$66,B505)</f>
        <v>루카와의 재회</v>
      </c>
      <c r="D505" s="3" t="s">
        <v>81</v>
      </c>
      <c r="E505" s="2" t="n">
        <v>9565</v>
      </c>
      <c r="F505" s="2" t="n">
        <v>15</v>
      </c>
      <c r="G505" s="4" t="s">
        <v>650</v>
      </c>
    </row>
    <row r="506" customFormat="false" ht="15" hidden="false" customHeight="false" outlineLevel="0" collapsed="false">
      <c r="A506" s="2" t="n">
        <v>505</v>
      </c>
      <c r="B506" s="2" t="n">
        <v>36</v>
      </c>
      <c r="C506" s="3" t="str">
        <f aca="false">INDEX('부작 목록'!$C$2:$C$66,B506)</f>
        <v>루카와의 재회</v>
      </c>
      <c r="D506" s="3" t="s">
        <v>81</v>
      </c>
      <c r="E506" s="2" t="n">
        <v>9582</v>
      </c>
      <c r="F506" s="2" t="n">
        <v>22</v>
      </c>
      <c r="G506" s="4" t="s">
        <v>651</v>
      </c>
    </row>
    <row r="507" customFormat="false" ht="15" hidden="false" customHeight="false" outlineLevel="0" collapsed="false">
      <c r="A507" s="2" t="n">
        <v>506</v>
      </c>
      <c r="B507" s="2" t="n">
        <v>36</v>
      </c>
      <c r="C507" s="3" t="str">
        <f aca="false">INDEX('부작 목록'!$C$2:$C$66,B507)</f>
        <v>루카와의 재회</v>
      </c>
      <c r="D507" s="3" t="s">
        <v>81</v>
      </c>
      <c r="E507" s="2" t="n">
        <v>9606</v>
      </c>
      <c r="F507" s="2" t="n">
        <v>15</v>
      </c>
      <c r="G507" s="4" t="s">
        <v>652</v>
      </c>
    </row>
    <row r="508" customFormat="false" ht="15" hidden="false" customHeight="false" outlineLevel="0" collapsed="false">
      <c r="A508" s="2" t="n">
        <v>507</v>
      </c>
      <c r="B508" s="2" t="n">
        <v>36</v>
      </c>
      <c r="C508" s="3" t="str">
        <f aca="false">INDEX('부작 목록'!$C$2:$C$66,B508)</f>
        <v>루카와의 재회</v>
      </c>
      <c r="D508" s="3" t="s">
        <v>81</v>
      </c>
      <c r="E508" s="2" t="n">
        <v>9623</v>
      </c>
      <c r="F508" s="2" t="n">
        <v>17</v>
      </c>
      <c r="G508" s="4" t="s">
        <v>653</v>
      </c>
    </row>
    <row r="509" customFormat="false" ht="41.75" hidden="false" customHeight="false" outlineLevel="0" collapsed="false">
      <c r="A509" s="2" t="n">
        <v>508</v>
      </c>
      <c r="B509" s="2" t="n">
        <v>37</v>
      </c>
      <c r="C509" s="3" t="str">
        <f aca="false">INDEX('부작 목록'!$C$2:$C$66,B509)</f>
        <v>무기 밀매와 자금세탁 설계자 로셀요</v>
      </c>
      <c r="D509" s="3" t="s">
        <v>81</v>
      </c>
      <c r="E509" s="2" t="n">
        <v>9643</v>
      </c>
      <c r="F509" s="2" t="n">
        <v>20</v>
      </c>
      <c r="G509" s="4" t="s">
        <v>654</v>
      </c>
    </row>
    <row r="510" customFormat="false" ht="15" hidden="false" customHeight="false" outlineLevel="0" collapsed="false">
      <c r="A510" s="2" t="n">
        <v>509</v>
      </c>
      <c r="B510" s="2" t="n">
        <v>37</v>
      </c>
      <c r="C510" s="3" t="str">
        <f aca="false">INDEX('부작 목록'!$C$2:$C$66,B510)</f>
        <v>무기 밀매와 자금세탁 설계자 로셀요</v>
      </c>
      <c r="D510" s="3" t="s">
        <v>81</v>
      </c>
      <c r="E510" s="2" t="n">
        <v>9666</v>
      </c>
      <c r="F510" s="2" t="n">
        <v>13</v>
      </c>
      <c r="G510" s="4" t="s">
        <v>655</v>
      </c>
    </row>
    <row r="511" customFormat="false" ht="15" hidden="false" customHeight="false" outlineLevel="0" collapsed="false">
      <c r="A511" s="2" t="n">
        <v>510</v>
      </c>
      <c r="B511" s="2" t="n">
        <v>37</v>
      </c>
      <c r="C511" s="3" t="str">
        <f aca="false">INDEX('부작 목록'!$C$2:$C$66,B511)</f>
        <v>무기 밀매와 자금세탁 설계자 로셀요</v>
      </c>
      <c r="D511" s="3" t="s">
        <v>81</v>
      </c>
      <c r="E511" s="2" t="n">
        <v>9682</v>
      </c>
      <c r="F511" s="2" t="n">
        <v>12</v>
      </c>
      <c r="G511" s="4" t="s">
        <v>656</v>
      </c>
    </row>
    <row r="512" customFormat="false" ht="15" hidden="false" customHeight="false" outlineLevel="0" collapsed="false">
      <c r="A512" s="2" t="n">
        <v>511</v>
      </c>
      <c r="B512" s="2" t="n">
        <v>37</v>
      </c>
      <c r="C512" s="3" t="str">
        <f aca="false">INDEX('부작 목록'!$C$2:$C$66,B512)</f>
        <v>무기 밀매와 자금세탁 설계자 로셀요</v>
      </c>
      <c r="D512" s="3" t="s">
        <v>81</v>
      </c>
      <c r="E512" s="2" t="n">
        <v>9697</v>
      </c>
      <c r="F512" s="2" t="n">
        <v>11</v>
      </c>
      <c r="G512" s="4" t="s">
        <v>657</v>
      </c>
    </row>
    <row r="513" customFormat="false" ht="15" hidden="false" customHeight="false" outlineLevel="0" collapsed="false">
      <c r="A513" s="2" t="n">
        <v>512</v>
      </c>
      <c r="B513" s="2" t="n">
        <v>37</v>
      </c>
      <c r="C513" s="3" t="str">
        <f aca="false">INDEX('부작 목록'!$C$2:$C$66,B513)</f>
        <v>무기 밀매와 자금세탁 설계자 로셀요</v>
      </c>
      <c r="D513" s="3" t="s">
        <v>81</v>
      </c>
      <c r="E513" s="2" t="n">
        <v>9710</v>
      </c>
      <c r="F513" s="2" t="n">
        <v>8</v>
      </c>
      <c r="G513" s="4" t="s">
        <v>658</v>
      </c>
    </row>
    <row r="514" customFormat="false" ht="15" hidden="false" customHeight="false" outlineLevel="0" collapsed="false">
      <c r="A514" s="2" t="n">
        <v>513</v>
      </c>
      <c r="B514" s="2" t="n">
        <v>37</v>
      </c>
      <c r="C514" s="3" t="str">
        <f aca="false">INDEX('부작 목록'!$C$2:$C$66,B514)</f>
        <v>무기 밀매와 자금세탁 설계자 로셀요</v>
      </c>
      <c r="D514" s="3" t="s">
        <v>81</v>
      </c>
      <c r="E514" s="2" t="n">
        <v>9721</v>
      </c>
      <c r="F514" s="2" t="n">
        <v>23</v>
      </c>
      <c r="G514" s="4" t="s">
        <v>659</v>
      </c>
    </row>
    <row r="515" customFormat="false" ht="28.35" hidden="false" customHeight="false" outlineLevel="0" collapsed="false">
      <c r="A515" s="2" t="n">
        <v>514</v>
      </c>
      <c r="B515" s="2" t="n">
        <v>37</v>
      </c>
      <c r="C515" s="3" t="str">
        <f aca="false">INDEX('부작 목록'!$C$2:$C$66,B515)</f>
        <v>무기 밀매와 자금세탁 설계자 로셀요</v>
      </c>
      <c r="D515" s="3" t="s">
        <v>81</v>
      </c>
      <c r="E515" s="2" t="n">
        <v>9747</v>
      </c>
      <c r="F515" s="2" t="n">
        <v>13</v>
      </c>
      <c r="G515" s="4" t="s">
        <v>660</v>
      </c>
    </row>
    <row r="516" customFormat="false" ht="15" hidden="false" customHeight="false" outlineLevel="0" collapsed="false">
      <c r="A516" s="2" t="n">
        <v>515</v>
      </c>
      <c r="B516" s="2" t="n">
        <v>37</v>
      </c>
      <c r="C516" s="3" t="str">
        <f aca="false">INDEX('부작 목록'!$C$2:$C$66,B516)</f>
        <v>무기 밀매와 자금세탁 설계자 로셀요</v>
      </c>
      <c r="D516" s="3" t="s">
        <v>81</v>
      </c>
      <c r="E516" s="2" t="n">
        <v>9763</v>
      </c>
      <c r="F516" s="2" t="n">
        <v>7</v>
      </c>
      <c r="G516" s="4" t="s">
        <v>661</v>
      </c>
    </row>
    <row r="517" customFormat="false" ht="15" hidden="false" customHeight="false" outlineLevel="0" collapsed="false">
      <c r="A517" s="2" t="n">
        <v>516</v>
      </c>
      <c r="B517" s="2" t="n">
        <v>37</v>
      </c>
      <c r="C517" s="3" t="str">
        <f aca="false">INDEX('부작 목록'!$C$2:$C$66,B517)</f>
        <v>무기 밀매와 자금세탁 설계자 로셀요</v>
      </c>
      <c r="D517" s="3" t="s">
        <v>81</v>
      </c>
      <c r="E517" s="2" t="n">
        <v>9772</v>
      </c>
      <c r="F517" s="2" t="n">
        <v>10</v>
      </c>
      <c r="G517" s="4" t="s">
        <v>662</v>
      </c>
    </row>
    <row r="518" customFormat="false" ht="15" hidden="false" customHeight="false" outlineLevel="0" collapsed="false">
      <c r="A518" s="2" t="n">
        <v>517</v>
      </c>
      <c r="B518" s="2" t="n">
        <v>37</v>
      </c>
      <c r="C518" s="3" t="str">
        <f aca="false">INDEX('부작 목록'!$C$2:$C$66,B518)</f>
        <v>무기 밀매와 자금세탁 설계자 로셀요</v>
      </c>
      <c r="D518" s="3" t="s">
        <v>81</v>
      </c>
      <c r="E518" s="2" t="n">
        <v>9785</v>
      </c>
      <c r="F518" s="2" t="n">
        <v>10</v>
      </c>
      <c r="G518" s="4" t="s">
        <v>663</v>
      </c>
    </row>
    <row r="519" customFormat="false" ht="15" hidden="false" customHeight="false" outlineLevel="0" collapsed="false">
      <c r="A519" s="2" t="n">
        <v>518</v>
      </c>
      <c r="B519" s="2" t="n">
        <v>37</v>
      </c>
      <c r="C519" s="3" t="str">
        <f aca="false">INDEX('부작 목록'!$C$2:$C$66,B519)</f>
        <v>무기 밀매와 자금세탁 설계자 로셀요</v>
      </c>
      <c r="D519" s="3" t="s">
        <v>81</v>
      </c>
      <c r="E519" s="2" t="n">
        <v>9798</v>
      </c>
      <c r="F519" s="2" t="n">
        <v>10</v>
      </c>
      <c r="G519" s="4" t="s">
        <v>664</v>
      </c>
    </row>
    <row r="520" customFormat="false" ht="15" hidden="false" customHeight="false" outlineLevel="0" collapsed="false">
      <c r="A520" s="2" t="n">
        <v>519</v>
      </c>
      <c r="B520" s="2" t="n">
        <v>37</v>
      </c>
      <c r="C520" s="3" t="str">
        <f aca="false">INDEX('부작 목록'!$C$2:$C$66,B520)</f>
        <v>무기 밀매와 자금세탁 설계자 로셀요</v>
      </c>
      <c r="D520" s="3" t="s">
        <v>81</v>
      </c>
      <c r="E520" s="2" t="n">
        <v>9810</v>
      </c>
      <c r="F520" s="2" t="n">
        <v>7</v>
      </c>
      <c r="G520" s="4" t="s">
        <v>665</v>
      </c>
    </row>
    <row r="521" customFormat="false" ht="15" hidden="false" customHeight="false" outlineLevel="0" collapsed="false">
      <c r="A521" s="2" t="n">
        <v>520</v>
      </c>
      <c r="B521" s="2" t="n">
        <v>37</v>
      </c>
      <c r="C521" s="3" t="str">
        <f aca="false">INDEX('부작 목록'!$C$2:$C$66,B521)</f>
        <v>무기 밀매와 자금세탁 설계자 로셀요</v>
      </c>
      <c r="D521" s="3" t="s">
        <v>81</v>
      </c>
      <c r="E521" s="2" t="n">
        <v>9820</v>
      </c>
      <c r="F521" s="2" t="n">
        <v>17</v>
      </c>
      <c r="G521" s="4" t="s">
        <v>666</v>
      </c>
    </row>
    <row r="522" customFormat="false" ht="15" hidden="false" customHeight="false" outlineLevel="0" collapsed="false">
      <c r="A522" s="2" t="n">
        <v>521</v>
      </c>
      <c r="B522" s="2" t="n">
        <v>37</v>
      </c>
      <c r="C522" s="3" t="str">
        <f aca="false">INDEX('부작 목록'!$C$2:$C$66,B522)</f>
        <v>무기 밀매와 자금세탁 설계자 로셀요</v>
      </c>
      <c r="D522" s="3" t="s">
        <v>81</v>
      </c>
      <c r="E522" s="2" t="n">
        <v>9839</v>
      </c>
      <c r="F522" s="2" t="n">
        <v>15</v>
      </c>
      <c r="G522" s="4" t="s">
        <v>667</v>
      </c>
    </row>
    <row r="523" customFormat="false" ht="28.35" hidden="false" customHeight="false" outlineLevel="0" collapsed="false">
      <c r="A523" s="2" t="n">
        <v>522</v>
      </c>
      <c r="B523" s="2" t="n">
        <v>38</v>
      </c>
      <c r="C523" s="3" t="str">
        <f aca="false">INDEX('부작 목록'!$C$2:$C$66,B523)</f>
        <v>칸타브리아 저택 취재와 출판 계약</v>
      </c>
      <c r="D523" s="3" t="s">
        <v>81</v>
      </c>
      <c r="E523" s="2" t="n">
        <v>9856</v>
      </c>
      <c r="F523" s="2" t="n">
        <v>14</v>
      </c>
      <c r="G523" s="4" t="s">
        <v>668</v>
      </c>
    </row>
    <row r="524" customFormat="false" ht="15" hidden="false" customHeight="false" outlineLevel="0" collapsed="false">
      <c r="A524" s="2" t="n">
        <v>523</v>
      </c>
      <c r="B524" s="2" t="n">
        <v>38</v>
      </c>
      <c r="C524" s="3" t="str">
        <f aca="false">INDEX('부작 목록'!$C$2:$C$66,B524)</f>
        <v>칸타브리아 저택 취재와 출판 계약</v>
      </c>
      <c r="D524" s="3" t="s">
        <v>81</v>
      </c>
      <c r="E524" s="2" t="n">
        <v>9873</v>
      </c>
      <c r="F524" s="2" t="n">
        <v>21</v>
      </c>
      <c r="G524" s="4" t="s">
        <v>669</v>
      </c>
    </row>
    <row r="525" customFormat="false" ht="15" hidden="false" customHeight="false" outlineLevel="0" collapsed="false">
      <c r="A525" s="2" t="n">
        <v>524</v>
      </c>
      <c r="B525" s="2" t="n">
        <v>38</v>
      </c>
      <c r="C525" s="3" t="str">
        <f aca="false">INDEX('부작 목록'!$C$2:$C$66,B525)</f>
        <v>칸타브리아 저택 취재와 출판 계약</v>
      </c>
      <c r="D525" s="3" t="s">
        <v>81</v>
      </c>
      <c r="E525" s="2" t="n">
        <v>9897</v>
      </c>
      <c r="F525" s="2" t="n">
        <v>13</v>
      </c>
      <c r="G525" s="4" t="s">
        <v>670</v>
      </c>
    </row>
    <row r="526" customFormat="false" ht="15" hidden="false" customHeight="false" outlineLevel="0" collapsed="false">
      <c r="A526" s="2" t="n">
        <v>525</v>
      </c>
      <c r="B526" s="2" t="n">
        <v>38</v>
      </c>
      <c r="C526" s="3" t="str">
        <f aca="false">INDEX('부작 목록'!$C$2:$C$66,B526)</f>
        <v>칸타브리아 저택 취재와 출판 계약</v>
      </c>
      <c r="D526" s="3" t="s">
        <v>81</v>
      </c>
      <c r="E526" s="2" t="n">
        <v>9913</v>
      </c>
      <c r="F526" s="2" t="n">
        <v>16</v>
      </c>
      <c r="G526" s="4" t="s">
        <v>671</v>
      </c>
    </row>
    <row r="527" customFormat="false" ht="15" hidden="false" customHeight="false" outlineLevel="0" collapsed="false">
      <c r="A527" s="2" t="n">
        <v>526</v>
      </c>
      <c r="B527" s="2" t="n">
        <v>38</v>
      </c>
      <c r="C527" s="3" t="str">
        <f aca="false">INDEX('부작 목록'!$C$2:$C$66,B527)</f>
        <v>칸타브리아 저택 취재와 출판 계약</v>
      </c>
      <c r="D527" s="3" t="s">
        <v>81</v>
      </c>
      <c r="E527" s="2" t="n">
        <v>9932</v>
      </c>
      <c r="F527" s="2" t="n">
        <v>15</v>
      </c>
      <c r="G527" s="4" t="s">
        <v>672</v>
      </c>
    </row>
    <row r="528" customFormat="false" ht="15" hidden="false" customHeight="false" outlineLevel="0" collapsed="false">
      <c r="A528" s="2" t="n">
        <v>527</v>
      </c>
      <c r="B528" s="2" t="n">
        <v>38</v>
      </c>
      <c r="C528" s="3" t="str">
        <f aca="false">INDEX('부작 목록'!$C$2:$C$66,B528)</f>
        <v>칸타브리아 저택 취재와 출판 계약</v>
      </c>
      <c r="D528" s="3" t="s">
        <v>81</v>
      </c>
      <c r="E528" s="2" t="n">
        <v>9950</v>
      </c>
      <c r="F528" s="2" t="n">
        <v>17</v>
      </c>
      <c r="G528" s="4" t="s">
        <v>673</v>
      </c>
    </row>
    <row r="529" customFormat="false" ht="15" hidden="false" customHeight="false" outlineLevel="0" collapsed="false">
      <c r="A529" s="2" t="n">
        <v>528</v>
      </c>
      <c r="B529" s="2" t="n">
        <v>38</v>
      </c>
      <c r="C529" s="3" t="str">
        <f aca="false">INDEX('부작 목록'!$C$2:$C$66,B529)</f>
        <v>칸타브리아 저택 취재와 출판 계약</v>
      </c>
      <c r="D529" s="3" t="s">
        <v>81</v>
      </c>
      <c r="E529" s="2" t="n">
        <v>9970</v>
      </c>
      <c r="F529" s="2" t="n">
        <v>18</v>
      </c>
      <c r="G529" s="4" t="s">
        <v>674</v>
      </c>
    </row>
    <row r="530" customFormat="false" ht="15" hidden="false" customHeight="false" outlineLevel="0" collapsed="false">
      <c r="A530" s="2" t="n">
        <v>529</v>
      </c>
      <c r="B530" s="2" t="n">
        <v>38</v>
      </c>
      <c r="C530" s="3" t="str">
        <f aca="false">INDEX('부작 목록'!$C$2:$C$66,B530)</f>
        <v>칸타브리아 저택 취재와 출판 계약</v>
      </c>
      <c r="D530" s="3" t="s">
        <v>81</v>
      </c>
      <c r="E530" s="2" t="n">
        <v>9990</v>
      </c>
      <c r="F530" s="2" t="n">
        <v>16</v>
      </c>
      <c r="G530" s="4" t="s">
        <v>675</v>
      </c>
    </row>
    <row r="531" customFormat="false" ht="15" hidden="false" customHeight="false" outlineLevel="0" collapsed="false">
      <c r="A531" s="2" t="n">
        <v>530</v>
      </c>
      <c r="B531" s="2" t="n">
        <v>38</v>
      </c>
      <c r="C531" s="3" t="str">
        <f aca="false">INDEX('부작 목록'!$C$2:$C$66,B531)</f>
        <v>칸타브리아 저택 취재와 출판 계약</v>
      </c>
      <c r="D531" s="3" t="s">
        <v>81</v>
      </c>
      <c r="E531" s="2" t="n">
        <v>10009</v>
      </c>
      <c r="F531" s="2" t="n">
        <v>17</v>
      </c>
      <c r="G531" s="4" t="s">
        <v>676</v>
      </c>
    </row>
    <row r="532" customFormat="false" ht="15" hidden="false" customHeight="false" outlineLevel="0" collapsed="false">
      <c r="A532" s="2" t="n">
        <v>531</v>
      </c>
      <c r="B532" s="2" t="n">
        <v>38</v>
      </c>
      <c r="C532" s="3" t="str">
        <f aca="false">INDEX('부작 목록'!$C$2:$C$66,B532)</f>
        <v>칸타브리아 저택 취재와 출판 계약</v>
      </c>
      <c r="D532" s="3" t="s">
        <v>81</v>
      </c>
      <c r="E532" s="2" t="n">
        <v>10029</v>
      </c>
      <c r="F532" s="2" t="n">
        <v>11</v>
      </c>
      <c r="G532" s="4" t="s">
        <v>677</v>
      </c>
    </row>
    <row r="533" customFormat="false" ht="15" hidden="false" customHeight="false" outlineLevel="0" collapsed="false">
      <c r="A533" s="2" t="n">
        <v>532</v>
      </c>
      <c r="B533" s="2" t="n">
        <v>38</v>
      </c>
      <c r="C533" s="3" t="str">
        <f aca="false">INDEX('부작 목록'!$C$2:$C$66,B533)</f>
        <v>칸타브리아 저택 취재와 출판 계약</v>
      </c>
      <c r="D533" s="3" t="s">
        <v>81</v>
      </c>
      <c r="E533" s="2" t="n">
        <v>10043</v>
      </c>
      <c r="F533" s="2" t="n">
        <v>13</v>
      </c>
      <c r="G533" s="4" t="s">
        <v>678</v>
      </c>
    </row>
    <row r="534" customFormat="false" ht="15" hidden="false" customHeight="false" outlineLevel="0" collapsed="false">
      <c r="A534" s="2" t="n">
        <v>533</v>
      </c>
      <c r="B534" s="2" t="n">
        <v>38</v>
      </c>
      <c r="C534" s="3" t="str">
        <f aca="false">INDEX('부작 목록'!$C$2:$C$66,B534)</f>
        <v>칸타브리아 저택 취재와 출판 계약</v>
      </c>
      <c r="D534" s="3" t="s">
        <v>81</v>
      </c>
      <c r="E534" s="2" t="n">
        <v>10059</v>
      </c>
      <c r="F534" s="2" t="n">
        <v>16</v>
      </c>
      <c r="G534" s="4" t="s">
        <v>679</v>
      </c>
    </row>
    <row r="535" customFormat="false" ht="28.35" hidden="false" customHeight="false" outlineLevel="0" collapsed="false">
      <c r="A535" s="2" t="n">
        <v>534</v>
      </c>
      <c r="B535" s="2" t="n">
        <v>38</v>
      </c>
      <c r="C535" s="3" t="str">
        <f aca="false">INDEX('부작 목록'!$C$2:$C$66,B535)</f>
        <v>칸타브리아 저택 취재와 출판 계약</v>
      </c>
      <c r="D535" s="3" t="s">
        <v>81</v>
      </c>
      <c r="E535" s="2" t="n">
        <v>10078</v>
      </c>
      <c r="F535" s="2" t="n">
        <v>20</v>
      </c>
      <c r="G535" s="4" t="s">
        <v>680</v>
      </c>
    </row>
    <row r="536" customFormat="false" ht="15" hidden="false" customHeight="false" outlineLevel="0" collapsed="false">
      <c r="A536" s="2" t="n">
        <v>535</v>
      </c>
      <c r="B536" s="2" t="n">
        <v>38</v>
      </c>
      <c r="C536" s="3" t="str">
        <f aca="false">INDEX('부작 목록'!$C$2:$C$66,B536)</f>
        <v>칸타브리아 저택 취재와 출판 계약</v>
      </c>
      <c r="D536" s="3" t="s">
        <v>81</v>
      </c>
      <c r="E536" s="2" t="n">
        <v>10101</v>
      </c>
      <c r="F536" s="2" t="n">
        <v>10</v>
      </c>
      <c r="G536" s="4" t="s">
        <v>681</v>
      </c>
    </row>
    <row r="537" customFormat="false" ht="15" hidden="false" customHeight="false" outlineLevel="0" collapsed="false">
      <c r="A537" s="2" t="n">
        <v>536</v>
      </c>
      <c r="B537" s="2" t="n">
        <v>38</v>
      </c>
      <c r="C537" s="3" t="str">
        <f aca="false">INDEX('부작 목록'!$C$2:$C$66,B537)</f>
        <v>칸타브리아 저택 취재와 출판 계약</v>
      </c>
      <c r="D537" s="3" t="s">
        <v>81</v>
      </c>
      <c r="E537" s="2" t="n">
        <v>10113</v>
      </c>
      <c r="F537" s="2" t="n">
        <v>15</v>
      </c>
      <c r="G537" s="4" t="s">
        <v>682</v>
      </c>
    </row>
    <row r="538" customFormat="false" ht="15" hidden="false" customHeight="false" outlineLevel="0" collapsed="false">
      <c r="A538" s="2" t="n">
        <v>537</v>
      </c>
      <c r="B538" s="2" t="n">
        <v>38</v>
      </c>
      <c r="C538" s="3" t="str">
        <f aca="false">INDEX('부작 목록'!$C$2:$C$66,B538)</f>
        <v>칸타브리아 저택 취재와 출판 계약</v>
      </c>
      <c r="D538" s="3" t="s">
        <v>81</v>
      </c>
      <c r="E538" s="2" t="n">
        <v>10131</v>
      </c>
      <c r="F538" s="2" t="n">
        <v>15</v>
      </c>
      <c r="G538" s="4" t="s">
        <v>683</v>
      </c>
    </row>
    <row r="539" customFormat="false" ht="28.35" hidden="false" customHeight="false" outlineLevel="0" collapsed="false">
      <c r="A539" s="2" t="n">
        <v>538</v>
      </c>
      <c r="B539" s="2" t="n">
        <v>38</v>
      </c>
      <c r="C539" s="3" t="str">
        <f aca="false">INDEX('부작 목록'!$C$2:$C$66,B539)</f>
        <v>칸타브리아 저택 취재와 출판 계약</v>
      </c>
      <c r="D539" s="3" t="s">
        <v>81</v>
      </c>
      <c r="E539" s="2" t="n">
        <v>10149</v>
      </c>
      <c r="F539" s="2" t="n">
        <v>15</v>
      </c>
      <c r="G539" s="4" t="s">
        <v>684</v>
      </c>
    </row>
    <row r="540" customFormat="false" ht="15" hidden="false" customHeight="false" outlineLevel="0" collapsed="false">
      <c r="A540" s="2" t="n">
        <v>539</v>
      </c>
      <c r="B540" s="2" t="n">
        <v>38</v>
      </c>
      <c r="C540" s="3" t="str">
        <f aca="false">INDEX('부작 목록'!$C$2:$C$66,B540)</f>
        <v>칸타브리아 저택 취재와 출판 계약</v>
      </c>
      <c r="D540" s="3" t="s">
        <v>81</v>
      </c>
      <c r="E540" s="2" t="n">
        <v>10167</v>
      </c>
      <c r="F540" s="2" t="n">
        <v>14</v>
      </c>
      <c r="G540" s="4" t="s">
        <v>685</v>
      </c>
    </row>
    <row r="541" customFormat="false" ht="15" hidden="false" customHeight="false" outlineLevel="0" collapsed="false">
      <c r="A541" s="2" t="n">
        <v>540</v>
      </c>
      <c r="B541" s="2" t="n">
        <v>38</v>
      </c>
      <c r="C541" s="3" t="str">
        <f aca="false">INDEX('부작 목록'!$C$2:$C$66,B541)</f>
        <v>칸타브리아 저택 취재와 출판 계약</v>
      </c>
      <c r="D541" s="3" t="s">
        <v>81</v>
      </c>
      <c r="E541" s="2" t="n">
        <v>10184</v>
      </c>
      <c r="F541" s="2" t="n">
        <v>14</v>
      </c>
      <c r="G541" s="4" t="s">
        <v>686</v>
      </c>
    </row>
    <row r="542" customFormat="false" ht="15" hidden="false" customHeight="false" outlineLevel="0" collapsed="false">
      <c r="A542" s="2" t="n">
        <v>541</v>
      </c>
      <c r="B542" s="2" t="n">
        <v>38</v>
      </c>
      <c r="C542" s="3" t="str">
        <f aca="false">INDEX('부작 목록'!$C$2:$C$66,B542)</f>
        <v>칸타브리아 저택 취재와 출판 계약</v>
      </c>
      <c r="D542" s="3" t="s">
        <v>81</v>
      </c>
      <c r="E542" s="2" t="n">
        <v>10201</v>
      </c>
      <c r="F542" s="2" t="n">
        <v>17</v>
      </c>
      <c r="G542" s="4" t="s">
        <v>687</v>
      </c>
    </row>
    <row r="543" customFormat="false" ht="15" hidden="false" customHeight="false" outlineLevel="0" collapsed="false">
      <c r="A543" s="2" t="n">
        <v>542</v>
      </c>
      <c r="B543" s="2" t="n">
        <v>38</v>
      </c>
      <c r="C543" s="3" t="str">
        <f aca="false">INDEX('부작 목록'!$C$2:$C$66,B543)</f>
        <v>칸타브리아 저택 취재와 출판 계약</v>
      </c>
      <c r="D543" s="3" t="s">
        <v>81</v>
      </c>
      <c r="E543" s="2" t="n">
        <v>10221</v>
      </c>
      <c r="F543" s="2" t="n">
        <v>15</v>
      </c>
      <c r="G543" s="4" t="s">
        <v>688</v>
      </c>
    </row>
    <row r="544" customFormat="false" ht="15" hidden="false" customHeight="false" outlineLevel="0" collapsed="false">
      <c r="A544" s="2" t="n">
        <v>543</v>
      </c>
      <c r="B544" s="2" t="n">
        <v>38</v>
      </c>
      <c r="C544" s="3" t="str">
        <f aca="false">INDEX('부작 목록'!$C$2:$C$66,B544)</f>
        <v>칸타브리아 저택 취재와 출판 계약</v>
      </c>
      <c r="D544" s="3" t="s">
        <v>81</v>
      </c>
      <c r="E544" s="2" t="n">
        <v>10238</v>
      </c>
      <c r="F544" s="2" t="n">
        <v>20</v>
      </c>
      <c r="G544" s="4" t="s">
        <v>689</v>
      </c>
    </row>
    <row r="545" customFormat="false" ht="15" hidden="false" customHeight="false" outlineLevel="0" collapsed="false">
      <c r="A545" s="2" t="n">
        <v>544</v>
      </c>
      <c r="B545" s="2" t="n">
        <v>38</v>
      </c>
      <c r="C545" s="3" t="str">
        <f aca="false">INDEX('부작 목록'!$C$2:$C$66,B545)</f>
        <v>칸타브리아 저택 취재와 출판 계약</v>
      </c>
      <c r="D545" s="3" t="s">
        <v>81</v>
      </c>
      <c r="E545" s="2" t="n">
        <v>10263</v>
      </c>
      <c r="F545" s="2" t="n">
        <v>13</v>
      </c>
      <c r="G545" s="4" t="s">
        <v>690</v>
      </c>
    </row>
    <row r="546" customFormat="false" ht="15" hidden="false" customHeight="false" outlineLevel="0" collapsed="false">
      <c r="A546" s="2" t="n">
        <v>545</v>
      </c>
      <c r="B546" s="2" t="n">
        <v>38</v>
      </c>
      <c r="C546" s="3" t="str">
        <f aca="false">INDEX('부작 목록'!$C$2:$C$66,B546)</f>
        <v>칸타브리아 저택 취재와 출판 계약</v>
      </c>
      <c r="D546" s="3" t="s">
        <v>81</v>
      </c>
      <c r="E546" s="2" t="n">
        <v>10279</v>
      </c>
      <c r="F546" s="2" t="n">
        <v>15</v>
      </c>
      <c r="G546" s="4" t="s">
        <v>691</v>
      </c>
    </row>
    <row r="547" customFormat="false" ht="15" hidden="false" customHeight="false" outlineLevel="0" collapsed="false">
      <c r="A547" s="2" t="n">
        <v>546</v>
      </c>
      <c r="B547" s="2" t="n">
        <v>38</v>
      </c>
      <c r="C547" s="3" t="str">
        <f aca="false">INDEX('부작 목록'!$C$2:$C$66,B547)</f>
        <v>칸타브리아 저택 취재와 출판 계약</v>
      </c>
      <c r="D547" s="3" t="s">
        <v>81</v>
      </c>
      <c r="E547" s="2" t="n">
        <v>10297</v>
      </c>
      <c r="F547" s="2" t="n">
        <v>16</v>
      </c>
      <c r="G547" s="4" t="s">
        <v>692</v>
      </c>
    </row>
    <row r="548" customFormat="false" ht="15" hidden="false" customHeight="false" outlineLevel="0" collapsed="false">
      <c r="A548" s="2" t="n">
        <v>547</v>
      </c>
      <c r="B548" s="2" t="n">
        <v>38</v>
      </c>
      <c r="C548" s="3" t="str">
        <f aca="false">INDEX('부작 목록'!$C$2:$C$66,B548)</f>
        <v>칸타브리아 저택 취재와 출판 계약</v>
      </c>
      <c r="D548" s="3" t="s">
        <v>81</v>
      </c>
      <c r="E548" s="2" t="n">
        <v>10316</v>
      </c>
      <c r="F548" s="2" t="n">
        <v>4</v>
      </c>
      <c r="G548" s="4" t="s">
        <v>693</v>
      </c>
    </row>
    <row r="549" customFormat="false" ht="28.35" hidden="false" customHeight="false" outlineLevel="0" collapsed="false">
      <c r="A549" s="2" t="n">
        <v>548</v>
      </c>
      <c r="B549" s="2" t="n">
        <v>39</v>
      </c>
      <c r="C549" s="3" t="str">
        <f aca="false">INDEX('부작 목록'!$C$2:$C$66,B549)</f>
        <v>빅토르의 접선과 망명</v>
      </c>
      <c r="D549" s="3" t="s">
        <v>94</v>
      </c>
      <c r="E549" s="2" t="n">
        <v>10322</v>
      </c>
      <c r="F549" s="2" t="n">
        <v>14</v>
      </c>
      <c r="G549" s="4" t="s">
        <v>694</v>
      </c>
    </row>
    <row r="550" customFormat="false" ht="28.35" hidden="false" customHeight="false" outlineLevel="0" collapsed="false">
      <c r="A550" s="2" t="n">
        <v>549</v>
      </c>
      <c r="B550" s="2" t="n">
        <v>39</v>
      </c>
      <c r="C550" s="3" t="str">
        <f aca="false">INDEX('부작 목록'!$C$2:$C$66,B550)</f>
        <v>빅토르의 접선과 망명</v>
      </c>
      <c r="D550" s="3" t="s">
        <v>94</v>
      </c>
      <c r="E550" s="2" t="n">
        <v>10339</v>
      </c>
      <c r="F550" s="2" t="n">
        <v>16</v>
      </c>
      <c r="G550" s="4" t="s">
        <v>695</v>
      </c>
    </row>
    <row r="551" customFormat="false" ht="15" hidden="false" customHeight="false" outlineLevel="0" collapsed="false">
      <c r="A551" s="2" t="n">
        <v>550</v>
      </c>
      <c r="B551" s="2" t="n">
        <v>39</v>
      </c>
      <c r="C551" s="3" t="str">
        <f aca="false">INDEX('부작 목록'!$C$2:$C$66,B551)</f>
        <v>빅토르의 접선과 망명</v>
      </c>
      <c r="D551" s="3" t="s">
        <v>94</v>
      </c>
      <c r="E551" s="2" t="n">
        <v>10358</v>
      </c>
      <c r="F551" s="2" t="n">
        <v>14</v>
      </c>
      <c r="G551" s="4" t="s">
        <v>696</v>
      </c>
    </row>
    <row r="552" customFormat="false" ht="28.35" hidden="false" customHeight="false" outlineLevel="0" collapsed="false">
      <c r="A552" s="2" t="n">
        <v>551</v>
      </c>
      <c r="B552" s="2" t="n">
        <v>39</v>
      </c>
      <c r="C552" s="3" t="str">
        <f aca="false">INDEX('부작 목록'!$C$2:$C$66,B552)</f>
        <v>빅토르의 접선과 망명</v>
      </c>
      <c r="D552" s="3" t="s">
        <v>94</v>
      </c>
      <c r="E552" s="2" t="n">
        <v>10375</v>
      </c>
      <c r="F552" s="2" t="n">
        <v>15</v>
      </c>
      <c r="G552" s="4" t="s">
        <v>697</v>
      </c>
    </row>
    <row r="553" customFormat="false" ht="15" hidden="false" customHeight="false" outlineLevel="0" collapsed="false">
      <c r="A553" s="2" t="n">
        <v>552</v>
      </c>
      <c r="B553" s="2" t="n">
        <v>39</v>
      </c>
      <c r="C553" s="3" t="str">
        <f aca="false">INDEX('부작 목록'!$C$2:$C$66,B553)</f>
        <v>빅토르의 접선과 망명</v>
      </c>
      <c r="D553" s="3" t="s">
        <v>94</v>
      </c>
      <c r="E553" s="2" t="n">
        <v>10392</v>
      </c>
      <c r="F553" s="2" t="n">
        <v>15</v>
      </c>
      <c r="G553" s="4" t="s">
        <v>698</v>
      </c>
    </row>
    <row r="554" customFormat="false" ht="15" hidden="false" customHeight="false" outlineLevel="0" collapsed="false">
      <c r="A554" s="2" t="n">
        <v>553</v>
      </c>
      <c r="B554" s="2" t="n">
        <v>39</v>
      </c>
      <c r="C554" s="3" t="str">
        <f aca="false">INDEX('부작 목록'!$C$2:$C$66,B554)</f>
        <v>빅토르의 접선과 망명</v>
      </c>
      <c r="D554" s="3" t="s">
        <v>94</v>
      </c>
      <c r="E554" s="2" t="n">
        <v>10409</v>
      </c>
      <c r="F554" s="2" t="n">
        <v>11</v>
      </c>
      <c r="G554" s="4" t="s">
        <v>699</v>
      </c>
    </row>
    <row r="555" customFormat="false" ht="15" hidden="false" customHeight="false" outlineLevel="0" collapsed="false">
      <c r="A555" s="2" t="n">
        <v>554</v>
      </c>
      <c r="B555" s="2" t="n">
        <v>39</v>
      </c>
      <c r="C555" s="3" t="str">
        <f aca="false">INDEX('부작 목록'!$C$2:$C$66,B555)</f>
        <v>빅토르의 접선과 망명</v>
      </c>
      <c r="D555" s="3" t="s">
        <v>94</v>
      </c>
      <c r="E555" s="2" t="n">
        <v>10423</v>
      </c>
      <c r="F555" s="2" t="n">
        <v>15</v>
      </c>
      <c r="G555" s="4" t="s">
        <v>700</v>
      </c>
    </row>
    <row r="556" customFormat="false" ht="28.35" hidden="false" customHeight="false" outlineLevel="0" collapsed="false">
      <c r="A556" s="2" t="n">
        <v>555</v>
      </c>
      <c r="B556" s="2" t="n">
        <v>39</v>
      </c>
      <c r="C556" s="3" t="str">
        <f aca="false">INDEX('부작 목록'!$C$2:$C$66,B556)</f>
        <v>빅토르의 접선과 망명</v>
      </c>
      <c r="D556" s="3" t="s">
        <v>94</v>
      </c>
      <c r="E556" s="2" t="n">
        <v>10441</v>
      </c>
      <c r="F556" s="2" t="n">
        <v>14</v>
      </c>
      <c r="G556" s="4" t="s">
        <v>701</v>
      </c>
    </row>
    <row r="557" customFormat="false" ht="15" hidden="false" customHeight="false" outlineLevel="0" collapsed="false">
      <c r="A557" s="2" t="n">
        <v>556</v>
      </c>
      <c r="B557" s="2" t="n">
        <v>39</v>
      </c>
      <c r="C557" s="3" t="str">
        <f aca="false">INDEX('부작 목록'!$C$2:$C$66,B557)</f>
        <v>빅토르의 접선과 망명</v>
      </c>
      <c r="D557" s="3" t="s">
        <v>94</v>
      </c>
      <c r="E557" s="2" t="n">
        <v>10457</v>
      </c>
      <c r="F557" s="2" t="n">
        <v>15</v>
      </c>
      <c r="G557" s="6" t="s">
        <v>702</v>
      </c>
    </row>
    <row r="558" customFormat="false" ht="15" hidden="false" customHeight="false" outlineLevel="0" collapsed="false">
      <c r="A558" s="2" t="n">
        <v>557</v>
      </c>
      <c r="B558" s="2" t="n">
        <v>39</v>
      </c>
      <c r="C558" s="3" t="str">
        <f aca="false">INDEX('부작 목록'!$C$2:$C$66,B558)</f>
        <v>빅토르의 접선과 망명</v>
      </c>
      <c r="D558" s="3" t="s">
        <v>94</v>
      </c>
      <c r="E558" s="2" t="n">
        <v>10474</v>
      </c>
      <c r="F558" s="2" t="n">
        <v>14</v>
      </c>
      <c r="G558" s="4" t="s">
        <v>703</v>
      </c>
    </row>
    <row r="559" customFormat="false" ht="28.35" hidden="false" customHeight="false" outlineLevel="0" collapsed="false">
      <c r="A559" s="2" t="n">
        <v>558</v>
      </c>
      <c r="B559" s="2" t="n">
        <v>40</v>
      </c>
      <c r="C559" s="3" t="str">
        <f aca="false">INDEX('부작 목록'!$C$2:$C$66,B559)</f>
        <v>신빙성 검증: 임플란트와 산타클로스 작전</v>
      </c>
      <c r="D559" s="3" t="s">
        <v>94</v>
      </c>
      <c r="E559" s="2" t="n">
        <v>10491</v>
      </c>
      <c r="F559" s="2" t="n">
        <v>14</v>
      </c>
      <c r="G559" s="6" t="s">
        <v>704</v>
      </c>
    </row>
    <row r="560" customFormat="false" ht="15" hidden="false" customHeight="false" outlineLevel="0" collapsed="false">
      <c r="A560" s="2" t="n">
        <v>559</v>
      </c>
      <c r="B560" s="2" t="n">
        <v>40</v>
      </c>
      <c r="C560" s="3" t="str">
        <f aca="false">INDEX('부작 목록'!$C$2:$C$66,B560)</f>
        <v>신빙성 검증: 임플란트와 산타클로스 작전</v>
      </c>
      <c r="D560" s="3" t="s">
        <v>94</v>
      </c>
      <c r="E560" s="2" t="n">
        <v>10508</v>
      </c>
      <c r="F560" s="2" t="n">
        <v>14</v>
      </c>
      <c r="G560" s="4" t="s">
        <v>705</v>
      </c>
    </row>
    <row r="561" customFormat="false" ht="15" hidden="false" customHeight="false" outlineLevel="0" collapsed="false">
      <c r="A561" s="2" t="n">
        <v>560</v>
      </c>
      <c r="B561" s="2" t="n">
        <v>40</v>
      </c>
      <c r="C561" s="3" t="str">
        <f aca="false">INDEX('부작 목록'!$C$2:$C$66,B561)</f>
        <v>신빙성 검증: 임플란트와 산타클로스 작전</v>
      </c>
      <c r="D561" s="3" t="s">
        <v>94</v>
      </c>
      <c r="E561" s="2" t="n">
        <v>10525</v>
      </c>
      <c r="F561" s="2" t="n">
        <v>13</v>
      </c>
      <c r="G561" s="4" t="s">
        <v>706</v>
      </c>
    </row>
    <row r="562" customFormat="false" ht="15" hidden="false" customHeight="false" outlineLevel="0" collapsed="false">
      <c r="A562" s="2" t="n">
        <v>561</v>
      </c>
      <c r="B562" s="2" t="n">
        <v>40</v>
      </c>
      <c r="C562" s="3" t="str">
        <f aca="false">INDEX('부작 목록'!$C$2:$C$66,B562)</f>
        <v>신빙성 검증: 임플란트와 산타클로스 작전</v>
      </c>
      <c r="D562" s="3" t="s">
        <v>94</v>
      </c>
      <c r="E562" s="2" t="n">
        <v>10541</v>
      </c>
      <c r="F562" s="2" t="n">
        <v>15</v>
      </c>
      <c r="G562" s="4" t="s">
        <v>707</v>
      </c>
    </row>
    <row r="563" customFormat="false" ht="15" hidden="false" customHeight="false" outlineLevel="0" collapsed="false">
      <c r="A563" s="2" t="n">
        <v>562</v>
      </c>
      <c r="B563" s="2" t="n">
        <v>40</v>
      </c>
      <c r="C563" s="3" t="str">
        <f aca="false">INDEX('부작 목록'!$C$2:$C$66,B563)</f>
        <v>신빙성 검증: 임플란트와 산타클로스 작전</v>
      </c>
      <c r="D563" s="3" t="s">
        <v>94</v>
      </c>
      <c r="E563" s="2" t="n">
        <v>10559</v>
      </c>
      <c r="F563" s="2" t="n">
        <v>14</v>
      </c>
      <c r="G563" s="4" t="s">
        <v>708</v>
      </c>
    </row>
    <row r="564" customFormat="false" ht="15" hidden="false" customHeight="false" outlineLevel="0" collapsed="false">
      <c r="A564" s="2" t="n">
        <v>563</v>
      </c>
      <c r="B564" s="2" t="n">
        <v>40</v>
      </c>
      <c r="C564" s="3" t="str">
        <f aca="false">INDEX('부작 목록'!$C$2:$C$66,B564)</f>
        <v>신빙성 검증: 임플란트와 산타클로스 작전</v>
      </c>
      <c r="D564" s="3" t="s">
        <v>94</v>
      </c>
      <c r="E564" s="2" t="n">
        <v>10575</v>
      </c>
      <c r="F564" s="2" t="n">
        <v>14</v>
      </c>
      <c r="G564" s="4" t="s">
        <v>709</v>
      </c>
    </row>
    <row r="565" customFormat="false" ht="15" hidden="false" customHeight="false" outlineLevel="0" collapsed="false">
      <c r="A565" s="2" t="n">
        <v>564</v>
      </c>
      <c r="B565" s="2" t="n">
        <v>40</v>
      </c>
      <c r="C565" s="3" t="str">
        <f aca="false">INDEX('부작 목록'!$C$2:$C$66,B565)</f>
        <v>신빙성 검증: 임플란트와 산타클로스 작전</v>
      </c>
      <c r="D565" s="3" t="s">
        <v>94</v>
      </c>
      <c r="E565" s="2" t="n">
        <v>10592</v>
      </c>
      <c r="F565" s="2" t="n">
        <v>14</v>
      </c>
      <c r="G565" s="4" t="s">
        <v>710</v>
      </c>
    </row>
    <row r="566" customFormat="false" ht="15" hidden="false" customHeight="false" outlineLevel="0" collapsed="false">
      <c r="A566" s="2" t="n">
        <v>565</v>
      </c>
      <c r="B566" s="2" t="n">
        <v>40</v>
      </c>
      <c r="C566" s="3" t="str">
        <f aca="false">INDEX('부작 목록'!$C$2:$C$66,B566)</f>
        <v>신빙성 검증: 임플란트와 산타클로스 작전</v>
      </c>
      <c r="D566" s="3" t="s">
        <v>94</v>
      </c>
      <c r="E566" s="2" t="n">
        <v>10609</v>
      </c>
      <c r="F566" s="2" t="n">
        <v>13</v>
      </c>
      <c r="G566" s="4" t="s">
        <v>711</v>
      </c>
    </row>
    <row r="567" customFormat="false" ht="15" hidden="false" customHeight="false" outlineLevel="0" collapsed="false">
      <c r="A567" s="2" t="n">
        <v>566</v>
      </c>
      <c r="B567" s="2" t="n">
        <v>40</v>
      </c>
      <c r="C567" s="3" t="str">
        <f aca="false">INDEX('부작 목록'!$C$2:$C$66,B567)</f>
        <v>신빙성 검증: 임플란트와 산타클로스 작전</v>
      </c>
      <c r="D567" s="3" t="s">
        <v>94</v>
      </c>
      <c r="E567" s="2" t="n">
        <v>10624</v>
      </c>
      <c r="F567" s="2" t="n">
        <v>10</v>
      </c>
      <c r="G567" s="4" t="s">
        <v>712</v>
      </c>
    </row>
    <row r="568" customFormat="false" ht="15" hidden="false" customHeight="false" outlineLevel="0" collapsed="false">
      <c r="A568" s="2" t="n">
        <v>567</v>
      </c>
      <c r="B568" s="2" t="n">
        <v>40</v>
      </c>
      <c r="C568" s="3" t="str">
        <f aca="false">INDEX('부작 목록'!$C$2:$C$66,B568)</f>
        <v>신빙성 검증: 임플란트와 산타클로스 작전</v>
      </c>
      <c r="D568" s="3" t="s">
        <v>94</v>
      </c>
      <c r="E568" s="2" t="n">
        <v>10636</v>
      </c>
      <c r="F568" s="2" t="n">
        <v>10</v>
      </c>
      <c r="G568" s="4" t="s">
        <v>713</v>
      </c>
    </row>
    <row r="569" customFormat="false" ht="15" hidden="false" customHeight="false" outlineLevel="0" collapsed="false">
      <c r="A569" s="2" t="n">
        <v>568</v>
      </c>
      <c r="B569" s="2" t="n">
        <v>40</v>
      </c>
      <c r="C569" s="3" t="str">
        <f aca="false">INDEX('부작 목록'!$C$2:$C$66,B569)</f>
        <v>신빙성 검증: 임플란트와 산타클로스 작전</v>
      </c>
      <c r="D569" s="3" t="s">
        <v>94</v>
      </c>
      <c r="E569" s="2" t="n">
        <v>10649</v>
      </c>
      <c r="F569" s="2" t="n">
        <v>11</v>
      </c>
      <c r="G569" s="4" t="s">
        <v>714</v>
      </c>
    </row>
    <row r="570" customFormat="false" ht="15" hidden="false" customHeight="false" outlineLevel="0" collapsed="false">
      <c r="A570" s="2" t="n">
        <v>569</v>
      </c>
      <c r="B570" s="2" t="n">
        <v>40</v>
      </c>
      <c r="C570" s="3" t="str">
        <f aca="false">INDEX('부작 목록'!$C$2:$C$66,B570)</f>
        <v>신빙성 검증: 임플란트와 산타클로스 작전</v>
      </c>
      <c r="D570" s="3" t="s">
        <v>94</v>
      </c>
      <c r="E570" s="2" t="n">
        <v>10663</v>
      </c>
      <c r="F570" s="2" t="n">
        <v>10</v>
      </c>
      <c r="G570" s="4" t="s">
        <v>715</v>
      </c>
    </row>
    <row r="571" customFormat="false" ht="15" hidden="false" customHeight="false" outlineLevel="0" collapsed="false">
      <c r="A571" s="2" t="n">
        <v>570</v>
      </c>
      <c r="B571" s="2" t="n">
        <v>40</v>
      </c>
      <c r="C571" s="3" t="str">
        <f aca="false">INDEX('부작 목록'!$C$2:$C$66,B571)</f>
        <v>신빙성 검증: 임플란트와 산타클로스 작전</v>
      </c>
      <c r="D571" s="3" t="s">
        <v>94</v>
      </c>
      <c r="E571" s="2" t="n">
        <v>10675</v>
      </c>
      <c r="F571" s="2" t="n">
        <v>10</v>
      </c>
      <c r="G571" s="4" t="s">
        <v>716</v>
      </c>
    </row>
    <row r="572" customFormat="false" ht="15" hidden="false" customHeight="false" outlineLevel="0" collapsed="false">
      <c r="A572" s="2" t="n">
        <v>571</v>
      </c>
      <c r="B572" s="2" t="n">
        <v>40</v>
      </c>
      <c r="C572" s="3" t="str">
        <f aca="false">INDEX('부작 목록'!$C$2:$C$66,B572)</f>
        <v>신빙성 검증: 임플란트와 산타클로스 작전</v>
      </c>
      <c r="D572" s="3" t="s">
        <v>94</v>
      </c>
      <c r="E572" s="2" t="n">
        <v>10688</v>
      </c>
      <c r="F572" s="2" t="n">
        <v>11</v>
      </c>
      <c r="G572" s="4" t="s">
        <v>717</v>
      </c>
    </row>
    <row r="573" customFormat="false" ht="15" hidden="false" customHeight="false" outlineLevel="0" collapsed="false">
      <c r="A573" s="2" t="n">
        <v>572</v>
      </c>
      <c r="B573" s="2" t="n">
        <v>40</v>
      </c>
      <c r="C573" s="3" t="str">
        <f aca="false">INDEX('부작 목록'!$C$2:$C$66,B573)</f>
        <v>신빙성 검증: 임플란트와 산타클로스 작전</v>
      </c>
      <c r="D573" s="3" t="s">
        <v>94</v>
      </c>
      <c r="E573" s="2" t="n">
        <v>10702</v>
      </c>
      <c r="F573" s="2" t="n">
        <v>8</v>
      </c>
      <c r="G573" s="4" t="s">
        <v>718</v>
      </c>
    </row>
    <row r="574" customFormat="false" ht="15" hidden="false" customHeight="false" outlineLevel="0" collapsed="false">
      <c r="A574" s="2" t="n">
        <v>573</v>
      </c>
      <c r="B574" s="2" t="n">
        <v>40</v>
      </c>
      <c r="C574" s="3" t="str">
        <f aca="false">INDEX('부작 목록'!$C$2:$C$66,B574)</f>
        <v>신빙성 검증: 임플란트와 산타클로스 작전</v>
      </c>
      <c r="D574" s="3" t="s">
        <v>94</v>
      </c>
      <c r="E574" s="2" t="n">
        <v>10712</v>
      </c>
      <c r="F574" s="2" t="n">
        <v>11</v>
      </c>
      <c r="G574" s="4" t="s">
        <v>719</v>
      </c>
    </row>
    <row r="575" customFormat="false" ht="15" hidden="false" customHeight="false" outlineLevel="0" collapsed="false">
      <c r="A575" s="2" t="n">
        <v>574</v>
      </c>
      <c r="B575" s="2" t="n">
        <v>40</v>
      </c>
      <c r="C575" s="3" t="str">
        <f aca="false">INDEX('부작 목록'!$C$2:$C$66,B575)</f>
        <v>신빙성 검증: 임플란트와 산타클로스 작전</v>
      </c>
      <c r="D575" s="3" t="s">
        <v>94</v>
      </c>
      <c r="E575" s="2" t="n">
        <v>10726</v>
      </c>
      <c r="F575" s="2" t="n">
        <v>8</v>
      </c>
      <c r="G575" s="4" t="s">
        <v>720</v>
      </c>
    </row>
    <row r="576" customFormat="false" ht="15" hidden="false" customHeight="false" outlineLevel="0" collapsed="false">
      <c r="A576" s="2" t="n">
        <v>575</v>
      </c>
      <c r="B576" s="2" t="n">
        <v>40</v>
      </c>
      <c r="C576" s="3" t="str">
        <f aca="false">INDEX('부작 목록'!$C$2:$C$66,B576)</f>
        <v>신빙성 검증: 임플란트와 산타클로스 작전</v>
      </c>
      <c r="D576" s="3" t="s">
        <v>94</v>
      </c>
      <c r="E576" s="2" t="n">
        <v>10736</v>
      </c>
      <c r="F576" s="2" t="n">
        <v>12</v>
      </c>
      <c r="G576" s="4" t="s">
        <v>721</v>
      </c>
    </row>
    <row r="577" customFormat="false" ht="15" hidden="false" customHeight="false" outlineLevel="0" collapsed="false">
      <c r="A577" s="2" t="n">
        <v>576</v>
      </c>
      <c r="B577" s="2" t="n">
        <v>40</v>
      </c>
      <c r="C577" s="3" t="str">
        <f aca="false">INDEX('부작 목록'!$C$2:$C$66,B577)</f>
        <v>신빙성 검증: 임플란트와 산타클로스 작전</v>
      </c>
      <c r="D577" s="3" t="s">
        <v>94</v>
      </c>
      <c r="E577" s="2" t="n">
        <v>10751</v>
      </c>
      <c r="F577" s="2" t="n">
        <v>15</v>
      </c>
      <c r="G577" s="4" t="s">
        <v>722</v>
      </c>
    </row>
    <row r="578" customFormat="false" ht="28.35" hidden="false" customHeight="false" outlineLevel="0" collapsed="false">
      <c r="A578" s="2" t="n">
        <v>577</v>
      </c>
      <c r="B578" s="2" t="n">
        <v>40</v>
      </c>
      <c r="C578" s="3" t="str">
        <f aca="false">INDEX('부작 목록'!$C$2:$C$66,B578)</f>
        <v>신빙성 검증: 임플란트와 산타클로스 작전</v>
      </c>
      <c r="D578" s="3" t="s">
        <v>94</v>
      </c>
      <c r="E578" s="2" t="n">
        <v>10769</v>
      </c>
      <c r="F578" s="2" t="n">
        <v>13</v>
      </c>
      <c r="G578" s="4" t="s">
        <v>723</v>
      </c>
    </row>
    <row r="579" customFormat="false" ht="28.35" hidden="false" customHeight="false" outlineLevel="0" collapsed="false">
      <c r="A579" s="2" t="n">
        <v>578</v>
      </c>
      <c r="B579" s="2" t="n">
        <v>40</v>
      </c>
      <c r="C579" s="3" t="str">
        <f aca="false">INDEX('부작 목록'!$C$2:$C$66,B579)</f>
        <v>신빙성 검증: 임플란트와 산타클로스 작전</v>
      </c>
      <c r="D579" s="3" t="s">
        <v>94</v>
      </c>
      <c r="E579" s="2" t="n">
        <v>10785</v>
      </c>
      <c r="F579" s="2" t="n">
        <v>14</v>
      </c>
      <c r="G579" s="4" t="s">
        <v>724</v>
      </c>
    </row>
    <row r="580" customFormat="false" ht="15" hidden="false" customHeight="false" outlineLevel="0" collapsed="false">
      <c r="A580" s="2" t="n">
        <v>579</v>
      </c>
      <c r="B580" s="2" t="n">
        <v>40</v>
      </c>
      <c r="C580" s="3" t="str">
        <f aca="false">INDEX('부작 목록'!$C$2:$C$66,B580)</f>
        <v>신빙성 검증: 임플란트와 산타클로스 작전</v>
      </c>
      <c r="D580" s="3" t="s">
        <v>94</v>
      </c>
      <c r="E580" s="2" t="n">
        <v>10802</v>
      </c>
      <c r="F580" s="2" t="n">
        <v>12</v>
      </c>
      <c r="G580" s="4" t="s">
        <v>725</v>
      </c>
    </row>
    <row r="581" customFormat="false" ht="15" hidden="false" customHeight="false" outlineLevel="0" collapsed="false">
      <c r="A581" s="2" t="n">
        <v>580</v>
      </c>
      <c r="B581" s="2" t="n">
        <v>40</v>
      </c>
      <c r="C581" s="3" t="str">
        <f aca="false">INDEX('부작 목록'!$C$2:$C$66,B581)</f>
        <v>신빙성 검증: 임플란트와 산타클로스 작전</v>
      </c>
      <c r="D581" s="3" t="s">
        <v>94</v>
      </c>
      <c r="E581" s="2" t="n">
        <v>10817</v>
      </c>
      <c r="F581" s="2" t="n">
        <v>13</v>
      </c>
      <c r="G581" s="4" t="s">
        <v>726</v>
      </c>
    </row>
    <row r="582" customFormat="false" ht="15" hidden="false" customHeight="false" outlineLevel="0" collapsed="false">
      <c r="A582" s="2" t="n">
        <v>581</v>
      </c>
      <c r="B582" s="2" t="n">
        <v>40</v>
      </c>
      <c r="C582" s="3" t="str">
        <f aca="false">INDEX('부작 목록'!$C$2:$C$66,B582)</f>
        <v>신빙성 검증: 임플란트와 산타클로스 작전</v>
      </c>
      <c r="D582" s="3" t="s">
        <v>94</v>
      </c>
      <c r="E582" s="2" t="n">
        <v>10832</v>
      </c>
      <c r="F582" s="2" t="n">
        <v>12</v>
      </c>
      <c r="G582" s="4" t="s">
        <v>727</v>
      </c>
    </row>
    <row r="583" customFormat="false" ht="15" hidden="false" customHeight="false" outlineLevel="0" collapsed="false">
      <c r="A583" s="2" t="n">
        <v>582</v>
      </c>
      <c r="B583" s="2" t="n">
        <v>40</v>
      </c>
      <c r="C583" s="3" t="str">
        <f aca="false">INDEX('부작 목록'!$C$2:$C$66,B583)</f>
        <v>신빙성 검증: 임플란트와 산타클로스 작전</v>
      </c>
      <c r="D583" s="3" t="s">
        <v>94</v>
      </c>
      <c r="E583" s="2" t="n">
        <v>10846</v>
      </c>
      <c r="F583" s="2" t="n">
        <v>9</v>
      </c>
      <c r="G583" s="4" t="s">
        <v>728</v>
      </c>
    </row>
    <row r="584" customFormat="false" ht="15" hidden="false" customHeight="false" outlineLevel="0" collapsed="false">
      <c r="A584" s="2" t="n">
        <v>583</v>
      </c>
      <c r="B584" s="2" t="n">
        <v>40</v>
      </c>
      <c r="C584" s="3" t="str">
        <f aca="false">INDEX('부작 목록'!$C$2:$C$66,B584)</f>
        <v>신빙성 검증: 임플란트와 산타클로스 작전</v>
      </c>
      <c r="D584" s="3" t="s">
        <v>94</v>
      </c>
      <c r="E584" s="2" t="n">
        <v>10858</v>
      </c>
      <c r="F584" s="2" t="n">
        <v>8</v>
      </c>
      <c r="G584" s="4" t="s">
        <v>729</v>
      </c>
    </row>
    <row r="585" customFormat="false" ht="15" hidden="false" customHeight="false" outlineLevel="0" collapsed="false">
      <c r="A585" s="2" t="n">
        <v>584</v>
      </c>
      <c r="B585" s="2" t="n">
        <v>40</v>
      </c>
      <c r="C585" s="3" t="str">
        <f aca="false">INDEX('부작 목록'!$C$2:$C$66,B585)</f>
        <v>신빙성 검증: 임플란트와 산타클로스 작전</v>
      </c>
      <c r="D585" s="3" t="s">
        <v>94</v>
      </c>
      <c r="E585" s="2" t="n">
        <v>10868</v>
      </c>
      <c r="F585" s="2" t="n">
        <v>7</v>
      </c>
      <c r="G585" s="4" t="s">
        <v>730</v>
      </c>
    </row>
    <row r="586" customFormat="false" ht="28.35" hidden="false" customHeight="false" outlineLevel="0" collapsed="false">
      <c r="A586" s="2" t="n">
        <v>585</v>
      </c>
      <c r="B586" s="2" t="n">
        <v>41</v>
      </c>
      <c r="C586" s="3" t="str">
        <f aca="false">INDEX('부작 목록'!$C$2:$C$66,B586)</f>
        <v>아담과 이브 작전</v>
      </c>
      <c r="D586" s="3" t="s">
        <v>94</v>
      </c>
      <c r="E586" s="2" t="n">
        <v>10877</v>
      </c>
      <c r="F586" s="2" t="n">
        <v>12</v>
      </c>
      <c r="G586" s="4" t="s">
        <v>731</v>
      </c>
    </row>
    <row r="587" customFormat="false" ht="15" hidden="false" customHeight="false" outlineLevel="0" collapsed="false">
      <c r="A587" s="2" t="n">
        <v>586</v>
      </c>
      <c r="B587" s="2" t="n">
        <v>41</v>
      </c>
      <c r="C587" s="3" t="str">
        <f aca="false">INDEX('부작 목록'!$C$2:$C$66,B587)</f>
        <v>아담과 이브 작전</v>
      </c>
      <c r="D587" s="3" t="s">
        <v>94</v>
      </c>
      <c r="E587" s="2" t="n">
        <v>10891</v>
      </c>
      <c r="F587" s="2" t="n">
        <v>10</v>
      </c>
      <c r="G587" s="4" t="s">
        <v>732</v>
      </c>
    </row>
    <row r="588" customFormat="false" ht="15" hidden="false" customHeight="false" outlineLevel="0" collapsed="false">
      <c r="A588" s="2" t="n">
        <v>587</v>
      </c>
      <c r="B588" s="2" t="n">
        <v>41</v>
      </c>
      <c r="C588" s="3" t="str">
        <f aca="false">INDEX('부작 목록'!$C$2:$C$66,B588)</f>
        <v>아담과 이브 작전</v>
      </c>
      <c r="D588" s="3" t="s">
        <v>94</v>
      </c>
      <c r="E588" s="2" t="n">
        <v>10904</v>
      </c>
      <c r="F588" s="2" t="n">
        <v>11</v>
      </c>
      <c r="G588" s="4" t="s">
        <v>733</v>
      </c>
    </row>
    <row r="589" customFormat="false" ht="15" hidden="false" customHeight="false" outlineLevel="0" collapsed="false">
      <c r="A589" s="2" t="n">
        <v>588</v>
      </c>
      <c r="B589" s="2" t="n">
        <v>41</v>
      </c>
      <c r="C589" s="3" t="str">
        <f aca="false">INDEX('부작 목록'!$C$2:$C$66,B589)</f>
        <v>아담과 이브 작전</v>
      </c>
      <c r="D589" s="3" t="s">
        <v>94</v>
      </c>
      <c r="E589" s="2" t="n">
        <v>10918</v>
      </c>
      <c r="F589" s="2" t="n">
        <v>10</v>
      </c>
      <c r="G589" s="4" t="s">
        <v>734</v>
      </c>
    </row>
    <row r="590" customFormat="false" ht="15" hidden="false" customHeight="false" outlineLevel="0" collapsed="false">
      <c r="A590" s="2" t="n">
        <v>589</v>
      </c>
      <c r="B590" s="2" t="n">
        <v>41</v>
      </c>
      <c r="C590" s="3" t="str">
        <f aca="false">INDEX('부작 목록'!$C$2:$C$66,B590)</f>
        <v>아담과 이브 작전</v>
      </c>
      <c r="D590" s="3" t="s">
        <v>94</v>
      </c>
      <c r="E590" s="2" t="n">
        <v>10930</v>
      </c>
      <c r="F590" s="2" t="n">
        <v>11</v>
      </c>
      <c r="G590" s="4" t="s">
        <v>735</v>
      </c>
    </row>
    <row r="591" customFormat="false" ht="15" hidden="false" customHeight="false" outlineLevel="0" collapsed="false">
      <c r="A591" s="2" t="n">
        <v>590</v>
      </c>
      <c r="B591" s="2" t="n">
        <v>41</v>
      </c>
      <c r="C591" s="3" t="str">
        <f aca="false">INDEX('부작 목록'!$C$2:$C$66,B591)</f>
        <v>아담과 이브 작전</v>
      </c>
      <c r="D591" s="3" t="s">
        <v>94</v>
      </c>
      <c r="E591" s="2" t="n">
        <v>10944</v>
      </c>
      <c r="F591" s="2" t="n">
        <v>10</v>
      </c>
      <c r="G591" s="4" t="s">
        <v>736</v>
      </c>
    </row>
    <row r="592" customFormat="false" ht="15" hidden="false" customHeight="false" outlineLevel="0" collapsed="false">
      <c r="A592" s="2" t="n">
        <v>591</v>
      </c>
      <c r="B592" s="2" t="n">
        <v>41</v>
      </c>
      <c r="C592" s="3" t="str">
        <f aca="false">INDEX('부작 목록'!$C$2:$C$66,B592)</f>
        <v>아담과 이브 작전</v>
      </c>
      <c r="D592" s="3" t="s">
        <v>94</v>
      </c>
      <c r="E592" s="2" t="n">
        <v>10957</v>
      </c>
      <c r="F592" s="2" t="n">
        <v>8</v>
      </c>
      <c r="G592" s="4" t="s">
        <v>737</v>
      </c>
    </row>
    <row r="593" customFormat="false" ht="15" hidden="false" customHeight="false" outlineLevel="0" collapsed="false">
      <c r="A593" s="2" t="n">
        <v>592</v>
      </c>
      <c r="B593" s="2" t="n">
        <v>41</v>
      </c>
      <c r="C593" s="3" t="str">
        <f aca="false">INDEX('부작 목록'!$C$2:$C$66,B593)</f>
        <v>아담과 이브 작전</v>
      </c>
      <c r="D593" s="3" t="s">
        <v>94</v>
      </c>
      <c r="E593" s="2" t="n">
        <v>10967</v>
      </c>
      <c r="F593" s="2" t="n">
        <v>11</v>
      </c>
      <c r="G593" s="4" t="s">
        <v>738</v>
      </c>
    </row>
    <row r="594" customFormat="false" ht="15" hidden="false" customHeight="false" outlineLevel="0" collapsed="false">
      <c r="A594" s="2" t="n">
        <v>593</v>
      </c>
      <c r="B594" s="2" t="n">
        <v>41</v>
      </c>
      <c r="C594" s="3" t="str">
        <f aca="false">INDEX('부작 목록'!$C$2:$C$66,B594)</f>
        <v>아담과 이브 작전</v>
      </c>
      <c r="D594" s="3" t="s">
        <v>94</v>
      </c>
      <c r="E594" s="2" t="n">
        <v>10981</v>
      </c>
      <c r="F594" s="2" t="n">
        <v>11</v>
      </c>
      <c r="G594" s="4" t="s">
        <v>739</v>
      </c>
    </row>
    <row r="595" customFormat="false" ht="15" hidden="false" customHeight="false" outlineLevel="0" collapsed="false">
      <c r="A595" s="2" t="n">
        <v>594</v>
      </c>
      <c r="B595" s="2" t="n">
        <v>41</v>
      </c>
      <c r="C595" s="3" t="str">
        <f aca="false">INDEX('부작 목록'!$C$2:$C$66,B595)</f>
        <v>아담과 이브 작전</v>
      </c>
      <c r="D595" s="3" t="s">
        <v>94</v>
      </c>
      <c r="E595" s="2" t="n">
        <v>10995</v>
      </c>
      <c r="F595" s="2" t="n">
        <v>9</v>
      </c>
      <c r="G595" s="4" t="s">
        <v>740</v>
      </c>
    </row>
    <row r="596" customFormat="false" ht="15" hidden="false" customHeight="false" outlineLevel="0" collapsed="false">
      <c r="A596" s="2" t="n">
        <v>595</v>
      </c>
      <c r="B596" s="2" t="n">
        <v>41</v>
      </c>
      <c r="C596" s="3" t="str">
        <f aca="false">INDEX('부작 목록'!$C$2:$C$66,B596)</f>
        <v>아담과 이브 작전</v>
      </c>
      <c r="D596" s="3" t="s">
        <v>94</v>
      </c>
      <c r="E596" s="2" t="n">
        <v>11006</v>
      </c>
      <c r="F596" s="2" t="n">
        <v>11</v>
      </c>
      <c r="G596" s="4" t="s">
        <v>741</v>
      </c>
    </row>
    <row r="597" customFormat="false" ht="15" hidden="false" customHeight="false" outlineLevel="0" collapsed="false">
      <c r="A597" s="2" t="n">
        <v>596</v>
      </c>
      <c r="B597" s="2" t="n">
        <v>42</v>
      </c>
      <c r="C597" s="3" t="str">
        <f aca="false">INDEX('부작 목록'!$C$2:$C$66,B597)</f>
        <v>알시온 작전: 로셀요의 기원</v>
      </c>
      <c r="D597" s="3" t="s">
        <v>94</v>
      </c>
      <c r="E597" s="2" t="n">
        <v>11020</v>
      </c>
      <c r="F597" s="2" t="n">
        <v>13</v>
      </c>
      <c r="G597" s="4" t="s">
        <v>742</v>
      </c>
    </row>
    <row r="598" customFormat="false" ht="15" hidden="false" customHeight="false" outlineLevel="0" collapsed="false">
      <c r="A598" s="2" t="n">
        <v>597</v>
      </c>
      <c r="B598" s="2" t="n">
        <v>42</v>
      </c>
      <c r="C598" s="3" t="str">
        <f aca="false">INDEX('부작 목록'!$C$2:$C$66,B598)</f>
        <v>알시온 작전: 로셀요의 기원</v>
      </c>
      <c r="D598" s="3" t="s">
        <v>94</v>
      </c>
      <c r="E598" s="2" t="n">
        <v>11036</v>
      </c>
      <c r="F598" s="2" t="n">
        <v>10</v>
      </c>
      <c r="G598" s="4" t="s">
        <v>743</v>
      </c>
    </row>
    <row r="599" customFormat="false" ht="15" hidden="false" customHeight="false" outlineLevel="0" collapsed="false">
      <c r="A599" s="2" t="n">
        <v>598</v>
      </c>
      <c r="B599" s="2" t="n">
        <v>42</v>
      </c>
      <c r="C599" s="3" t="str">
        <f aca="false">INDEX('부작 목록'!$C$2:$C$66,B599)</f>
        <v>알시온 작전: 로셀요의 기원</v>
      </c>
      <c r="D599" s="3" t="s">
        <v>94</v>
      </c>
      <c r="E599" s="2" t="n">
        <v>11048</v>
      </c>
      <c r="F599" s="2" t="n">
        <v>12</v>
      </c>
      <c r="G599" s="4" t="s">
        <v>744</v>
      </c>
    </row>
    <row r="600" customFormat="false" ht="15" hidden="false" customHeight="false" outlineLevel="0" collapsed="false">
      <c r="A600" s="2" t="n">
        <v>599</v>
      </c>
      <c r="B600" s="2" t="n">
        <v>42</v>
      </c>
      <c r="C600" s="3" t="str">
        <f aca="false">INDEX('부작 목록'!$C$2:$C$66,B600)</f>
        <v>알시온 작전: 로셀요의 기원</v>
      </c>
      <c r="D600" s="3" t="s">
        <v>94</v>
      </c>
      <c r="E600" s="2" t="n">
        <v>11063</v>
      </c>
      <c r="F600" s="2" t="n">
        <v>10</v>
      </c>
      <c r="G600" s="4" t="s">
        <v>745</v>
      </c>
    </row>
    <row r="601" customFormat="false" ht="15" hidden="false" customHeight="false" outlineLevel="0" collapsed="false">
      <c r="A601" s="2" t="n">
        <v>600</v>
      </c>
      <c r="B601" s="2" t="n">
        <v>42</v>
      </c>
      <c r="C601" s="3" t="str">
        <f aca="false">INDEX('부작 목록'!$C$2:$C$66,B601)</f>
        <v>알시온 작전: 로셀요의 기원</v>
      </c>
      <c r="D601" s="3" t="s">
        <v>94</v>
      </c>
      <c r="E601" s="2" t="n">
        <v>11076</v>
      </c>
      <c r="F601" s="2" t="n">
        <v>10</v>
      </c>
      <c r="G601" s="4" t="s">
        <v>746</v>
      </c>
    </row>
    <row r="602" customFormat="false" ht="15" hidden="false" customHeight="false" outlineLevel="0" collapsed="false">
      <c r="A602" s="2" t="n">
        <v>601</v>
      </c>
      <c r="B602" s="2" t="n">
        <v>42</v>
      </c>
      <c r="C602" s="3" t="str">
        <f aca="false">INDEX('부작 목록'!$C$2:$C$66,B602)</f>
        <v>알시온 작전: 로셀요의 기원</v>
      </c>
      <c r="D602" s="3" t="s">
        <v>94</v>
      </c>
      <c r="E602" s="2" t="n">
        <v>11088</v>
      </c>
      <c r="F602" s="2" t="n">
        <v>10</v>
      </c>
      <c r="G602" s="4" t="s">
        <v>747</v>
      </c>
    </row>
    <row r="603" customFormat="false" ht="15" hidden="false" customHeight="false" outlineLevel="0" collapsed="false">
      <c r="A603" s="2" t="n">
        <v>602</v>
      </c>
      <c r="B603" s="2" t="n">
        <v>42</v>
      </c>
      <c r="C603" s="3" t="str">
        <f aca="false">INDEX('부작 목록'!$C$2:$C$66,B603)</f>
        <v>알시온 작전: 로셀요의 기원</v>
      </c>
      <c r="D603" s="3" t="s">
        <v>94</v>
      </c>
      <c r="E603" s="2" t="n">
        <v>11101</v>
      </c>
      <c r="F603" s="2" t="n">
        <v>10</v>
      </c>
      <c r="G603" s="4" t="s">
        <v>748</v>
      </c>
    </row>
    <row r="604" customFormat="false" ht="15" hidden="false" customHeight="false" outlineLevel="0" collapsed="false">
      <c r="A604" s="2" t="n">
        <v>603</v>
      </c>
      <c r="B604" s="2" t="n">
        <v>42</v>
      </c>
      <c r="C604" s="3" t="str">
        <f aca="false">INDEX('부작 목록'!$C$2:$C$66,B604)</f>
        <v>알시온 작전: 로셀요의 기원</v>
      </c>
      <c r="D604" s="3" t="s">
        <v>94</v>
      </c>
      <c r="E604" s="2" t="n">
        <v>11114</v>
      </c>
      <c r="F604" s="2" t="n">
        <v>8</v>
      </c>
      <c r="G604" s="4" t="s">
        <v>749</v>
      </c>
    </row>
    <row r="605" customFormat="false" ht="15" hidden="false" customHeight="false" outlineLevel="0" collapsed="false">
      <c r="A605" s="2" t="n">
        <v>604</v>
      </c>
      <c r="B605" s="2" t="n">
        <v>42</v>
      </c>
      <c r="C605" s="3" t="str">
        <f aca="false">INDEX('부작 목록'!$C$2:$C$66,B605)</f>
        <v>알시온 작전: 로셀요의 기원</v>
      </c>
      <c r="D605" s="3" t="s">
        <v>94</v>
      </c>
      <c r="E605" s="2" t="n">
        <v>11124</v>
      </c>
      <c r="F605" s="2" t="n">
        <v>11</v>
      </c>
      <c r="G605" s="4" t="s">
        <v>750</v>
      </c>
    </row>
    <row r="606" customFormat="false" ht="15" hidden="false" customHeight="false" outlineLevel="0" collapsed="false">
      <c r="A606" s="2" t="n">
        <v>605</v>
      </c>
      <c r="B606" s="2" t="n">
        <v>42</v>
      </c>
      <c r="C606" s="3" t="str">
        <f aca="false">INDEX('부작 목록'!$C$2:$C$66,B606)</f>
        <v>알시온 작전: 로셀요의 기원</v>
      </c>
      <c r="D606" s="3" t="s">
        <v>94</v>
      </c>
      <c r="E606" s="2" t="n">
        <v>11138</v>
      </c>
      <c r="F606" s="2" t="n">
        <v>8</v>
      </c>
      <c r="G606" s="4" t="s">
        <v>751</v>
      </c>
    </row>
    <row r="607" customFormat="false" ht="15" hidden="false" customHeight="false" outlineLevel="0" collapsed="false">
      <c r="A607" s="2" t="n">
        <v>606</v>
      </c>
      <c r="B607" s="2" t="n">
        <v>42</v>
      </c>
      <c r="C607" s="3" t="str">
        <f aca="false">INDEX('부작 목록'!$C$2:$C$66,B607)</f>
        <v>알시온 작전: 로셀요의 기원</v>
      </c>
      <c r="D607" s="3" t="s">
        <v>94</v>
      </c>
      <c r="E607" s="2" t="n">
        <v>11148</v>
      </c>
      <c r="F607" s="2" t="n">
        <v>10</v>
      </c>
      <c r="G607" s="4" t="s">
        <v>752</v>
      </c>
    </row>
    <row r="608" customFormat="false" ht="15" hidden="false" customHeight="false" outlineLevel="0" collapsed="false">
      <c r="A608" s="2" t="n">
        <v>607</v>
      </c>
      <c r="B608" s="2" t="n">
        <v>42</v>
      </c>
      <c r="C608" s="3" t="str">
        <f aca="false">INDEX('부작 목록'!$C$2:$C$66,B608)</f>
        <v>알시온 작전: 로셀요의 기원</v>
      </c>
      <c r="D608" s="3" t="s">
        <v>94</v>
      </c>
      <c r="E608" s="2" t="n">
        <v>11160</v>
      </c>
      <c r="F608" s="2" t="n">
        <v>11</v>
      </c>
      <c r="G608" s="4" t="s">
        <v>753</v>
      </c>
    </row>
    <row r="609" customFormat="false" ht="15" hidden="false" customHeight="false" outlineLevel="0" collapsed="false">
      <c r="A609" s="2" t="n">
        <v>608</v>
      </c>
      <c r="B609" s="2" t="n">
        <v>42</v>
      </c>
      <c r="C609" s="3" t="str">
        <f aca="false">INDEX('부작 목록'!$C$2:$C$66,B609)</f>
        <v>알시온 작전: 로셀요의 기원</v>
      </c>
      <c r="D609" s="3" t="s">
        <v>94</v>
      </c>
      <c r="E609" s="2" t="n">
        <v>11174</v>
      </c>
      <c r="F609" s="2" t="n">
        <v>7</v>
      </c>
      <c r="G609" s="4" t="s">
        <v>754</v>
      </c>
    </row>
    <row r="610" customFormat="false" ht="15" hidden="false" customHeight="false" outlineLevel="0" collapsed="false">
      <c r="A610" s="2" t="n">
        <v>609</v>
      </c>
      <c r="B610" s="2" t="n">
        <v>42</v>
      </c>
      <c r="C610" s="3" t="str">
        <f aca="false">INDEX('부작 목록'!$C$2:$C$66,B610)</f>
        <v>알시온 작전: 로셀요의 기원</v>
      </c>
      <c r="D610" s="3" t="s">
        <v>94</v>
      </c>
      <c r="E610" s="2" t="n">
        <v>11183</v>
      </c>
      <c r="F610" s="2" t="n">
        <v>6</v>
      </c>
      <c r="G610" s="4" t="s">
        <v>755</v>
      </c>
    </row>
    <row r="611" customFormat="false" ht="15" hidden="false" customHeight="false" outlineLevel="0" collapsed="false">
      <c r="A611" s="2" t="n">
        <v>610</v>
      </c>
      <c r="B611" s="2" t="n">
        <v>42</v>
      </c>
      <c r="C611" s="3" t="str">
        <f aca="false">INDEX('부작 목록'!$C$2:$C$66,B611)</f>
        <v>알시온 작전: 로셀요의 기원</v>
      </c>
      <c r="D611" s="3" t="s">
        <v>94</v>
      </c>
      <c r="E611" s="2" t="n">
        <v>11192</v>
      </c>
      <c r="F611" s="2" t="n">
        <v>4</v>
      </c>
      <c r="G611" s="4" t="s">
        <v>756</v>
      </c>
    </row>
    <row r="612" customFormat="false" ht="15" hidden="false" customHeight="false" outlineLevel="0" collapsed="false">
      <c r="A612" s="2" t="n">
        <v>611</v>
      </c>
      <c r="B612" s="2" t="n">
        <v>42</v>
      </c>
      <c r="C612" s="3" t="str">
        <f aca="false">INDEX('부작 목록'!$C$2:$C$66,B612)</f>
        <v>알시온 작전: 로셀요의 기원</v>
      </c>
      <c r="D612" s="3" t="s">
        <v>94</v>
      </c>
      <c r="E612" s="2" t="n">
        <v>11198</v>
      </c>
      <c r="F612" s="2" t="n">
        <v>5</v>
      </c>
      <c r="G612" s="4" t="s">
        <v>757</v>
      </c>
    </row>
    <row r="613" customFormat="false" ht="15" hidden="false" customHeight="false" outlineLevel="0" collapsed="false">
      <c r="A613" s="2" t="n">
        <v>612</v>
      </c>
      <c r="B613" s="2" t="n">
        <v>42</v>
      </c>
      <c r="C613" s="3" t="str">
        <f aca="false">INDEX('부작 목록'!$C$2:$C$66,B613)</f>
        <v>알시온 작전: 로셀요의 기원</v>
      </c>
      <c r="D613" s="3" t="s">
        <v>94</v>
      </c>
      <c r="E613" s="2" t="n">
        <v>11205</v>
      </c>
      <c r="F613" s="2" t="n">
        <v>1</v>
      </c>
      <c r="G613" s="4" t="s">
        <v>758</v>
      </c>
    </row>
    <row r="614" customFormat="false" ht="28.35" hidden="false" customHeight="false" outlineLevel="0" collapsed="false">
      <c r="A614" s="2" t="n">
        <v>613</v>
      </c>
      <c r="B614" s="2" t="n">
        <v>43</v>
      </c>
      <c r="C614" s="3" t="str">
        <f aca="false">INDEX('부작 목록'!$C$2:$C$66,B614)</f>
        <v>엘 아르키텍토 프로그램</v>
      </c>
      <c r="D614" s="3" t="s">
        <v>94</v>
      </c>
      <c r="E614" s="2" t="n">
        <v>11208</v>
      </c>
      <c r="F614" s="2" t="n">
        <v>8</v>
      </c>
      <c r="G614" s="4" t="s">
        <v>759</v>
      </c>
    </row>
    <row r="615" customFormat="false" ht="15" hidden="false" customHeight="false" outlineLevel="0" collapsed="false">
      <c r="A615" s="2" t="n">
        <v>614</v>
      </c>
      <c r="B615" s="2" t="n">
        <v>43</v>
      </c>
      <c r="C615" s="3" t="str">
        <f aca="false">INDEX('부작 목록'!$C$2:$C$66,B615)</f>
        <v>엘 아르키텍토 프로그램</v>
      </c>
      <c r="D615" s="3" t="s">
        <v>94</v>
      </c>
      <c r="E615" s="2" t="n">
        <v>11219</v>
      </c>
      <c r="F615" s="2" t="n">
        <v>9</v>
      </c>
      <c r="G615" s="4" t="s">
        <v>760</v>
      </c>
    </row>
    <row r="616" customFormat="false" ht="15" hidden="false" customHeight="false" outlineLevel="0" collapsed="false">
      <c r="A616" s="2" t="n">
        <v>615</v>
      </c>
      <c r="B616" s="2" t="n">
        <v>43</v>
      </c>
      <c r="C616" s="3" t="str">
        <f aca="false">INDEX('부작 목록'!$C$2:$C$66,B616)</f>
        <v>엘 아르키텍토 프로그램</v>
      </c>
      <c r="D616" s="3" t="s">
        <v>94</v>
      </c>
      <c r="E616" s="2" t="n">
        <v>11231</v>
      </c>
      <c r="F616" s="2" t="n">
        <v>8</v>
      </c>
      <c r="G616" s="4" t="s">
        <v>761</v>
      </c>
    </row>
    <row r="617" customFormat="false" ht="15" hidden="false" customHeight="false" outlineLevel="0" collapsed="false">
      <c r="A617" s="2" t="n">
        <v>616</v>
      </c>
      <c r="B617" s="2" t="n">
        <v>43</v>
      </c>
      <c r="C617" s="3" t="str">
        <f aca="false">INDEX('부작 목록'!$C$2:$C$66,B617)</f>
        <v>엘 아르키텍토 프로그램</v>
      </c>
      <c r="D617" s="3" t="s">
        <v>94</v>
      </c>
      <c r="E617" s="2" t="n">
        <v>11241</v>
      </c>
      <c r="F617" s="2" t="n">
        <v>8</v>
      </c>
      <c r="G617" s="4" t="s">
        <v>762</v>
      </c>
    </row>
    <row r="618" customFormat="false" ht="15" hidden="false" customHeight="false" outlineLevel="0" collapsed="false">
      <c r="A618" s="2" t="n">
        <v>617</v>
      </c>
      <c r="B618" s="2" t="n">
        <v>43</v>
      </c>
      <c r="C618" s="3" t="str">
        <f aca="false">INDEX('부작 목록'!$C$2:$C$66,B618)</f>
        <v>엘 아르키텍토 프로그램</v>
      </c>
      <c r="D618" s="3" t="s">
        <v>94</v>
      </c>
      <c r="E618" s="2" t="n">
        <v>11252</v>
      </c>
      <c r="F618" s="2" t="n">
        <v>8</v>
      </c>
      <c r="G618" s="4" t="s">
        <v>763</v>
      </c>
    </row>
    <row r="619" customFormat="false" ht="28.35" hidden="false" customHeight="false" outlineLevel="0" collapsed="false">
      <c r="A619" s="2" t="n">
        <v>618</v>
      </c>
      <c r="B619" s="2" t="n">
        <v>43</v>
      </c>
      <c r="C619" s="3" t="str">
        <f aca="false">INDEX('부작 목록'!$C$2:$C$66,B619)</f>
        <v>엘 아르키텍토 프로그램</v>
      </c>
      <c r="D619" s="3" t="s">
        <v>94</v>
      </c>
      <c r="E619" s="2" t="n">
        <v>11262</v>
      </c>
      <c r="F619" s="2" t="n">
        <v>8</v>
      </c>
      <c r="G619" s="4" t="s">
        <v>764</v>
      </c>
    </row>
    <row r="620" customFormat="false" ht="15" hidden="false" customHeight="false" outlineLevel="0" collapsed="false">
      <c r="A620" s="2" t="n">
        <v>619</v>
      </c>
      <c r="B620" s="2" t="n">
        <v>43</v>
      </c>
      <c r="C620" s="3" t="str">
        <f aca="false">INDEX('부작 목록'!$C$2:$C$66,B620)</f>
        <v>엘 아르키텍토 프로그램</v>
      </c>
      <c r="D620" s="3" t="s">
        <v>94</v>
      </c>
      <c r="E620" s="2" t="n">
        <v>11273</v>
      </c>
      <c r="F620" s="2" t="n">
        <v>8</v>
      </c>
      <c r="G620" s="4" t="s">
        <v>765</v>
      </c>
    </row>
    <row r="621" customFormat="false" ht="15" hidden="false" customHeight="false" outlineLevel="0" collapsed="false">
      <c r="A621" s="2" t="n">
        <v>620</v>
      </c>
      <c r="B621" s="2" t="n">
        <v>43</v>
      </c>
      <c r="C621" s="3" t="str">
        <f aca="false">INDEX('부작 목록'!$C$2:$C$66,B621)</f>
        <v>엘 아르키텍토 프로그램</v>
      </c>
      <c r="D621" s="3" t="s">
        <v>94</v>
      </c>
      <c r="E621" s="2" t="n">
        <v>11283</v>
      </c>
      <c r="F621" s="2" t="n">
        <v>9</v>
      </c>
      <c r="G621" s="4" t="s">
        <v>766</v>
      </c>
    </row>
    <row r="622" customFormat="false" ht="15" hidden="false" customHeight="false" outlineLevel="0" collapsed="false">
      <c r="A622" s="2" t="n">
        <v>621</v>
      </c>
      <c r="B622" s="2" t="n">
        <v>43</v>
      </c>
      <c r="C622" s="3" t="str">
        <f aca="false">INDEX('부작 목록'!$C$2:$C$66,B622)</f>
        <v>엘 아르키텍토 프로그램</v>
      </c>
      <c r="D622" s="3" t="s">
        <v>94</v>
      </c>
      <c r="E622" s="2" t="n">
        <v>11295</v>
      </c>
      <c r="F622" s="2" t="n">
        <v>8</v>
      </c>
      <c r="G622" s="4" t="s">
        <v>767</v>
      </c>
    </row>
    <row r="623" customFormat="false" ht="15" hidden="false" customHeight="false" outlineLevel="0" collapsed="false">
      <c r="A623" s="2" t="n">
        <v>622</v>
      </c>
      <c r="B623" s="2" t="n">
        <v>43</v>
      </c>
      <c r="C623" s="3" t="str">
        <f aca="false">INDEX('부작 목록'!$C$2:$C$66,B623)</f>
        <v>엘 아르키텍토 프로그램</v>
      </c>
      <c r="D623" s="3" t="s">
        <v>94</v>
      </c>
      <c r="E623" s="2" t="n">
        <v>11305</v>
      </c>
      <c r="F623" s="2" t="n">
        <v>8</v>
      </c>
      <c r="G623" s="4" t="s">
        <v>768</v>
      </c>
    </row>
    <row r="624" customFormat="false" ht="15" hidden="false" customHeight="false" outlineLevel="0" collapsed="false">
      <c r="A624" s="2" t="n">
        <v>623</v>
      </c>
      <c r="B624" s="2" t="n">
        <v>43</v>
      </c>
      <c r="C624" s="3" t="str">
        <f aca="false">INDEX('부작 목록'!$C$2:$C$66,B624)</f>
        <v>엘 아르키텍토 프로그램</v>
      </c>
      <c r="D624" s="3" t="s">
        <v>94</v>
      </c>
      <c r="E624" s="2" t="n">
        <v>11316</v>
      </c>
      <c r="F624" s="2" t="n">
        <v>8</v>
      </c>
      <c r="G624" s="4" t="s">
        <v>769</v>
      </c>
    </row>
    <row r="625" customFormat="false" ht="15" hidden="false" customHeight="false" outlineLevel="0" collapsed="false">
      <c r="A625" s="2" t="n">
        <v>624</v>
      </c>
      <c r="B625" s="2" t="n">
        <v>43</v>
      </c>
      <c r="C625" s="3" t="str">
        <f aca="false">INDEX('부작 목록'!$C$2:$C$66,B625)</f>
        <v>엘 아르키텍토 프로그램</v>
      </c>
      <c r="D625" s="3" t="s">
        <v>94</v>
      </c>
      <c r="E625" s="2" t="n">
        <v>11327</v>
      </c>
      <c r="F625" s="2" t="n">
        <v>8</v>
      </c>
      <c r="G625" s="4" t="s">
        <v>770</v>
      </c>
    </row>
    <row r="626" customFormat="false" ht="15" hidden="false" customHeight="false" outlineLevel="0" collapsed="false">
      <c r="A626" s="2" t="n">
        <v>625</v>
      </c>
      <c r="B626" s="2" t="n">
        <v>43</v>
      </c>
      <c r="C626" s="3" t="str">
        <f aca="false">INDEX('부작 목록'!$C$2:$C$66,B626)</f>
        <v>엘 아르키텍토 프로그램</v>
      </c>
      <c r="D626" s="3" t="s">
        <v>94</v>
      </c>
      <c r="E626" s="2" t="n">
        <v>11337</v>
      </c>
      <c r="F626" s="2" t="n">
        <v>8</v>
      </c>
      <c r="G626" s="4" t="s">
        <v>771</v>
      </c>
    </row>
    <row r="627" customFormat="false" ht="15" hidden="false" customHeight="false" outlineLevel="0" collapsed="false">
      <c r="A627" s="2" t="n">
        <v>626</v>
      </c>
      <c r="B627" s="2" t="n">
        <v>43</v>
      </c>
      <c r="C627" s="3" t="str">
        <f aca="false">INDEX('부작 목록'!$C$2:$C$66,B627)</f>
        <v>엘 아르키텍토 프로그램</v>
      </c>
      <c r="D627" s="3" t="s">
        <v>94</v>
      </c>
      <c r="E627" s="2" t="n">
        <v>11348</v>
      </c>
      <c r="F627" s="2" t="n">
        <v>8</v>
      </c>
      <c r="G627" s="4" t="s">
        <v>772</v>
      </c>
    </row>
    <row r="628" customFormat="false" ht="15" hidden="false" customHeight="false" outlineLevel="0" collapsed="false">
      <c r="A628" s="2" t="n">
        <v>627</v>
      </c>
      <c r="B628" s="2" t="n">
        <v>43</v>
      </c>
      <c r="C628" s="3" t="str">
        <f aca="false">INDEX('부작 목록'!$C$2:$C$66,B628)</f>
        <v>엘 아르키텍토 프로그램</v>
      </c>
      <c r="D628" s="3" t="s">
        <v>94</v>
      </c>
      <c r="E628" s="2" t="n">
        <v>11358</v>
      </c>
      <c r="F628" s="2" t="n">
        <v>8</v>
      </c>
      <c r="G628" s="4" t="s">
        <v>773</v>
      </c>
    </row>
    <row r="629" customFormat="false" ht="15" hidden="false" customHeight="false" outlineLevel="0" collapsed="false">
      <c r="A629" s="2" t="n">
        <v>628</v>
      </c>
      <c r="B629" s="2" t="n">
        <v>43</v>
      </c>
      <c r="C629" s="3" t="str">
        <f aca="false">INDEX('부작 목록'!$C$2:$C$66,B629)</f>
        <v>엘 아르키텍토 프로그램</v>
      </c>
      <c r="D629" s="3" t="s">
        <v>94</v>
      </c>
      <c r="E629" s="2" t="n">
        <v>11369</v>
      </c>
      <c r="F629" s="2" t="n">
        <v>6</v>
      </c>
      <c r="G629" s="4" t="s">
        <v>774</v>
      </c>
    </row>
    <row r="630" customFormat="false" ht="15" hidden="false" customHeight="false" outlineLevel="0" collapsed="false">
      <c r="A630" s="2" t="n">
        <v>629</v>
      </c>
      <c r="B630" s="2" t="n">
        <v>43</v>
      </c>
      <c r="C630" s="3" t="str">
        <f aca="false">INDEX('부작 목록'!$C$2:$C$66,B630)</f>
        <v>엘 아르키텍토 프로그램</v>
      </c>
      <c r="D630" s="3" t="s">
        <v>94</v>
      </c>
      <c r="E630" s="2" t="n">
        <v>11377</v>
      </c>
      <c r="F630" s="2" t="n">
        <v>2</v>
      </c>
      <c r="G630" s="4" t="s">
        <v>775</v>
      </c>
    </row>
    <row r="631" customFormat="false" ht="15" hidden="false" customHeight="false" outlineLevel="0" collapsed="false">
      <c r="A631" s="2" t="n">
        <v>630</v>
      </c>
      <c r="B631" s="2" t="n">
        <v>43</v>
      </c>
      <c r="C631" s="3" t="str">
        <f aca="false">INDEX('부작 목록'!$C$2:$C$66,B631)</f>
        <v>엘 아르키텍토 프로그램</v>
      </c>
      <c r="D631" s="3" t="s">
        <v>94</v>
      </c>
      <c r="E631" s="2" t="n">
        <v>11381</v>
      </c>
      <c r="F631" s="2" t="n">
        <v>8</v>
      </c>
      <c r="G631" s="4" t="s">
        <v>776</v>
      </c>
    </row>
    <row r="632" customFormat="false" ht="15" hidden="false" customHeight="false" outlineLevel="0" collapsed="false">
      <c r="A632" s="2" t="n">
        <v>631</v>
      </c>
      <c r="B632" s="2" t="n">
        <v>43</v>
      </c>
      <c r="C632" s="3" t="str">
        <f aca="false">INDEX('부작 목록'!$C$2:$C$66,B632)</f>
        <v>엘 아르키텍토 프로그램</v>
      </c>
      <c r="D632" s="3" t="s">
        <v>94</v>
      </c>
      <c r="E632" s="2" t="n">
        <v>11392</v>
      </c>
      <c r="F632" s="2" t="n">
        <v>1</v>
      </c>
      <c r="G632" s="4" t="s">
        <v>777</v>
      </c>
    </row>
    <row r="633" customFormat="false" ht="15" hidden="false" customHeight="false" outlineLevel="0" collapsed="false">
      <c r="A633" s="2" t="n">
        <v>632</v>
      </c>
      <c r="B633" s="2" t="n">
        <v>43</v>
      </c>
      <c r="C633" s="3" t="str">
        <f aca="false">INDEX('부작 목록'!$C$2:$C$66,B633)</f>
        <v>엘 아르키텍토 프로그램</v>
      </c>
      <c r="D633" s="3" t="s">
        <v>94</v>
      </c>
      <c r="E633" s="2" t="n">
        <v>11395</v>
      </c>
      <c r="F633" s="2" t="n">
        <v>4</v>
      </c>
      <c r="G633" s="4" t="s">
        <v>778</v>
      </c>
    </row>
    <row r="634" customFormat="false" ht="15" hidden="false" customHeight="false" outlineLevel="0" collapsed="false">
      <c r="A634" s="2" t="n">
        <v>633</v>
      </c>
      <c r="B634" s="2" t="n">
        <v>43</v>
      </c>
      <c r="C634" s="3" t="str">
        <f aca="false">INDEX('부작 목록'!$C$2:$C$66,B634)</f>
        <v>엘 아르키텍토 프로그램</v>
      </c>
      <c r="D634" s="3" t="s">
        <v>94</v>
      </c>
      <c r="E634" s="2" t="n">
        <v>11401</v>
      </c>
      <c r="F634" s="2" t="n">
        <v>1</v>
      </c>
      <c r="G634" s="4" t="s">
        <v>779</v>
      </c>
    </row>
    <row r="635" customFormat="false" ht="15" hidden="false" customHeight="false" outlineLevel="0" collapsed="false">
      <c r="A635" s="2" t="n">
        <v>634</v>
      </c>
      <c r="B635" s="2" t="n">
        <v>43</v>
      </c>
      <c r="C635" s="3" t="str">
        <f aca="false">INDEX('부작 목록'!$C$2:$C$66,B635)</f>
        <v>엘 아르키텍토 프로그램</v>
      </c>
      <c r="D635" s="3" t="s">
        <v>94</v>
      </c>
      <c r="E635" s="2" t="n">
        <v>11404</v>
      </c>
      <c r="F635" s="2" t="n">
        <v>1</v>
      </c>
      <c r="G635" s="4" t="s">
        <v>780</v>
      </c>
    </row>
    <row r="636" customFormat="false" ht="15" hidden="false" customHeight="false" outlineLevel="0" collapsed="false">
      <c r="A636" s="2" t="n">
        <v>635</v>
      </c>
      <c r="B636" s="2" t="n">
        <v>43</v>
      </c>
      <c r="C636" s="3" t="str">
        <f aca="false">INDEX('부작 목록'!$C$2:$C$66,B636)</f>
        <v>엘 아르키텍토 프로그램</v>
      </c>
      <c r="D636" s="3" t="s">
        <v>94</v>
      </c>
      <c r="E636" s="2" t="n">
        <v>11408</v>
      </c>
      <c r="F636" s="2" t="n">
        <v>1</v>
      </c>
      <c r="G636" s="4" t="s">
        <v>781</v>
      </c>
    </row>
    <row r="637" customFormat="false" ht="15" hidden="false" customHeight="false" outlineLevel="0" collapsed="false">
      <c r="A637" s="2" t="n">
        <v>636</v>
      </c>
      <c r="B637" s="2" t="n">
        <v>43</v>
      </c>
      <c r="C637" s="3" t="str">
        <f aca="false">INDEX('부작 목록'!$C$2:$C$66,B637)</f>
        <v>엘 아르키텍토 프로그램</v>
      </c>
      <c r="D637" s="3" t="s">
        <v>94</v>
      </c>
      <c r="E637" s="2" t="n">
        <v>11411</v>
      </c>
      <c r="F637" s="2" t="n">
        <v>1</v>
      </c>
      <c r="G637" s="4" t="s">
        <v>782</v>
      </c>
    </row>
    <row r="638" customFormat="false" ht="15" hidden="false" customHeight="false" outlineLevel="0" collapsed="false">
      <c r="A638" s="2" t="n">
        <v>637</v>
      </c>
      <c r="B638" s="2" t="n">
        <v>43</v>
      </c>
      <c r="C638" s="3" t="str">
        <f aca="false">INDEX('부작 목록'!$C$2:$C$66,B638)</f>
        <v>엘 아르키텍토 프로그램</v>
      </c>
      <c r="D638" s="3" t="s">
        <v>94</v>
      </c>
      <c r="E638" s="2" t="n">
        <v>11414</v>
      </c>
      <c r="F638" s="2" t="n">
        <v>10</v>
      </c>
      <c r="G638" s="4" t="s">
        <v>783</v>
      </c>
    </row>
    <row r="639" customFormat="false" ht="15" hidden="false" customHeight="false" outlineLevel="0" collapsed="false">
      <c r="A639" s="2" t="n">
        <v>638</v>
      </c>
      <c r="B639" s="2" t="n">
        <v>43</v>
      </c>
      <c r="C639" s="3" t="str">
        <f aca="false">INDEX('부작 목록'!$C$2:$C$66,B639)</f>
        <v>엘 아르키텍토 프로그램</v>
      </c>
      <c r="D639" s="3" t="s">
        <v>94</v>
      </c>
      <c r="E639" s="2" t="n">
        <v>11426</v>
      </c>
      <c r="F639" s="2" t="n">
        <v>8</v>
      </c>
      <c r="G639" s="4" t="s">
        <v>784</v>
      </c>
    </row>
    <row r="640" customFormat="false" ht="15" hidden="false" customHeight="false" outlineLevel="0" collapsed="false">
      <c r="A640" s="2" t="n">
        <v>639</v>
      </c>
      <c r="B640" s="2" t="n">
        <v>43</v>
      </c>
      <c r="C640" s="3" t="str">
        <f aca="false">INDEX('부작 목록'!$C$2:$C$66,B640)</f>
        <v>엘 아르키텍토 프로그램</v>
      </c>
      <c r="D640" s="3" t="s">
        <v>94</v>
      </c>
      <c r="E640" s="2" t="n">
        <v>11436</v>
      </c>
      <c r="F640" s="2" t="n">
        <v>11</v>
      </c>
      <c r="G640" s="4" t="s">
        <v>785</v>
      </c>
    </row>
    <row r="641" customFormat="false" ht="15" hidden="false" customHeight="false" outlineLevel="0" collapsed="false">
      <c r="A641" s="2" t="n">
        <v>640</v>
      </c>
      <c r="B641" s="2" t="n">
        <v>43</v>
      </c>
      <c r="C641" s="3" t="str">
        <f aca="false">INDEX('부작 목록'!$C$2:$C$66,B641)</f>
        <v>엘 아르키텍토 프로그램</v>
      </c>
      <c r="D641" s="3" t="s">
        <v>94</v>
      </c>
      <c r="E641" s="2" t="n">
        <v>11450</v>
      </c>
      <c r="F641" s="2" t="n">
        <v>6</v>
      </c>
      <c r="G641" s="4" t="s">
        <v>786</v>
      </c>
    </row>
    <row r="642" customFormat="false" ht="15" hidden="false" customHeight="false" outlineLevel="0" collapsed="false">
      <c r="A642" s="2" t="n">
        <v>641</v>
      </c>
      <c r="B642" s="2" t="n">
        <v>43</v>
      </c>
      <c r="C642" s="3" t="str">
        <f aca="false">INDEX('부작 목록'!$C$2:$C$66,B642)</f>
        <v>엘 아르키텍토 프로그램</v>
      </c>
      <c r="D642" s="3" t="s">
        <v>94</v>
      </c>
      <c r="E642" s="2" t="n">
        <v>11458</v>
      </c>
      <c r="F642" s="2" t="n">
        <v>8</v>
      </c>
      <c r="G642" s="4" t="s">
        <v>787</v>
      </c>
    </row>
    <row r="643" customFormat="false" ht="15" hidden="false" customHeight="false" outlineLevel="0" collapsed="false">
      <c r="A643" s="2" t="n">
        <v>642</v>
      </c>
      <c r="B643" s="2" t="n">
        <v>43</v>
      </c>
      <c r="C643" s="3" t="str">
        <f aca="false">INDEX('부작 목록'!$C$2:$C$66,B643)</f>
        <v>엘 아르키텍토 프로그램</v>
      </c>
      <c r="D643" s="3" t="s">
        <v>94</v>
      </c>
      <c r="E643" s="2" t="n">
        <v>11469</v>
      </c>
      <c r="F643" s="2" t="n">
        <v>5</v>
      </c>
      <c r="G643" s="4" t="s">
        <v>788</v>
      </c>
    </row>
    <row r="644" customFormat="false" ht="15" hidden="false" customHeight="false" outlineLevel="0" collapsed="false">
      <c r="A644" s="2" t="n">
        <v>643</v>
      </c>
      <c r="B644" s="2" t="n">
        <v>43</v>
      </c>
      <c r="C644" s="3" t="str">
        <f aca="false">INDEX('부작 목록'!$C$2:$C$66,B644)</f>
        <v>엘 아르키텍토 프로그램</v>
      </c>
      <c r="D644" s="3" t="s">
        <v>94</v>
      </c>
      <c r="E644" s="2" t="n">
        <v>11476</v>
      </c>
      <c r="F644" s="2" t="n">
        <v>4</v>
      </c>
      <c r="G644" s="4" t="s">
        <v>789</v>
      </c>
    </row>
    <row r="645" customFormat="false" ht="15" hidden="false" customHeight="false" outlineLevel="0" collapsed="false">
      <c r="A645" s="2" t="n">
        <v>644</v>
      </c>
      <c r="B645" s="2" t="n">
        <v>43</v>
      </c>
      <c r="C645" s="3" t="str">
        <f aca="false">INDEX('부작 목록'!$C$2:$C$66,B645)</f>
        <v>엘 아르키텍토 프로그램</v>
      </c>
      <c r="D645" s="3" t="s">
        <v>94</v>
      </c>
      <c r="E645" s="2" t="n">
        <v>11482</v>
      </c>
      <c r="F645" s="2" t="n">
        <v>1</v>
      </c>
      <c r="G645" s="4" t="s">
        <v>790</v>
      </c>
    </row>
    <row r="646" customFormat="false" ht="15" hidden="false" customHeight="false" outlineLevel="0" collapsed="false">
      <c r="A646" s="2" t="n">
        <v>645</v>
      </c>
      <c r="B646" s="2" t="n">
        <v>43</v>
      </c>
      <c r="C646" s="3" t="str">
        <f aca="false">INDEX('부작 목록'!$C$2:$C$66,B646)</f>
        <v>엘 아르키텍토 프로그램</v>
      </c>
      <c r="D646" s="3" t="s">
        <v>94</v>
      </c>
      <c r="E646" s="2" t="n">
        <v>11485</v>
      </c>
      <c r="F646" s="2" t="n">
        <v>8</v>
      </c>
      <c r="G646" s="4" t="s">
        <v>791</v>
      </c>
    </row>
    <row r="647" customFormat="false" ht="15" hidden="false" customHeight="false" outlineLevel="0" collapsed="false">
      <c r="A647" s="2" t="n">
        <v>646</v>
      </c>
      <c r="B647" s="2" t="n">
        <v>43</v>
      </c>
      <c r="C647" s="3" t="str">
        <f aca="false">INDEX('부작 목록'!$C$2:$C$66,B647)</f>
        <v>엘 아르키텍토 프로그램</v>
      </c>
      <c r="D647" s="3" t="s">
        <v>94</v>
      </c>
      <c r="E647" s="2" t="n">
        <v>11495</v>
      </c>
      <c r="F647" s="2" t="n">
        <v>8</v>
      </c>
      <c r="G647" s="4" t="s">
        <v>792</v>
      </c>
    </row>
    <row r="648" customFormat="false" ht="15" hidden="false" customHeight="false" outlineLevel="0" collapsed="false">
      <c r="A648" s="2" t="n">
        <v>647</v>
      </c>
      <c r="B648" s="2" t="n">
        <v>43</v>
      </c>
      <c r="C648" s="3" t="str">
        <f aca="false">INDEX('부작 목록'!$C$2:$C$66,B648)</f>
        <v>엘 아르키텍토 프로그램</v>
      </c>
      <c r="D648" s="3" t="s">
        <v>94</v>
      </c>
      <c r="E648" s="2" t="n">
        <v>11506</v>
      </c>
      <c r="F648" s="2" t="n">
        <v>8</v>
      </c>
      <c r="G648" s="4" t="s">
        <v>793</v>
      </c>
    </row>
    <row r="649" customFormat="false" ht="15" hidden="false" customHeight="false" outlineLevel="0" collapsed="false">
      <c r="A649" s="2" t="n">
        <v>648</v>
      </c>
      <c r="B649" s="2" t="n">
        <v>43</v>
      </c>
      <c r="C649" s="3" t="str">
        <f aca="false">INDEX('부작 목록'!$C$2:$C$66,B649)</f>
        <v>엘 아르키텍토 프로그램</v>
      </c>
      <c r="D649" s="3" t="s">
        <v>94</v>
      </c>
      <c r="E649" s="2" t="n">
        <v>11516</v>
      </c>
      <c r="F649" s="2" t="n">
        <v>7</v>
      </c>
      <c r="G649" s="4" t="s">
        <v>794</v>
      </c>
    </row>
    <row r="650" customFormat="false" ht="15" hidden="false" customHeight="false" outlineLevel="0" collapsed="false">
      <c r="A650" s="2" t="n">
        <v>649</v>
      </c>
      <c r="B650" s="2" t="n">
        <v>43</v>
      </c>
      <c r="C650" s="3" t="str">
        <f aca="false">INDEX('부작 목록'!$C$2:$C$66,B650)</f>
        <v>엘 아르키텍토 프로그램</v>
      </c>
      <c r="D650" s="3" t="s">
        <v>94</v>
      </c>
      <c r="E650" s="2" t="n">
        <v>11526</v>
      </c>
      <c r="F650" s="2" t="n">
        <v>8</v>
      </c>
      <c r="G650" s="4" t="s">
        <v>795</v>
      </c>
    </row>
    <row r="651" customFormat="false" ht="15" hidden="false" customHeight="false" outlineLevel="0" collapsed="false">
      <c r="A651" s="2" t="n">
        <v>650</v>
      </c>
      <c r="B651" s="2" t="n">
        <v>43</v>
      </c>
      <c r="C651" s="3" t="str">
        <f aca="false">INDEX('부작 목록'!$C$2:$C$66,B651)</f>
        <v>엘 아르키텍토 프로그램</v>
      </c>
      <c r="D651" s="3" t="s">
        <v>94</v>
      </c>
      <c r="E651" s="2" t="n">
        <v>11536</v>
      </c>
      <c r="F651" s="2" t="n">
        <v>8</v>
      </c>
      <c r="G651" s="4" t="s">
        <v>796</v>
      </c>
    </row>
    <row r="652" customFormat="false" ht="15" hidden="false" customHeight="false" outlineLevel="0" collapsed="false">
      <c r="A652" s="2" t="n">
        <v>651</v>
      </c>
      <c r="B652" s="2" t="n">
        <v>43</v>
      </c>
      <c r="C652" s="3" t="str">
        <f aca="false">INDEX('부작 목록'!$C$2:$C$66,B652)</f>
        <v>엘 아르키텍토 프로그램</v>
      </c>
      <c r="D652" s="3" t="s">
        <v>94</v>
      </c>
      <c r="E652" s="2" t="n">
        <v>11547</v>
      </c>
      <c r="F652" s="2" t="n">
        <v>4</v>
      </c>
      <c r="G652" s="4" t="s">
        <v>797</v>
      </c>
    </row>
    <row r="653" customFormat="false" ht="15" hidden="false" customHeight="false" outlineLevel="0" collapsed="false">
      <c r="A653" s="2" t="n">
        <v>652</v>
      </c>
      <c r="B653" s="2" t="n">
        <v>44</v>
      </c>
      <c r="C653" s="3" t="str">
        <f aca="false">INDEX('부작 목록'!$C$2:$C$66,B653)</f>
        <v>크리스탈·코리엔테 수르·영원의 도서관</v>
      </c>
      <c r="D653" s="3" t="s">
        <v>94</v>
      </c>
      <c r="E653" s="2" t="n">
        <v>11553</v>
      </c>
      <c r="F653" s="2" t="n">
        <v>32</v>
      </c>
      <c r="G653" s="4" t="s">
        <v>798</v>
      </c>
    </row>
    <row r="654" customFormat="false" ht="15" hidden="false" customHeight="false" outlineLevel="0" collapsed="false">
      <c r="A654" s="2" t="n">
        <v>653</v>
      </c>
      <c r="B654" s="2" t="n">
        <v>44</v>
      </c>
      <c r="C654" s="3" t="str">
        <f aca="false">INDEX('부작 목록'!$C$2:$C$66,B654)</f>
        <v>크리스탈·코리엔테 수르·영원의 도서관</v>
      </c>
      <c r="D654" s="3" t="s">
        <v>94</v>
      </c>
      <c r="E654" s="2" t="n">
        <v>11589</v>
      </c>
      <c r="F654" s="2" t="n">
        <v>20</v>
      </c>
      <c r="G654" s="4" t="s">
        <v>799</v>
      </c>
    </row>
    <row r="655" customFormat="false" ht="28.35" hidden="false" customHeight="false" outlineLevel="0" collapsed="false">
      <c r="A655" s="2" t="n">
        <v>654</v>
      </c>
      <c r="B655" s="2" t="n">
        <v>44</v>
      </c>
      <c r="C655" s="3" t="str">
        <f aca="false">INDEX('부작 목록'!$C$2:$C$66,B655)</f>
        <v>크리스탈·코리엔테 수르·영원의 도서관</v>
      </c>
      <c r="D655" s="3" t="s">
        <v>94</v>
      </c>
      <c r="E655" s="2" t="n">
        <v>11612</v>
      </c>
      <c r="F655" s="2" t="n">
        <v>59</v>
      </c>
      <c r="G655" s="4" t="s">
        <v>800</v>
      </c>
    </row>
    <row r="656" customFormat="false" ht="28.35" hidden="false" customHeight="false" outlineLevel="0" collapsed="false">
      <c r="A656" s="2" t="n">
        <v>655</v>
      </c>
      <c r="B656" s="2" t="n">
        <v>44</v>
      </c>
      <c r="C656" s="3" t="str">
        <f aca="false">INDEX('부작 목록'!$C$2:$C$66,B656)</f>
        <v>크리스탈·코리엔테 수르·영원의 도서관</v>
      </c>
      <c r="D656" s="3" t="s">
        <v>94</v>
      </c>
      <c r="E656" s="2" t="n">
        <v>11676</v>
      </c>
      <c r="F656" s="2" t="n">
        <v>61</v>
      </c>
      <c r="G656" s="4" t="s">
        <v>801</v>
      </c>
    </row>
    <row r="657" customFormat="false" ht="15" hidden="false" customHeight="false" outlineLevel="0" collapsed="false">
      <c r="A657" s="2" t="n">
        <v>656</v>
      </c>
      <c r="B657" s="2" t="n">
        <v>45</v>
      </c>
      <c r="C657" s="3" t="str">
        <f aca="false">INDEX('부작 목록'!$C$2:$C$66,B657)</f>
        <v>로셀요의 두 번째 만찬과 면회 시범</v>
      </c>
      <c r="D657" s="3" t="s">
        <v>94</v>
      </c>
      <c r="E657" s="2" t="n">
        <v>11743</v>
      </c>
      <c r="F657" s="2" t="n">
        <v>18</v>
      </c>
      <c r="G657" s="4" t="s">
        <v>802</v>
      </c>
    </row>
    <row r="658" customFormat="false" ht="28.35" hidden="false" customHeight="false" outlineLevel="0" collapsed="false">
      <c r="A658" s="2" t="n">
        <v>657</v>
      </c>
      <c r="B658" s="2" t="n">
        <v>45</v>
      </c>
      <c r="C658" s="3" t="str">
        <f aca="false">INDEX('부작 목록'!$C$2:$C$66,B658)</f>
        <v>로셀요의 두 번째 만찬과 면회 시범</v>
      </c>
      <c r="D658" s="3" t="s">
        <v>94</v>
      </c>
      <c r="E658" s="2" t="n">
        <v>11764</v>
      </c>
      <c r="F658" s="2" t="n">
        <v>40</v>
      </c>
      <c r="G658" s="4" t="s">
        <v>803</v>
      </c>
    </row>
    <row r="659" customFormat="false" ht="15" hidden="false" customHeight="false" outlineLevel="0" collapsed="false">
      <c r="A659" s="2" t="n">
        <v>658</v>
      </c>
      <c r="B659" s="2" t="n">
        <v>45</v>
      </c>
      <c r="C659" s="3" t="str">
        <f aca="false">INDEX('부작 목록'!$C$2:$C$66,B659)</f>
        <v>로셀요의 두 번째 만찬과 면회 시범</v>
      </c>
      <c r="D659" s="3" t="s">
        <v>94</v>
      </c>
      <c r="E659" s="2" t="n">
        <v>11808</v>
      </c>
      <c r="F659" s="2" t="n">
        <v>47</v>
      </c>
      <c r="G659" s="4" t="s">
        <v>804</v>
      </c>
    </row>
    <row r="660" customFormat="false" ht="28.35" hidden="false" customHeight="false" outlineLevel="0" collapsed="false">
      <c r="A660" s="2" t="n">
        <v>659</v>
      </c>
      <c r="B660" s="2" t="n">
        <v>45</v>
      </c>
      <c r="C660" s="3" t="str">
        <f aca="false">INDEX('부작 목록'!$C$2:$C$66,B660)</f>
        <v>로셀요의 두 번째 만찬과 면회 시범</v>
      </c>
      <c r="D660" s="3" t="s">
        <v>94</v>
      </c>
      <c r="E660" s="2" t="n">
        <v>11860</v>
      </c>
      <c r="F660" s="2" t="n">
        <v>40</v>
      </c>
      <c r="G660" s="4" t="s">
        <v>805</v>
      </c>
    </row>
    <row r="661" customFormat="false" ht="28.35" hidden="false" customHeight="false" outlineLevel="0" collapsed="false">
      <c r="A661" s="2" t="n">
        <v>660</v>
      </c>
      <c r="B661" s="2" t="n">
        <v>46</v>
      </c>
      <c r="C661" s="3" t="str">
        <f aca="false">INDEX('부작 목록'!$C$2:$C$66,B661)</f>
        <v>둠루프 작전</v>
      </c>
      <c r="D661" s="3" t="s">
        <v>94</v>
      </c>
      <c r="E661" s="2" t="n">
        <v>11904</v>
      </c>
      <c r="F661" s="2" t="n">
        <v>14</v>
      </c>
      <c r="G661" s="4" t="s">
        <v>806</v>
      </c>
    </row>
    <row r="662" customFormat="false" ht="15" hidden="false" customHeight="false" outlineLevel="0" collapsed="false">
      <c r="A662" s="2" t="n">
        <v>661</v>
      </c>
      <c r="B662" s="2" t="n">
        <v>46</v>
      </c>
      <c r="C662" s="3" t="str">
        <f aca="false">INDEX('부작 목록'!$C$2:$C$66,B662)</f>
        <v>둠루프 작전</v>
      </c>
      <c r="D662" s="3" t="s">
        <v>94</v>
      </c>
      <c r="E662" s="2" t="n">
        <v>11920</v>
      </c>
      <c r="F662" s="2" t="n">
        <v>12</v>
      </c>
      <c r="G662" s="4" t="s">
        <v>807</v>
      </c>
    </row>
    <row r="663" customFormat="false" ht="15" hidden="false" customHeight="false" outlineLevel="0" collapsed="false">
      <c r="A663" s="2" t="n">
        <v>662</v>
      </c>
      <c r="B663" s="2" t="n">
        <v>46</v>
      </c>
      <c r="C663" s="3" t="str">
        <f aca="false">INDEX('부작 목록'!$C$2:$C$66,B663)</f>
        <v>둠루프 작전</v>
      </c>
      <c r="D663" s="3" t="s">
        <v>94</v>
      </c>
      <c r="E663" s="2" t="n">
        <v>11935</v>
      </c>
      <c r="F663" s="2" t="n">
        <v>12</v>
      </c>
      <c r="G663" s="4" t="s">
        <v>808</v>
      </c>
    </row>
    <row r="664" customFormat="false" ht="15" hidden="false" customHeight="false" outlineLevel="0" collapsed="false">
      <c r="A664" s="2" t="n">
        <v>663</v>
      </c>
      <c r="B664" s="2" t="n">
        <v>46</v>
      </c>
      <c r="C664" s="3" t="str">
        <f aca="false">INDEX('부작 목록'!$C$2:$C$66,B664)</f>
        <v>둠루프 작전</v>
      </c>
      <c r="D664" s="3" t="s">
        <v>94</v>
      </c>
      <c r="E664" s="2" t="n">
        <v>11950</v>
      </c>
      <c r="F664" s="2" t="n">
        <v>12</v>
      </c>
      <c r="G664" s="4" t="s">
        <v>809</v>
      </c>
    </row>
    <row r="665" customFormat="false" ht="15" hidden="false" customHeight="false" outlineLevel="0" collapsed="false">
      <c r="A665" s="2" t="n">
        <v>664</v>
      </c>
      <c r="B665" s="2" t="n">
        <v>46</v>
      </c>
      <c r="C665" s="3" t="str">
        <f aca="false">INDEX('부작 목록'!$C$2:$C$66,B665)</f>
        <v>둠루프 작전</v>
      </c>
      <c r="D665" s="3" t="s">
        <v>94</v>
      </c>
      <c r="E665" s="2" t="n">
        <v>11965</v>
      </c>
      <c r="F665" s="2" t="n">
        <v>12</v>
      </c>
      <c r="G665" s="4" t="s">
        <v>810</v>
      </c>
    </row>
    <row r="666" customFormat="false" ht="15" hidden="false" customHeight="false" outlineLevel="0" collapsed="false">
      <c r="A666" s="2" t="n">
        <v>665</v>
      </c>
      <c r="B666" s="2" t="n">
        <v>46</v>
      </c>
      <c r="C666" s="3" t="str">
        <f aca="false">INDEX('부작 목록'!$C$2:$C$66,B666)</f>
        <v>둠루프 작전</v>
      </c>
      <c r="D666" s="3" t="s">
        <v>94</v>
      </c>
      <c r="E666" s="2" t="n">
        <v>11979</v>
      </c>
      <c r="F666" s="2" t="n">
        <v>12</v>
      </c>
      <c r="G666" s="4" t="s">
        <v>811</v>
      </c>
    </row>
    <row r="667" customFormat="false" ht="15" hidden="false" customHeight="false" outlineLevel="0" collapsed="false">
      <c r="A667" s="2" t="n">
        <v>666</v>
      </c>
      <c r="B667" s="2" t="n">
        <v>46</v>
      </c>
      <c r="C667" s="3" t="str">
        <f aca="false">INDEX('부작 목록'!$C$2:$C$66,B667)</f>
        <v>둠루프 작전</v>
      </c>
      <c r="D667" s="3" t="s">
        <v>94</v>
      </c>
      <c r="E667" s="2" t="n">
        <v>11993</v>
      </c>
      <c r="F667" s="2" t="n">
        <v>10</v>
      </c>
      <c r="G667" s="4" t="s">
        <v>812</v>
      </c>
    </row>
    <row r="668" customFormat="false" ht="15" hidden="false" customHeight="false" outlineLevel="0" collapsed="false">
      <c r="A668" s="2" t="n">
        <v>667</v>
      </c>
      <c r="B668" s="2" t="n">
        <v>46</v>
      </c>
      <c r="C668" s="3" t="str">
        <f aca="false">INDEX('부작 목록'!$C$2:$C$66,B668)</f>
        <v>둠루프 작전</v>
      </c>
      <c r="D668" s="3" t="s">
        <v>94</v>
      </c>
      <c r="E668" s="2" t="n">
        <v>12006</v>
      </c>
      <c r="F668" s="2" t="n">
        <v>13</v>
      </c>
      <c r="G668" s="4" t="s">
        <v>813</v>
      </c>
    </row>
    <row r="669" customFormat="false" ht="15" hidden="false" customHeight="false" outlineLevel="0" collapsed="false">
      <c r="A669" s="2" t="n">
        <v>668</v>
      </c>
      <c r="B669" s="2" t="n">
        <v>46</v>
      </c>
      <c r="C669" s="3" t="str">
        <f aca="false">INDEX('부작 목록'!$C$2:$C$66,B669)</f>
        <v>둠루프 작전</v>
      </c>
      <c r="D669" s="3" t="s">
        <v>94</v>
      </c>
      <c r="E669" s="2" t="n">
        <v>12022</v>
      </c>
      <c r="F669" s="2" t="n">
        <v>12</v>
      </c>
      <c r="G669" s="4" t="s">
        <v>814</v>
      </c>
    </row>
    <row r="670" customFormat="false" ht="15" hidden="false" customHeight="false" outlineLevel="0" collapsed="false">
      <c r="A670" s="2" t="n">
        <v>669</v>
      </c>
      <c r="B670" s="2" t="n">
        <v>46</v>
      </c>
      <c r="C670" s="3" t="str">
        <f aca="false">INDEX('부작 목록'!$C$2:$C$66,B670)</f>
        <v>둠루프 작전</v>
      </c>
      <c r="D670" s="3" t="s">
        <v>94</v>
      </c>
      <c r="E670" s="2" t="n">
        <v>12036</v>
      </c>
      <c r="F670" s="2" t="n">
        <v>13</v>
      </c>
      <c r="G670" s="4" t="s">
        <v>815</v>
      </c>
    </row>
    <row r="671" customFormat="false" ht="41.75" hidden="false" customHeight="false" outlineLevel="0" collapsed="false">
      <c r="A671" s="2" t="n">
        <v>670</v>
      </c>
      <c r="B671" s="2" t="n">
        <v>47</v>
      </c>
      <c r="C671" s="3" t="str">
        <f aca="false">INDEX('부작 목록'!$C$2:$C$66,B671)</f>
        <v>미네르바 작전</v>
      </c>
      <c r="D671" s="3" t="s">
        <v>94</v>
      </c>
      <c r="E671" s="2" t="n">
        <v>12051</v>
      </c>
      <c r="F671" s="2" t="n">
        <v>75</v>
      </c>
      <c r="G671" s="4" t="s">
        <v>816</v>
      </c>
    </row>
    <row r="672" customFormat="false" ht="28.35" hidden="false" customHeight="false" outlineLevel="0" collapsed="false">
      <c r="A672" s="2" t="n">
        <v>671</v>
      </c>
      <c r="B672" s="2" t="n">
        <v>47</v>
      </c>
      <c r="C672" s="3" t="str">
        <f aca="false">INDEX('부작 목록'!$C$2:$C$66,B672)</f>
        <v>미네르바 작전</v>
      </c>
      <c r="D672" s="3" t="s">
        <v>94</v>
      </c>
      <c r="E672" s="2" t="n">
        <v>12133</v>
      </c>
      <c r="F672" s="2" t="n">
        <v>121</v>
      </c>
      <c r="G672" s="4" t="s">
        <v>817</v>
      </c>
    </row>
    <row r="673" customFormat="false" ht="28.35" hidden="false" customHeight="false" outlineLevel="0" collapsed="false">
      <c r="A673" s="2" t="n">
        <v>672</v>
      </c>
      <c r="B673" s="2" t="n">
        <v>48</v>
      </c>
      <c r="C673" s="3" t="str">
        <f aca="false">INDEX('부작 목록'!$C$2:$C$66,B673)</f>
        <v>북방의 교향곡</v>
      </c>
      <c r="D673" s="3" t="s">
        <v>94</v>
      </c>
      <c r="E673" s="2" t="n">
        <v>12263</v>
      </c>
      <c r="F673" s="2" t="n">
        <v>45</v>
      </c>
      <c r="G673" s="4" t="s">
        <v>818</v>
      </c>
    </row>
    <row r="674" customFormat="false" ht="28.35" hidden="false" customHeight="false" outlineLevel="0" collapsed="false">
      <c r="A674" s="2" t="n">
        <v>673</v>
      </c>
      <c r="B674" s="2" t="n">
        <v>48</v>
      </c>
      <c r="C674" s="3" t="str">
        <f aca="false">INDEX('부작 목록'!$C$2:$C$66,B674)</f>
        <v>북방의 교향곡</v>
      </c>
      <c r="D674" s="3" t="s">
        <v>94</v>
      </c>
      <c r="E674" s="2" t="n">
        <v>12313</v>
      </c>
      <c r="F674" s="2" t="n">
        <v>64</v>
      </c>
      <c r="G674" s="4" t="s">
        <v>819</v>
      </c>
    </row>
    <row r="675" customFormat="false" ht="15" hidden="false" customHeight="false" outlineLevel="0" collapsed="false">
      <c r="A675" s="2" t="n">
        <v>674</v>
      </c>
      <c r="B675" s="2" t="n">
        <v>48</v>
      </c>
      <c r="C675" s="3" t="str">
        <f aca="false">INDEX('부작 목록'!$C$2:$C$66,B675)</f>
        <v>북방의 교향곡</v>
      </c>
      <c r="D675" s="3" t="s">
        <v>94</v>
      </c>
      <c r="E675" s="2" t="n">
        <v>12383</v>
      </c>
      <c r="F675" s="2" t="n">
        <v>54</v>
      </c>
      <c r="G675" s="4" t="s">
        <v>820</v>
      </c>
    </row>
    <row r="676" customFormat="false" ht="15" hidden="false" customHeight="false" outlineLevel="0" collapsed="false">
      <c r="A676" s="2" t="n">
        <v>675</v>
      </c>
      <c r="B676" s="2" t="n">
        <v>48</v>
      </c>
      <c r="C676" s="3" t="str">
        <f aca="false">INDEX('부작 목록'!$C$2:$C$66,B676)</f>
        <v>북방의 교향곡</v>
      </c>
      <c r="D676" s="3" t="s">
        <v>94</v>
      </c>
      <c r="E676" s="2" t="n">
        <v>12442</v>
      </c>
      <c r="F676" s="2" t="n">
        <v>8</v>
      </c>
      <c r="G676" s="4" t="s">
        <v>821</v>
      </c>
    </row>
    <row r="677" customFormat="false" ht="15" hidden="false" customHeight="false" outlineLevel="0" collapsed="false">
      <c r="A677" s="2" t="n">
        <v>676</v>
      </c>
      <c r="B677" s="2" t="n">
        <v>48</v>
      </c>
      <c r="C677" s="3" t="str">
        <f aca="false">INDEX('부작 목록'!$C$2:$C$66,B677)</f>
        <v>북방의 교향곡</v>
      </c>
      <c r="D677" s="3" t="s">
        <v>94</v>
      </c>
      <c r="E677" s="2" t="n">
        <v>12453</v>
      </c>
      <c r="F677" s="2" t="n">
        <v>11</v>
      </c>
      <c r="G677" s="4" t="s">
        <v>822</v>
      </c>
    </row>
    <row r="678" customFormat="false" ht="15" hidden="false" customHeight="false" outlineLevel="0" collapsed="false">
      <c r="A678" s="2" t="n">
        <v>677</v>
      </c>
      <c r="B678" s="2" t="n">
        <v>48</v>
      </c>
      <c r="C678" s="3" t="str">
        <f aca="false">INDEX('부작 목록'!$C$2:$C$66,B678)</f>
        <v>북방의 교향곡</v>
      </c>
      <c r="D678" s="3" t="s">
        <v>94</v>
      </c>
      <c r="E678" s="2" t="n">
        <v>12467</v>
      </c>
      <c r="F678" s="2" t="n">
        <v>9</v>
      </c>
      <c r="G678" s="4" t="s">
        <v>823</v>
      </c>
    </row>
    <row r="679" customFormat="false" ht="28.35" hidden="false" customHeight="false" outlineLevel="0" collapsed="false">
      <c r="A679" s="2" t="n">
        <v>678</v>
      </c>
      <c r="B679" s="2" t="n">
        <v>49</v>
      </c>
      <c r="C679" s="3" t="str">
        <f aca="false">INDEX('부작 목록'!$C$2:$C$66,B679)</f>
        <v>바벨탑 작전</v>
      </c>
      <c r="D679" s="3" t="s">
        <v>94</v>
      </c>
      <c r="E679" s="2" t="n">
        <v>12478</v>
      </c>
      <c r="F679" s="2" t="n">
        <v>26</v>
      </c>
      <c r="G679" s="4" t="s">
        <v>824</v>
      </c>
    </row>
    <row r="680" customFormat="false" ht="15" hidden="false" customHeight="false" outlineLevel="0" collapsed="false">
      <c r="A680" s="2" t="n">
        <v>679</v>
      </c>
      <c r="B680" s="2" t="n">
        <v>49</v>
      </c>
      <c r="C680" s="3" t="str">
        <f aca="false">INDEX('부작 목록'!$C$2:$C$66,B680)</f>
        <v>바벨탑 작전</v>
      </c>
      <c r="D680" s="3" t="s">
        <v>94</v>
      </c>
      <c r="E680" s="2" t="n">
        <v>12508</v>
      </c>
      <c r="F680" s="2" t="n">
        <v>27</v>
      </c>
      <c r="G680" s="4" t="s">
        <v>825</v>
      </c>
    </row>
    <row r="681" customFormat="false" ht="15" hidden="false" customHeight="false" outlineLevel="0" collapsed="false">
      <c r="A681" s="2" t="n">
        <v>680</v>
      </c>
      <c r="B681" s="2" t="n">
        <v>49</v>
      </c>
      <c r="C681" s="3" t="str">
        <f aca="false">INDEX('부작 목록'!$C$2:$C$66,B681)</f>
        <v>바벨탑 작전</v>
      </c>
      <c r="D681" s="3" t="s">
        <v>94</v>
      </c>
      <c r="E681" s="2" t="n">
        <v>12539</v>
      </c>
      <c r="F681" s="2" t="n">
        <v>18</v>
      </c>
      <c r="G681" s="4" t="s">
        <v>826</v>
      </c>
    </row>
    <row r="682" customFormat="false" ht="15" hidden="false" customHeight="false" outlineLevel="0" collapsed="false">
      <c r="A682" s="2" t="n">
        <v>681</v>
      </c>
      <c r="B682" s="2" t="n">
        <v>49</v>
      </c>
      <c r="C682" s="3" t="str">
        <f aca="false">INDEX('부작 목록'!$C$2:$C$66,B682)</f>
        <v>바벨탑 작전</v>
      </c>
      <c r="D682" s="3" t="s">
        <v>94</v>
      </c>
      <c r="E682" s="2" t="n">
        <v>12560</v>
      </c>
      <c r="F682" s="2" t="n">
        <v>23</v>
      </c>
      <c r="G682" s="4" t="s">
        <v>827</v>
      </c>
    </row>
    <row r="683" customFormat="false" ht="15" hidden="false" customHeight="false" outlineLevel="0" collapsed="false">
      <c r="A683" s="2" t="n">
        <v>682</v>
      </c>
      <c r="B683" s="2" t="n">
        <v>49</v>
      </c>
      <c r="C683" s="3" t="str">
        <f aca="false">INDEX('부작 목록'!$C$2:$C$66,B683)</f>
        <v>바벨탑 작전</v>
      </c>
      <c r="D683" s="3" t="s">
        <v>94</v>
      </c>
      <c r="E683" s="2" t="n">
        <v>12586</v>
      </c>
      <c r="F683" s="2" t="n">
        <v>19</v>
      </c>
      <c r="G683" s="4" t="s">
        <v>828</v>
      </c>
    </row>
    <row r="684" customFormat="false" ht="15" hidden="false" customHeight="false" outlineLevel="0" collapsed="false">
      <c r="A684" s="2" t="n">
        <v>683</v>
      </c>
      <c r="B684" s="2" t="n">
        <v>49</v>
      </c>
      <c r="C684" s="3" t="str">
        <f aca="false">INDEX('부작 목록'!$C$2:$C$66,B684)</f>
        <v>바벨탑 작전</v>
      </c>
      <c r="D684" s="3" t="s">
        <v>94</v>
      </c>
      <c r="E684" s="2" t="n">
        <v>12608</v>
      </c>
      <c r="F684" s="2" t="n">
        <v>21</v>
      </c>
      <c r="G684" s="4" t="s">
        <v>829</v>
      </c>
    </row>
    <row r="685" customFormat="false" ht="15" hidden="false" customHeight="false" outlineLevel="0" collapsed="false">
      <c r="A685" s="2" t="n">
        <v>684</v>
      </c>
      <c r="B685" s="2" t="n">
        <v>49</v>
      </c>
      <c r="C685" s="3" t="str">
        <f aca="false">INDEX('부작 목록'!$C$2:$C$66,B685)</f>
        <v>바벨탑 작전</v>
      </c>
      <c r="D685" s="3" t="s">
        <v>94</v>
      </c>
      <c r="E685" s="2" t="n">
        <v>12633</v>
      </c>
      <c r="F685" s="2" t="n">
        <v>18</v>
      </c>
      <c r="G685" s="4" t="s">
        <v>830</v>
      </c>
    </row>
    <row r="686" customFormat="false" ht="15" hidden="false" customHeight="false" outlineLevel="0" collapsed="false">
      <c r="A686" s="2" t="n">
        <v>685</v>
      </c>
      <c r="B686" s="2" t="n">
        <v>49</v>
      </c>
      <c r="C686" s="3" t="str">
        <f aca="false">INDEX('부작 목록'!$C$2:$C$66,B686)</f>
        <v>바벨탑 작전</v>
      </c>
      <c r="D686" s="3" t="s">
        <v>94</v>
      </c>
      <c r="E686" s="2" t="n">
        <v>12654</v>
      </c>
      <c r="F686" s="2" t="n">
        <v>18</v>
      </c>
      <c r="G686" s="4" t="s">
        <v>831</v>
      </c>
    </row>
    <row r="687" customFormat="false" ht="15" hidden="false" customHeight="false" outlineLevel="0" collapsed="false">
      <c r="A687" s="2" t="n">
        <v>686</v>
      </c>
      <c r="B687" s="2" t="n">
        <v>49</v>
      </c>
      <c r="C687" s="3" t="str">
        <f aca="false">INDEX('부작 목록'!$C$2:$C$66,B687)</f>
        <v>바벨탑 작전</v>
      </c>
      <c r="D687" s="3" t="s">
        <v>94</v>
      </c>
      <c r="E687" s="2" t="n">
        <v>12675</v>
      </c>
      <c r="F687" s="2" t="n">
        <v>17</v>
      </c>
      <c r="G687" s="4" t="s">
        <v>832</v>
      </c>
    </row>
    <row r="688" customFormat="false" ht="15" hidden="false" customHeight="false" outlineLevel="0" collapsed="false">
      <c r="A688" s="2" t="n">
        <v>687</v>
      </c>
      <c r="B688" s="2" t="n">
        <v>49</v>
      </c>
      <c r="C688" s="3" t="str">
        <f aca="false">INDEX('부작 목록'!$C$2:$C$66,B688)</f>
        <v>바벨탑 작전</v>
      </c>
      <c r="D688" s="3" t="s">
        <v>94</v>
      </c>
      <c r="E688" s="2" t="n">
        <v>12695</v>
      </c>
      <c r="F688" s="2" t="n">
        <v>11</v>
      </c>
      <c r="G688" s="4" t="s">
        <v>833</v>
      </c>
    </row>
    <row r="689" customFormat="false" ht="41.75" hidden="false" customHeight="false" outlineLevel="0" collapsed="false">
      <c r="A689" s="2" t="n">
        <v>688</v>
      </c>
      <c r="B689" s="2" t="n">
        <v>50</v>
      </c>
      <c r="C689" s="3" t="str">
        <f aca="false">INDEX('부작 목록'!$C$2:$C$66,B689)</f>
        <v>마레아 작전</v>
      </c>
      <c r="D689" s="3" t="s">
        <v>94</v>
      </c>
      <c r="E689" s="2" t="n">
        <v>12708</v>
      </c>
      <c r="F689" s="2" t="n">
        <v>18</v>
      </c>
      <c r="G689" s="4" t="s">
        <v>834</v>
      </c>
    </row>
    <row r="690" customFormat="false" ht="15" hidden="false" customHeight="false" outlineLevel="0" collapsed="false">
      <c r="A690" s="2" t="n">
        <v>689</v>
      </c>
      <c r="B690" s="2" t="n">
        <v>50</v>
      </c>
      <c r="C690" s="3" t="str">
        <f aca="false">INDEX('부작 목록'!$C$2:$C$66,B690)</f>
        <v>마레아 작전</v>
      </c>
      <c r="D690" s="3" t="s">
        <v>94</v>
      </c>
      <c r="E690" s="2" t="n">
        <v>12731</v>
      </c>
      <c r="F690" s="2" t="n">
        <v>19</v>
      </c>
      <c r="G690" s="4" t="s">
        <v>835</v>
      </c>
    </row>
    <row r="691" customFormat="false" ht="15" hidden="false" customHeight="false" outlineLevel="0" collapsed="false">
      <c r="A691" s="2" t="n">
        <v>690</v>
      </c>
      <c r="B691" s="2" t="n">
        <v>50</v>
      </c>
      <c r="C691" s="3" t="str">
        <f aca="false">INDEX('부작 목록'!$C$2:$C$66,B691)</f>
        <v>마레아 작전</v>
      </c>
      <c r="D691" s="3" t="s">
        <v>94</v>
      </c>
      <c r="E691" s="2" t="n">
        <v>12753</v>
      </c>
      <c r="F691" s="2" t="n">
        <v>19</v>
      </c>
      <c r="G691" s="4" t="s">
        <v>836</v>
      </c>
    </row>
    <row r="692" customFormat="false" ht="28.35" hidden="false" customHeight="false" outlineLevel="0" collapsed="false">
      <c r="A692" s="2" t="n">
        <v>691</v>
      </c>
      <c r="B692" s="2" t="n">
        <v>50</v>
      </c>
      <c r="C692" s="3" t="str">
        <f aca="false">INDEX('부작 목록'!$C$2:$C$66,B692)</f>
        <v>마레아 작전</v>
      </c>
      <c r="D692" s="3" t="s">
        <v>94</v>
      </c>
      <c r="E692" s="2" t="n">
        <v>12775</v>
      </c>
      <c r="F692" s="2" t="n">
        <v>19</v>
      </c>
      <c r="G692" s="4" t="s">
        <v>837</v>
      </c>
    </row>
    <row r="693" customFormat="false" ht="15" hidden="false" customHeight="false" outlineLevel="0" collapsed="false">
      <c r="A693" s="2" t="n">
        <v>692</v>
      </c>
      <c r="B693" s="2" t="n">
        <v>50</v>
      </c>
      <c r="C693" s="3" t="str">
        <f aca="false">INDEX('부작 목록'!$C$2:$C$66,B693)</f>
        <v>마레아 작전</v>
      </c>
      <c r="D693" s="3" t="s">
        <v>94</v>
      </c>
      <c r="E693" s="2" t="n">
        <v>12797</v>
      </c>
      <c r="F693" s="2" t="n">
        <v>18</v>
      </c>
      <c r="G693" s="4" t="s">
        <v>838</v>
      </c>
    </row>
    <row r="694" customFormat="false" ht="15" hidden="false" customHeight="false" outlineLevel="0" collapsed="false">
      <c r="A694" s="2" t="n">
        <v>693</v>
      </c>
      <c r="B694" s="2" t="n">
        <v>50</v>
      </c>
      <c r="C694" s="3" t="str">
        <f aca="false">INDEX('부작 목록'!$C$2:$C$66,B694)</f>
        <v>마레아 작전</v>
      </c>
      <c r="D694" s="3" t="s">
        <v>94</v>
      </c>
      <c r="E694" s="2" t="n">
        <v>12818</v>
      </c>
      <c r="F694" s="2" t="n">
        <v>18</v>
      </c>
      <c r="G694" s="4" t="s">
        <v>839</v>
      </c>
    </row>
    <row r="695" customFormat="false" ht="15" hidden="false" customHeight="false" outlineLevel="0" collapsed="false">
      <c r="A695" s="2" t="n">
        <v>694</v>
      </c>
      <c r="B695" s="2" t="n">
        <v>50</v>
      </c>
      <c r="C695" s="3" t="str">
        <f aca="false">INDEX('부작 목록'!$C$2:$C$66,B695)</f>
        <v>마레아 작전</v>
      </c>
      <c r="D695" s="3" t="s">
        <v>94</v>
      </c>
      <c r="E695" s="2" t="n">
        <v>12839</v>
      </c>
      <c r="F695" s="2" t="n">
        <v>18</v>
      </c>
      <c r="G695" s="4" t="s">
        <v>840</v>
      </c>
    </row>
    <row r="696" customFormat="false" ht="15" hidden="false" customHeight="false" outlineLevel="0" collapsed="false">
      <c r="A696" s="2" t="n">
        <v>695</v>
      </c>
      <c r="B696" s="2" t="n">
        <v>50</v>
      </c>
      <c r="C696" s="3" t="str">
        <f aca="false">INDEX('부작 목록'!$C$2:$C$66,B696)</f>
        <v>마레아 작전</v>
      </c>
      <c r="D696" s="3" t="s">
        <v>94</v>
      </c>
      <c r="E696" s="2" t="n">
        <v>12860</v>
      </c>
      <c r="F696" s="2" t="n">
        <v>17</v>
      </c>
      <c r="G696" s="4" t="s">
        <v>841</v>
      </c>
    </row>
    <row r="697" customFormat="false" ht="15" hidden="false" customHeight="false" outlineLevel="0" collapsed="false">
      <c r="A697" s="2" t="n">
        <v>696</v>
      </c>
      <c r="B697" s="2" t="n">
        <v>50</v>
      </c>
      <c r="C697" s="3" t="str">
        <f aca="false">INDEX('부작 목록'!$C$2:$C$66,B697)</f>
        <v>마레아 작전</v>
      </c>
      <c r="D697" s="3" t="s">
        <v>94</v>
      </c>
      <c r="E697" s="2" t="n">
        <v>12880</v>
      </c>
      <c r="F697" s="2" t="n">
        <v>18</v>
      </c>
      <c r="G697" s="4" t="s">
        <v>842</v>
      </c>
    </row>
    <row r="698" customFormat="false" ht="15" hidden="false" customHeight="false" outlineLevel="0" collapsed="false">
      <c r="A698" s="2" t="n">
        <v>697</v>
      </c>
      <c r="B698" s="2" t="n">
        <v>50</v>
      </c>
      <c r="C698" s="3" t="str">
        <f aca="false">INDEX('부작 목록'!$C$2:$C$66,B698)</f>
        <v>마레아 작전</v>
      </c>
      <c r="D698" s="3" t="s">
        <v>94</v>
      </c>
      <c r="E698" s="2" t="n">
        <v>12901</v>
      </c>
      <c r="F698" s="2" t="n">
        <v>17</v>
      </c>
      <c r="G698" s="4" t="s">
        <v>843</v>
      </c>
    </row>
    <row r="699" customFormat="false" ht="15" hidden="false" customHeight="false" outlineLevel="0" collapsed="false">
      <c r="A699" s="2" t="n">
        <v>698</v>
      </c>
      <c r="B699" s="2" t="n">
        <v>50</v>
      </c>
      <c r="C699" s="3" t="str">
        <f aca="false">INDEX('부작 목록'!$C$2:$C$66,B699)</f>
        <v>마레아 작전</v>
      </c>
      <c r="D699" s="3" t="s">
        <v>94</v>
      </c>
      <c r="E699" s="2" t="n">
        <v>12921</v>
      </c>
      <c r="F699" s="2" t="n">
        <v>19</v>
      </c>
      <c r="G699" s="4" t="s">
        <v>844</v>
      </c>
    </row>
    <row r="700" customFormat="false" ht="28.35" hidden="false" customHeight="false" outlineLevel="0" collapsed="false">
      <c r="A700" s="2" t="n">
        <v>699</v>
      </c>
      <c r="B700" s="2" t="n">
        <v>51</v>
      </c>
      <c r="C700" s="3" t="str">
        <f aca="false">INDEX('부작 목록'!$C$2:$C$66,B700)</f>
        <v>돈키호테 작전</v>
      </c>
      <c r="D700" s="3" t="s">
        <v>94</v>
      </c>
      <c r="E700" s="2" t="n">
        <v>12943</v>
      </c>
      <c r="F700" s="2" t="n">
        <v>25</v>
      </c>
      <c r="G700" s="4" t="s">
        <v>845</v>
      </c>
    </row>
    <row r="701" customFormat="false" ht="15" hidden="false" customHeight="false" outlineLevel="0" collapsed="false">
      <c r="A701" s="2" t="n">
        <v>700</v>
      </c>
      <c r="B701" s="2" t="n">
        <v>51</v>
      </c>
      <c r="C701" s="3" t="str">
        <f aca="false">INDEX('부작 목록'!$C$2:$C$66,B701)</f>
        <v>돈키호테 작전</v>
      </c>
      <c r="D701" s="3" t="s">
        <v>94</v>
      </c>
      <c r="E701" s="2" t="n">
        <v>12972</v>
      </c>
      <c r="F701" s="2" t="n">
        <v>17</v>
      </c>
      <c r="G701" s="4" t="s">
        <v>846</v>
      </c>
    </row>
    <row r="702" customFormat="false" ht="15" hidden="false" customHeight="false" outlineLevel="0" collapsed="false">
      <c r="A702" s="2" t="n">
        <v>701</v>
      </c>
      <c r="B702" s="2" t="n">
        <v>51</v>
      </c>
      <c r="C702" s="3" t="str">
        <f aca="false">INDEX('부작 목록'!$C$2:$C$66,B702)</f>
        <v>돈키호테 작전</v>
      </c>
      <c r="D702" s="3" t="s">
        <v>94</v>
      </c>
      <c r="E702" s="2" t="n">
        <v>12992</v>
      </c>
      <c r="F702" s="2" t="n">
        <v>15</v>
      </c>
      <c r="G702" s="4" t="s">
        <v>847</v>
      </c>
    </row>
    <row r="703" customFormat="false" ht="15" hidden="false" customHeight="false" outlineLevel="0" collapsed="false">
      <c r="A703" s="2" t="n">
        <v>702</v>
      </c>
      <c r="B703" s="2" t="n">
        <v>51</v>
      </c>
      <c r="C703" s="3" t="str">
        <f aca="false">INDEX('부작 목록'!$C$2:$C$66,B703)</f>
        <v>돈키호테 작전</v>
      </c>
      <c r="D703" s="3" t="s">
        <v>94</v>
      </c>
      <c r="E703" s="2" t="n">
        <v>13010</v>
      </c>
      <c r="F703" s="2" t="n">
        <v>20</v>
      </c>
      <c r="G703" s="4" t="s">
        <v>848</v>
      </c>
    </row>
    <row r="704" customFormat="false" ht="15" hidden="false" customHeight="false" outlineLevel="0" collapsed="false">
      <c r="A704" s="2" t="n">
        <v>703</v>
      </c>
      <c r="B704" s="2" t="n">
        <v>51</v>
      </c>
      <c r="C704" s="3" t="str">
        <f aca="false">INDEX('부작 목록'!$C$2:$C$66,B704)</f>
        <v>돈키호테 작전</v>
      </c>
      <c r="D704" s="3" t="s">
        <v>94</v>
      </c>
      <c r="E704" s="2" t="n">
        <v>13033</v>
      </c>
      <c r="F704" s="2" t="n">
        <v>17</v>
      </c>
      <c r="G704" s="4" t="s">
        <v>849</v>
      </c>
    </row>
    <row r="705" customFormat="false" ht="15" hidden="false" customHeight="false" outlineLevel="0" collapsed="false">
      <c r="A705" s="2" t="n">
        <v>704</v>
      </c>
      <c r="B705" s="2" t="n">
        <v>51</v>
      </c>
      <c r="C705" s="3" t="str">
        <f aca="false">INDEX('부작 목록'!$C$2:$C$66,B705)</f>
        <v>돈키호테 작전</v>
      </c>
      <c r="D705" s="3" t="s">
        <v>94</v>
      </c>
      <c r="E705" s="2" t="n">
        <v>13053</v>
      </c>
      <c r="F705" s="2" t="n">
        <v>18</v>
      </c>
      <c r="G705" s="4" t="s">
        <v>850</v>
      </c>
    </row>
    <row r="706" customFormat="false" ht="15" hidden="false" customHeight="false" outlineLevel="0" collapsed="false">
      <c r="A706" s="2" t="n">
        <v>705</v>
      </c>
      <c r="B706" s="2" t="n">
        <v>51</v>
      </c>
      <c r="C706" s="3" t="str">
        <f aca="false">INDEX('부작 목록'!$C$2:$C$66,B706)</f>
        <v>돈키호테 작전</v>
      </c>
      <c r="D706" s="3" t="s">
        <v>94</v>
      </c>
      <c r="E706" s="2" t="n">
        <v>13074</v>
      </c>
      <c r="F706" s="2" t="n">
        <v>18</v>
      </c>
      <c r="G706" s="4" t="s">
        <v>851</v>
      </c>
    </row>
    <row r="707" customFormat="false" ht="15" hidden="false" customHeight="false" outlineLevel="0" collapsed="false">
      <c r="A707" s="2" t="n">
        <v>706</v>
      </c>
      <c r="B707" s="2" t="n">
        <v>51</v>
      </c>
      <c r="C707" s="3" t="str">
        <f aca="false">INDEX('부작 목록'!$C$2:$C$66,B707)</f>
        <v>돈키호테 작전</v>
      </c>
      <c r="D707" s="3" t="s">
        <v>94</v>
      </c>
      <c r="E707" s="2" t="n">
        <v>13095</v>
      </c>
      <c r="F707" s="2" t="n">
        <v>18</v>
      </c>
      <c r="G707" s="4" t="s">
        <v>852</v>
      </c>
    </row>
    <row r="708" customFormat="false" ht="15" hidden="false" customHeight="false" outlineLevel="0" collapsed="false">
      <c r="A708" s="2" t="n">
        <v>707</v>
      </c>
      <c r="B708" s="2" t="n">
        <v>51</v>
      </c>
      <c r="C708" s="3" t="str">
        <f aca="false">INDEX('부작 목록'!$C$2:$C$66,B708)</f>
        <v>돈키호테 작전</v>
      </c>
      <c r="D708" s="3" t="s">
        <v>94</v>
      </c>
      <c r="E708" s="2" t="n">
        <v>13116</v>
      </c>
      <c r="F708" s="2" t="n">
        <v>17</v>
      </c>
      <c r="G708" s="4" t="s">
        <v>853</v>
      </c>
    </row>
    <row r="709" customFormat="false" ht="15" hidden="false" customHeight="false" outlineLevel="0" collapsed="false">
      <c r="A709" s="2" t="n">
        <v>708</v>
      </c>
      <c r="B709" s="2" t="n">
        <v>51</v>
      </c>
      <c r="C709" s="3" t="str">
        <f aca="false">INDEX('부작 목록'!$C$2:$C$66,B709)</f>
        <v>돈키호테 작전</v>
      </c>
      <c r="D709" s="3" t="s">
        <v>94</v>
      </c>
      <c r="E709" s="2" t="n">
        <v>13136</v>
      </c>
      <c r="F709" s="2" t="n">
        <v>26</v>
      </c>
      <c r="G709" s="4" t="s">
        <v>854</v>
      </c>
    </row>
    <row r="710" customFormat="false" ht="28.35" hidden="false" customHeight="false" outlineLevel="0" collapsed="false">
      <c r="A710" s="2" t="n">
        <v>709</v>
      </c>
      <c r="B710" s="2" t="n">
        <v>52</v>
      </c>
      <c r="C710" s="3" t="str">
        <f aca="false">INDEX('부작 목록'!$C$2:$C$66,B710)</f>
        <v>자칼 작전</v>
      </c>
      <c r="D710" s="3" t="s">
        <v>94</v>
      </c>
      <c r="E710" s="2" t="n">
        <v>13165</v>
      </c>
      <c r="F710" s="2" t="n">
        <v>28</v>
      </c>
      <c r="G710" s="4" t="s">
        <v>855</v>
      </c>
    </row>
    <row r="711" customFormat="false" ht="15" hidden="false" customHeight="false" outlineLevel="0" collapsed="false">
      <c r="A711" s="2" t="n">
        <v>710</v>
      </c>
      <c r="B711" s="2" t="n">
        <v>52</v>
      </c>
      <c r="C711" s="3" t="str">
        <f aca="false">INDEX('부작 목록'!$C$2:$C$66,B711)</f>
        <v>자칼 작전</v>
      </c>
      <c r="D711" s="3" t="s">
        <v>94</v>
      </c>
      <c r="E711" s="2" t="n">
        <v>13196</v>
      </c>
      <c r="F711" s="2" t="n">
        <v>17</v>
      </c>
      <c r="G711" s="4" t="s">
        <v>856</v>
      </c>
    </row>
    <row r="712" customFormat="false" ht="15" hidden="false" customHeight="false" outlineLevel="0" collapsed="false">
      <c r="A712" s="2" t="n">
        <v>711</v>
      </c>
      <c r="B712" s="2" t="n">
        <v>52</v>
      </c>
      <c r="C712" s="3" t="str">
        <f aca="false">INDEX('부작 목록'!$C$2:$C$66,B712)</f>
        <v>자칼 작전</v>
      </c>
      <c r="D712" s="3" t="s">
        <v>94</v>
      </c>
      <c r="E712" s="2" t="n">
        <v>13216</v>
      </c>
      <c r="F712" s="2" t="n">
        <v>16</v>
      </c>
      <c r="G712" s="4" t="s">
        <v>857</v>
      </c>
    </row>
    <row r="713" customFormat="false" ht="15" hidden="false" customHeight="false" outlineLevel="0" collapsed="false">
      <c r="A713" s="2" t="n">
        <v>712</v>
      </c>
      <c r="B713" s="2" t="n">
        <v>52</v>
      </c>
      <c r="C713" s="3" t="str">
        <f aca="false">INDEX('부작 목록'!$C$2:$C$66,B713)</f>
        <v>자칼 작전</v>
      </c>
      <c r="D713" s="3" t="s">
        <v>94</v>
      </c>
      <c r="E713" s="2" t="n">
        <v>13235</v>
      </c>
      <c r="F713" s="2" t="n">
        <v>16</v>
      </c>
      <c r="G713" s="4" t="s">
        <v>858</v>
      </c>
    </row>
    <row r="714" customFormat="false" ht="15" hidden="false" customHeight="false" outlineLevel="0" collapsed="false">
      <c r="A714" s="2" t="n">
        <v>713</v>
      </c>
      <c r="B714" s="2" t="n">
        <v>52</v>
      </c>
      <c r="C714" s="3" t="str">
        <f aca="false">INDEX('부작 목록'!$C$2:$C$66,B714)</f>
        <v>자칼 작전</v>
      </c>
      <c r="D714" s="3" t="s">
        <v>94</v>
      </c>
      <c r="E714" s="2" t="n">
        <v>13254</v>
      </c>
      <c r="F714" s="2" t="n">
        <v>21</v>
      </c>
      <c r="G714" s="4" t="s">
        <v>859</v>
      </c>
    </row>
    <row r="715" customFormat="false" ht="15" hidden="false" customHeight="false" outlineLevel="0" collapsed="false">
      <c r="A715" s="2" t="n">
        <v>714</v>
      </c>
      <c r="B715" s="2" t="n">
        <v>52</v>
      </c>
      <c r="C715" s="3" t="str">
        <f aca="false">INDEX('부작 목록'!$C$2:$C$66,B715)</f>
        <v>자칼 작전</v>
      </c>
      <c r="D715" s="3" t="s">
        <v>94</v>
      </c>
      <c r="E715" s="2" t="n">
        <v>13278</v>
      </c>
      <c r="F715" s="2" t="n">
        <v>17</v>
      </c>
      <c r="G715" s="4" t="s">
        <v>860</v>
      </c>
    </row>
    <row r="716" customFormat="false" ht="15" hidden="false" customHeight="false" outlineLevel="0" collapsed="false">
      <c r="A716" s="2" t="n">
        <v>715</v>
      </c>
      <c r="B716" s="2" t="n">
        <v>52</v>
      </c>
      <c r="C716" s="3" t="str">
        <f aca="false">INDEX('부작 목록'!$C$2:$C$66,B716)</f>
        <v>자칼 작전</v>
      </c>
      <c r="D716" s="3" t="s">
        <v>94</v>
      </c>
      <c r="E716" s="2" t="n">
        <v>13298</v>
      </c>
      <c r="F716" s="2" t="n">
        <v>16</v>
      </c>
      <c r="G716" s="4" t="s">
        <v>861</v>
      </c>
    </row>
    <row r="717" customFormat="false" ht="15" hidden="false" customHeight="false" outlineLevel="0" collapsed="false">
      <c r="A717" s="2" t="n">
        <v>716</v>
      </c>
      <c r="B717" s="2" t="n">
        <v>52</v>
      </c>
      <c r="C717" s="3" t="str">
        <f aca="false">INDEX('부작 목록'!$C$2:$C$66,B717)</f>
        <v>자칼 작전</v>
      </c>
      <c r="D717" s="3" t="s">
        <v>94</v>
      </c>
      <c r="E717" s="2" t="n">
        <v>13317</v>
      </c>
      <c r="F717" s="2" t="n">
        <v>17</v>
      </c>
      <c r="G717" s="4" t="s">
        <v>862</v>
      </c>
    </row>
    <row r="718" customFormat="false" ht="15" hidden="false" customHeight="false" outlineLevel="0" collapsed="false">
      <c r="A718" s="2" t="n">
        <v>717</v>
      </c>
      <c r="B718" s="2" t="n">
        <v>52</v>
      </c>
      <c r="C718" s="3" t="str">
        <f aca="false">INDEX('부작 목록'!$C$2:$C$66,B718)</f>
        <v>자칼 작전</v>
      </c>
      <c r="D718" s="3" t="s">
        <v>94</v>
      </c>
      <c r="E718" s="2" t="n">
        <v>13337</v>
      </c>
      <c r="F718" s="2" t="n">
        <v>15</v>
      </c>
      <c r="G718" s="4" t="s">
        <v>863</v>
      </c>
    </row>
    <row r="719" customFormat="false" ht="15" hidden="false" customHeight="false" outlineLevel="0" collapsed="false">
      <c r="A719" s="2" t="n">
        <v>718</v>
      </c>
      <c r="B719" s="2" t="n">
        <v>52</v>
      </c>
      <c r="C719" s="3" t="str">
        <f aca="false">INDEX('부작 목록'!$C$2:$C$66,B719)</f>
        <v>자칼 작전</v>
      </c>
      <c r="D719" s="3" t="s">
        <v>94</v>
      </c>
      <c r="E719" s="2" t="n">
        <v>13355</v>
      </c>
      <c r="F719" s="2" t="n">
        <v>11</v>
      </c>
      <c r="G719" s="4" t="s">
        <v>864</v>
      </c>
    </row>
    <row r="720" customFormat="false" ht="15" hidden="false" customHeight="false" outlineLevel="0" collapsed="false">
      <c r="A720" s="2" t="n">
        <v>719</v>
      </c>
      <c r="B720" s="2" t="n">
        <v>52</v>
      </c>
      <c r="C720" s="3" t="str">
        <f aca="false">INDEX('부작 목록'!$C$2:$C$66,B720)</f>
        <v>자칼 작전</v>
      </c>
      <c r="D720" s="3" t="s">
        <v>94</v>
      </c>
      <c r="E720" s="2" t="n">
        <v>13369</v>
      </c>
      <c r="F720" s="2" t="n">
        <v>16</v>
      </c>
      <c r="G720" s="4" t="s">
        <v>865</v>
      </c>
    </row>
    <row r="721" customFormat="false" ht="41.75" hidden="false" customHeight="false" outlineLevel="0" collapsed="false">
      <c r="A721" s="2" t="n">
        <v>720</v>
      </c>
      <c r="B721" s="2" t="n">
        <v>53</v>
      </c>
      <c r="C721" s="3" t="str">
        <f aca="false">INDEX('부작 목록'!$C$2:$C$66,B721)</f>
        <v>파로 작전</v>
      </c>
      <c r="D721" s="3" t="s">
        <v>94</v>
      </c>
      <c r="E721" s="2" t="n">
        <v>13388</v>
      </c>
      <c r="F721" s="2" t="n">
        <v>17</v>
      </c>
      <c r="G721" s="4" t="s">
        <v>866</v>
      </c>
    </row>
    <row r="722" customFormat="false" ht="15" hidden="false" customHeight="false" outlineLevel="0" collapsed="false">
      <c r="A722" s="2" t="n">
        <v>721</v>
      </c>
      <c r="B722" s="2" t="n">
        <v>53</v>
      </c>
      <c r="C722" s="3" t="str">
        <f aca="false">INDEX('부작 목록'!$C$2:$C$66,B722)</f>
        <v>파로 작전</v>
      </c>
      <c r="D722" s="3" t="s">
        <v>94</v>
      </c>
      <c r="E722" s="2" t="n">
        <v>13408</v>
      </c>
      <c r="F722" s="2" t="n">
        <v>14</v>
      </c>
      <c r="G722" s="4" t="s">
        <v>867</v>
      </c>
    </row>
    <row r="723" customFormat="false" ht="15" hidden="false" customHeight="false" outlineLevel="0" collapsed="false">
      <c r="A723" s="2" t="n">
        <v>722</v>
      </c>
      <c r="B723" s="2" t="n">
        <v>53</v>
      </c>
      <c r="C723" s="3" t="str">
        <f aca="false">INDEX('부작 목록'!$C$2:$C$66,B723)</f>
        <v>파로 작전</v>
      </c>
      <c r="D723" s="3" t="s">
        <v>94</v>
      </c>
      <c r="E723" s="2" t="n">
        <v>13425</v>
      </c>
      <c r="F723" s="2" t="n">
        <v>18</v>
      </c>
      <c r="G723" s="4" t="s">
        <v>868</v>
      </c>
    </row>
    <row r="724" customFormat="false" ht="15" hidden="false" customHeight="false" outlineLevel="0" collapsed="false">
      <c r="A724" s="2" t="n">
        <v>723</v>
      </c>
      <c r="B724" s="2" t="n">
        <v>53</v>
      </c>
      <c r="C724" s="3" t="str">
        <f aca="false">INDEX('부작 목록'!$C$2:$C$66,B724)</f>
        <v>파로 작전</v>
      </c>
      <c r="D724" s="3" t="s">
        <v>94</v>
      </c>
      <c r="E724" s="2" t="n">
        <v>13446</v>
      </c>
      <c r="F724" s="2" t="n">
        <v>17</v>
      </c>
      <c r="G724" s="4" t="s">
        <v>869</v>
      </c>
    </row>
    <row r="725" customFormat="false" ht="15" hidden="false" customHeight="false" outlineLevel="0" collapsed="false">
      <c r="A725" s="2" t="n">
        <v>724</v>
      </c>
      <c r="B725" s="2" t="n">
        <v>53</v>
      </c>
      <c r="C725" s="3" t="str">
        <f aca="false">INDEX('부작 목록'!$C$2:$C$66,B725)</f>
        <v>파로 작전</v>
      </c>
      <c r="D725" s="3" t="s">
        <v>94</v>
      </c>
      <c r="E725" s="2" t="n">
        <v>13466</v>
      </c>
      <c r="F725" s="2" t="n">
        <v>15</v>
      </c>
      <c r="G725" s="4" t="s">
        <v>870</v>
      </c>
    </row>
    <row r="726" customFormat="false" ht="15" hidden="false" customHeight="false" outlineLevel="0" collapsed="false">
      <c r="A726" s="2" t="n">
        <v>725</v>
      </c>
      <c r="B726" s="2" t="n">
        <v>53</v>
      </c>
      <c r="C726" s="3" t="str">
        <f aca="false">INDEX('부작 목록'!$C$2:$C$66,B726)</f>
        <v>파로 작전</v>
      </c>
      <c r="D726" s="3" t="s">
        <v>94</v>
      </c>
      <c r="E726" s="2" t="n">
        <v>13484</v>
      </c>
      <c r="F726" s="2" t="n">
        <v>8</v>
      </c>
      <c r="G726" s="4" t="s">
        <v>871</v>
      </c>
    </row>
    <row r="727" customFormat="false" ht="15" hidden="false" customHeight="false" outlineLevel="0" collapsed="false">
      <c r="A727" s="2" t="n">
        <v>726</v>
      </c>
      <c r="B727" s="2" t="n">
        <v>53</v>
      </c>
      <c r="C727" s="3" t="str">
        <f aca="false">INDEX('부작 목록'!$C$2:$C$66,B727)</f>
        <v>파로 작전</v>
      </c>
      <c r="D727" s="3" t="s">
        <v>94</v>
      </c>
      <c r="E727" s="2" t="n">
        <v>13494</v>
      </c>
      <c r="F727" s="2" t="n">
        <v>14</v>
      </c>
      <c r="G727" s="4" t="s">
        <v>872</v>
      </c>
    </row>
    <row r="728" customFormat="false" ht="15" hidden="false" customHeight="false" outlineLevel="0" collapsed="false">
      <c r="A728" s="2" t="n">
        <v>727</v>
      </c>
      <c r="B728" s="2" t="n">
        <v>53</v>
      </c>
      <c r="C728" s="3" t="str">
        <f aca="false">INDEX('부작 목록'!$C$2:$C$66,B728)</f>
        <v>파로 작전</v>
      </c>
      <c r="D728" s="3" t="s">
        <v>94</v>
      </c>
      <c r="E728" s="2" t="n">
        <v>13511</v>
      </c>
      <c r="F728" s="2" t="n">
        <v>17</v>
      </c>
      <c r="G728" s="6" t="s">
        <v>873</v>
      </c>
    </row>
    <row r="729" customFormat="false" ht="15" hidden="false" customHeight="false" outlineLevel="0" collapsed="false">
      <c r="A729" s="2" t="n">
        <v>728</v>
      </c>
      <c r="B729" s="2" t="n">
        <v>53</v>
      </c>
      <c r="C729" s="3" t="str">
        <f aca="false">INDEX('부작 목록'!$C$2:$C$66,B729)</f>
        <v>파로 작전</v>
      </c>
      <c r="D729" s="3" t="s">
        <v>94</v>
      </c>
      <c r="E729" s="2" t="n">
        <v>13531</v>
      </c>
      <c r="F729" s="2" t="n">
        <v>17</v>
      </c>
      <c r="G729" s="4" t="s">
        <v>874</v>
      </c>
    </row>
    <row r="730" customFormat="false" ht="15" hidden="false" customHeight="false" outlineLevel="0" collapsed="false">
      <c r="A730" s="2" t="n">
        <v>729</v>
      </c>
      <c r="B730" s="2" t="n">
        <v>53</v>
      </c>
      <c r="C730" s="3" t="str">
        <f aca="false">INDEX('부작 목록'!$C$2:$C$66,B730)</f>
        <v>파로 작전</v>
      </c>
      <c r="D730" s="3" t="s">
        <v>94</v>
      </c>
      <c r="E730" s="2" t="n">
        <v>13551</v>
      </c>
      <c r="F730" s="2" t="n">
        <v>16</v>
      </c>
      <c r="G730" s="6" t="s">
        <v>875</v>
      </c>
    </row>
    <row r="731" customFormat="false" ht="15" hidden="false" customHeight="false" outlineLevel="0" collapsed="false">
      <c r="A731" s="2" t="n">
        <v>730</v>
      </c>
      <c r="B731" s="2" t="n">
        <v>53</v>
      </c>
      <c r="C731" s="3" t="str">
        <f aca="false">INDEX('부작 목록'!$C$2:$C$66,B731)</f>
        <v>파로 작전</v>
      </c>
      <c r="D731" s="3" t="s">
        <v>94</v>
      </c>
      <c r="E731" s="2" t="n">
        <v>13570</v>
      </c>
      <c r="F731" s="2" t="n">
        <v>7</v>
      </c>
      <c r="G731" s="4" t="s">
        <v>876</v>
      </c>
    </row>
    <row r="732" customFormat="false" ht="15" hidden="false" customHeight="false" outlineLevel="0" collapsed="false">
      <c r="A732" s="2" t="n">
        <v>731</v>
      </c>
      <c r="B732" s="2" t="n">
        <v>53</v>
      </c>
      <c r="C732" s="3" t="str">
        <f aca="false">INDEX('부작 목록'!$C$2:$C$66,B732)</f>
        <v>파로 작전</v>
      </c>
      <c r="D732" s="3" t="s">
        <v>94</v>
      </c>
      <c r="E732" s="2" t="n">
        <v>13579</v>
      </c>
      <c r="F732" s="2" t="n">
        <v>9</v>
      </c>
      <c r="G732" s="4" t="s">
        <v>877</v>
      </c>
    </row>
    <row r="733" customFormat="false" ht="15" hidden="false" customHeight="false" outlineLevel="0" collapsed="false">
      <c r="A733" s="2" t="n">
        <v>732</v>
      </c>
      <c r="B733" s="2" t="n">
        <v>53</v>
      </c>
      <c r="C733" s="3" t="str">
        <f aca="false">INDEX('부작 목록'!$C$2:$C$66,B733)</f>
        <v>파로 작전</v>
      </c>
      <c r="D733" s="3" t="s">
        <v>94</v>
      </c>
      <c r="E733" s="2" t="n">
        <v>13591</v>
      </c>
      <c r="F733" s="2" t="n">
        <v>10</v>
      </c>
      <c r="G733" s="4" t="s">
        <v>878</v>
      </c>
    </row>
    <row r="734" customFormat="false" ht="15" hidden="false" customHeight="false" outlineLevel="0" collapsed="false">
      <c r="A734" s="2" t="n">
        <v>733</v>
      </c>
      <c r="B734" s="2" t="n">
        <v>53</v>
      </c>
      <c r="C734" s="3" t="str">
        <f aca="false">INDEX('부작 목록'!$C$2:$C$66,B734)</f>
        <v>파로 작전</v>
      </c>
      <c r="D734" s="3" t="s">
        <v>94</v>
      </c>
      <c r="E734" s="2" t="n">
        <v>13603</v>
      </c>
      <c r="F734" s="2" t="n">
        <v>29</v>
      </c>
      <c r="G734" s="4" t="s">
        <v>879</v>
      </c>
    </row>
    <row r="735" customFormat="false" ht="28.35" hidden="false" customHeight="false" outlineLevel="0" collapsed="false">
      <c r="A735" s="2" t="n">
        <v>734</v>
      </c>
      <c r="B735" s="2" t="n">
        <v>54</v>
      </c>
      <c r="C735" s="3" t="str">
        <f aca="false">INDEX('부작 목록'!$C$2:$C$66,B735)</f>
        <v>불꽃 작전</v>
      </c>
      <c r="D735" s="3" t="s">
        <v>94</v>
      </c>
      <c r="E735" s="2" t="n">
        <v>13636</v>
      </c>
      <c r="F735" s="2" t="n">
        <v>17</v>
      </c>
      <c r="G735" s="4" t="s">
        <v>880</v>
      </c>
    </row>
    <row r="736" customFormat="false" ht="15" hidden="false" customHeight="false" outlineLevel="0" collapsed="false">
      <c r="A736" s="2" t="n">
        <v>735</v>
      </c>
      <c r="B736" s="2" t="n">
        <v>54</v>
      </c>
      <c r="C736" s="3" t="str">
        <f aca="false">INDEX('부작 목록'!$C$2:$C$66,B736)</f>
        <v>불꽃 작전</v>
      </c>
      <c r="D736" s="3" t="s">
        <v>94</v>
      </c>
      <c r="E736" s="2" t="n">
        <v>13656</v>
      </c>
      <c r="F736" s="2" t="n">
        <v>16</v>
      </c>
      <c r="G736" s="4" t="s">
        <v>881</v>
      </c>
    </row>
    <row r="737" customFormat="false" ht="15" hidden="false" customHeight="false" outlineLevel="0" collapsed="false">
      <c r="A737" s="2" t="n">
        <v>736</v>
      </c>
      <c r="B737" s="2" t="n">
        <v>54</v>
      </c>
      <c r="C737" s="3" t="str">
        <f aca="false">INDEX('부작 목록'!$C$2:$C$66,B737)</f>
        <v>불꽃 작전</v>
      </c>
      <c r="D737" s="3" t="s">
        <v>94</v>
      </c>
      <c r="E737" s="2" t="n">
        <v>13675</v>
      </c>
      <c r="F737" s="2" t="n">
        <v>18</v>
      </c>
      <c r="G737" s="4" t="s">
        <v>882</v>
      </c>
    </row>
    <row r="738" customFormat="false" ht="15" hidden="false" customHeight="false" outlineLevel="0" collapsed="false">
      <c r="A738" s="2" t="n">
        <v>737</v>
      </c>
      <c r="B738" s="2" t="n">
        <v>54</v>
      </c>
      <c r="C738" s="3" t="str">
        <f aca="false">INDEX('부작 목록'!$C$2:$C$66,B738)</f>
        <v>불꽃 작전</v>
      </c>
      <c r="D738" s="3" t="s">
        <v>94</v>
      </c>
      <c r="E738" s="2" t="n">
        <v>13696</v>
      </c>
      <c r="F738" s="2" t="n">
        <v>11</v>
      </c>
      <c r="G738" s="4" t="s">
        <v>883</v>
      </c>
    </row>
    <row r="739" customFormat="false" ht="15" hidden="false" customHeight="false" outlineLevel="0" collapsed="false">
      <c r="A739" s="2" t="n">
        <v>738</v>
      </c>
      <c r="B739" s="2" t="n">
        <v>54</v>
      </c>
      <c r="C739" s="3" t="str">
        <f aca="false">INDEX('부작 목록'!$C$2:$C$66,B739)</f>
        <v>불꽃 작전</v>
      </c>
      <c r="D739" s="3" t="s">
        <v>94</v>
      </c>
      <c r="E739" s="2" t="n">
        <v>13709</v>
      </c>
      <c r="F739" s="2" t="n">
        <v>18</v>
      </c>
      <c r="G739" s="4" t="s">
        <v>884</v>
      </c>
    </row>
    <row r="740" customFormat="false" ht="15" hidden="false" customHeight="false" outlineLevel="0" collapsed="false">
      <c r="A740" s="2" t="n">
        <v>739</v>
      </c>
      <c r="B740" s="2" t="n">
        <v>54</v>
      </c>
      <c r="C740" s="3" t="str">
        <f aca="false">INDEX('부작 목록'!$C$2:$C$66,B740)</f>
        <v>불꽃 작전</v>
      </c>
      <c r="D740" s="3" t="s">
        <v>94</v>
      </c>
      <c r="E740" s="2" t="n">
        <v>13730</v>
      </c>
      <c r="F740" s="2" t="n">
        <v>9</v>
      </c>
      <c r="G740" s="4" t="s">
        <v>885</v>
      </c>
    </row>
    <row r="741" customFormat="false" ht="15" hidden="false" customHeight="false" outlineLevel="0" collapsed="false">
      <c r="A741" s="2" t="n">
        <v>740</v>
      </c>
      <c r="B741" s="2" t="n">
        <v>54</v>
      </c>
      <c r="C741" s="3" t="str">
        <f aca="false">INDEX('부작 목록'!$C$2:$C$66,B741)</f>
        <v>불꽃 작전</v>
      </c>
      <c r="D741" s="3" t="s">
        <v>94</v>
      </c>
      <c r="E741" s="2" t="n">
        <v>13742</v>
      </c>
      <c r="F741" s="2" t="n">
        <v>10</v>
      </c>
      <c r="G741" s="4" t="s">
        <v>886</v>
      </c>
    </row>
    <row r="742" customFormat="false" ht="15" hidden="false" customHeight="false" outlineLevel="0" collapsed="false">
      <c r="A742" s="2" t="n">
        <v>741</v>
      </c>
      <c r="B742" s="2" t="n">
        <v>54</v>
      </c>
      <c r="C742" s="3" t="str">
        <f aca="false">INDEX('부작 목록'!$C$2:$C$66,B742)</f>
        <v>불꽃 작전</v>
      </c>
      <c r="D742" s="3" t="s">
        <v>94</v>
      </c>
      <c r="E742" s="2" t="n">
        <v>13754</v>
      </c>
      <c r="F742" s="2" t="n">
        <v>10</v>
      </c>
      <c r="G742" s="4" t="s">
        <v>887</v>
      </c>
    </row>
    <row r="743" customFormat="false" ht="15" hidden="false" customHeight="false" outlineLevel="0" collapsed="false">
      <c r="A743" s="2" t="n">
        <v>742</v>
      </c>
      <c r="B743" s="2" t="n">
        <v>54</v>
      </c>
      <c r="C743" s="3" t="str">
        <f aca="false">INDEX('부작 목록'!$C$2:$C$66,B743)</f>
        <v>불꽃 작전</v>
      </c>
      <c r="D743" s="3" t="s">
        <v>94</v>
      </c>
      <c r="E743" s="2" t="n">
        <v>13767</v>
      </c>
      <c r="F743" s="2" t="n">
        <v>20</v>
      </c>
      <c r="G743" s="4" t="s">
        <v>888</v>
      </c>
    </row>
    <row r="744" customFormat="false" ht="15" hidden="false" customHeight="false" outlineLevel="0" collapsed="false">
      <c r="A744" s="2" t="n">
        <v>743</v>
      </c>
      <c r="B744" s="2" t="n">
        <v>54</v>
      </c>
      <c r="C744" s="3" t="str">
        <f aca="false">INDEX('부작 목록'!$C$2:$C$66,B744)</f>
        <v>불꽃 작전</v>
      </c>
      <c r="D744" s="3" t="s">
        <v>94</v>
      </c>
      <c r="E744" s="2" t="n">
        <v>13790</v>
      </c>
      <c r="F744" s="2" t="n">
        <v>9</v>
      </c>
      <c r="G744" s="4" t="s">
        <v>889</v>
      </c>
    </row>
    <row r="745" customFormat="false" ht="28.35" hidden="false" customHeight="false" outlineLevel="0" collapsed="false">
      <c r="A745" s="2" t="n">
        <v>744</v>
      </c>
      <c r="B745" s="2" t="n">
        <v>54</v>
      </c>
      <c r="C745" s="3" t="str">
        <f aca="false">INDEX('부작 목록'!$C$2:$C$66,B745)</f>
        <v>불꽃 작전</v>
      </c>
      <c r="D745" s="3" t="s">
        <v>94</v>
      </c>
      <c r="E745" s="2" t="n">
        <v>13802</v>
      </c>
      <c r="F745" s="2" t="n">
        <v>9</v>
      </c>
      <c r="G745" s="4" t="s">
        <v>890</v>
      </c>
    </row>
    <row r="746" customFormat="false" ht="15" hidden="false" customHeight="false" outlineLevel="0" collapsed="false">
      <c r="A746" s="2" t="n">
        <v>745</v>
      </c>
      <c r="B746" s="2" t="n">
        <v>54</v>
      </c>
      <c r="C746" s="3" t="str">
        <f aca="false">INDEX('부작 목록'!$C$2:$C$66,B746)</f>
        <v>불꽃 작전</v>
      </c>
      <c r="D746" s="3" t="s">
        <v>94</v>
      </c>
      <c r="E746" s="2" t="n">
        <v>13813</v>
      </c>
      <c r="F746" s="2" t="n">
        <v>10</v>
      </c>
      <c r="G746" s="4" t="s">
        <v>891</v>
      </c>
    </row>
    <row r="747" customFormat="false" ht="15" hidden="false" customHeight="false" outlineLevel="0" collapsed="false">
      <c r="A747" s="2" t="n">
        <v>746</v>
      </c>
      <c r="B747" s="2" t="n">
        <v>54</v>
      </c>
      <c r="C747" s="3" t="str">
        <f aca="false">INDEX('부작 목록'!$C$2:$C$66,B747)</f>
        <v>불꽃 작전</v>
      </c>
      <c r="D747" s="3" t="s">
        <v>94</v>
      </c>
      <c r="E747" s="2" t="n">
        <v>13826</v>
      </c>
      <c r="F747" s="2" t="n">
        <v>11</v>
      </c>
      <c r="G747" s="4" t="s">
        <v>892</v>
      </c>
    </row>
    <row r="748" customFormat="false" ht="15" hidden="false" customHeight="false" outlineLevel="0" collapsed="false">
      <c r="A748" s="2" t="n">
        <v>747</v>
      </c>
      <c r="B748" s="2" t="n">
        <v>54</v>
      </c>
      <c r="C748" s="3" t="str">
        <f aca="false">INDEX('부작 목록'!$C$2:$C$66,B748)</f>
        <v>불꽃 작전</v>
      </c>
      <c r="D748" s="3" t="s">
        <v>94</v>
      </c>
      <c r="E748" s="2" t="n">
        <v>13840</v>
      </c>
      <c r="F748" s="2" t="n">
        <v>28</v>
      </c>
      <c r="G748" s="4" t="s">
        <v>893</v>
      </c>
    </row>
    <row r="749" customFormat="false" ht="28.35" hidden="false" customHeight="false" outlineLevel="0" collapsed="false">
      <c r="A749" s="2" t="n">
        <v>748</v>
      </c>
      <c r="B749" s="2" t="n">
        <v>55</v>
      </c>
      <c r="C749" s="3" t="str">
        <f aca="false">INDEX('부작 목록'!$C$2:$C$66,B749)</f>
        <v>온라인 투자사기 리딩방</v>
      </c>
      <c r="D749" s="3" t="s">
        <v>94</v>
      </c>
      <c r="E749" s="2" t="n">
        <v>13871</v>
      </c>
      <c r="F749" s="2" t="n">
        <v>16</v>
      </c>
      <c r="G749" s="4" t="s">
        <v>894</v>
      </c>
    </row>
    <row r="750" customFormat="false" ht="15" hidden="false" customHeight="false" outlineLevel="0" collapsed="false">
      <c r="A750" s="2" t="n">
        <v>749</v>
      </c>
      <c r="B750" s="2" t="n">
        <v>55</v>
      </c>
      <c r="C750" s="3" t="str">
        <f aca="false">INDEX('부작 목록'!$C$2:$C$66,B750)</f>
        <v>온라인 투자사기 리딩방</v>
      </c>
      <c r="D750" s="3" t="s">
        <v>94</v>
      </c>
      <c r="E750" s="2" t="n">
        <v>13890</v>
      </c>
      <c r="F750" s="2" t="n">
        <v>15</v>
      </c>
      <c r="G750" s="4" t="s">
        <v>895</v>
      </c>
    </row>
    <row r="751" customFormat="false" ht="15" hidden="false" customHeight="false" outlineLevel="0" collapsed="false">
      <c r="A751" s="2" t="n">
        <v>750</v>
      </c>
      <c r="B751" s="2" t="n">
        <v>55</v>
      </c>
      <c r="C751" s="3" t="str">
        <f aca="false">INDEX('부작 목록'!$C$2:$C$66,B751)</f>
        <v>온라인 투자사기 리딩방</v>
      </c>
      <c r="D751" s="3" t="s">
        <v>94</v>
      </c>
      <c r="E751" s="2" t="n">
        <v>13908</v>
      </c>
      <c r="F751" s="2" t="n">
        <v>15</v>
      </c>
      <c r="G751" s="4" t="s">
        <v>896</v>
      </c>
    </row>
    <row r="752" customFormat="false" ht="15" hidden="false" customHeight="false" outlineLevel="0" collapsed="false">
      <c r="A752" s="2" t="n">
        <v>751</v>
      </c>
      <c r="B752" s="2" t="n">
        <v>55</v>
      </c>
      <c r="C752" s="3" t="str">
        <f aca="false">INDEX('부작 목록'!$C$2:$C$66,B752)</f>
        <v>온라인 투자사기 리딩방</v>
      </c>
      <c r="D752" s="3" t="s">
        <v>94</v>
      </c>
      <c r="E752" s="2" t="n">
        <v>13926</v>
      </c>
      <c r="F752" s="2" t="n">
        <v>9</v>
      </c>
      <c r="G752" s="4" t="s">
        <v>897</v>
      </c>
    </row>
    <row r="753" customFormat="false" ht="28.35" hidden="false" customHeight="false" outlineLevel="0" collapsed="false">
      <c r="A753" s="2" t="n">
        <v>752</v>
      </c>
      <c r="B753" s="2" t="n">
        <v>55</v>
      </c>
      <c r="C753" s="3" t="str">
        <f aca="false">INDEX('부작 목록'!$C$2:$C$66,B753)</f>
        <v>온라인 투자사기 리딩방</v>
      </c>
      <c r="D753" s="3" t="s">
        <v>94</v>
      </c>
      <c r="E753" s="2" t="n">
        <v>13938</v>
      </c>
      <c r="F753" s="2" t="n">
        <v>15</v>
      </c>
      <c r="G753" s="4" t="s">
        <v>898</v>
      </c>
    </row>
    <row r="754" customFormat="false" ht="15" hidden="false" customHeight="false" outlineLevel="0" collapsed="false">
      <c r="A754" s="2" t="n">
        <v>753</v>
      </c>
      <c r="B754" s="2" t="n">
        <v>55</v>
      </c>
      <c r="C754" s="3" t="str">
        <f aca="false">INDEX('부작 목록'!$C$2:$C$66,B754)</f>
        <v>온라인 투자사기 리딩방</v>
      </c>
      <c r="D754" s="3" t="s">
        <v>94</v>
      </c>
      <c r="E754" s="2" t="n">
        <v>13956</v>
      </c>
      <c r="F754" s="2" t="n">
        <v>8</v>
      </c>
      <c r="G754" s="4" t="s">
        <v>899</v>
      </c>
    </row>
    <row r="755" customFormat="false" ht="15" hidden="false" customHeight="false" outlineLevel="0" collapsed="false">
      <c r="A755" s="2" t="n">
        <v>754</v>
      </c>
      <c r="B755" s="2" t="n">
        <v>55</v>
      </c>
      <c r="C755" s="3" t="str">
        <f aca="false">INDEX('부작 목록'!$C$2:$C$66,B755)</f>
        <v>온라인 투자사기 리딩방</v>
      </c>
      <c r="D755" s="3" t="s">
        <v>94</v>
      </c>
      <c r="E755" s="2" t="n">
        <v>13966</v>
      </c>
      <c r="F755" s="2" t="n">
        <v>9</v>
      </c>
      <c r="G755" s="4" t="s">
        <v>900</v>
      </c>
    </row>
    <row r="756" customFormat="false" ht="15" hidden="false" customHeight="false" outlineLevel="0" collapsed="false">
      <c r="A756" s="2" t="n">
        <v>755</v>
      </c>
      <c r="B756" s="2" t="n">
        <v>55</v>
      </c>
      <c r="C756" s="3" t="str">
        <f aca="false">INDEX('부작 목록'!$C$2:$C$66,B756)</f>
        <v>온라인 투자사기 리딩방</v>
      </c>
      <c r="D756" s="3" t="s">
        <v>94</v>
      </c>
      <c r="E756" s="2" t="n">
        <v>13980</v>
      </c>
      <c r="F756" s="2" t="n">
        <v>17</v>
      </c>
      <c r="G756" s="4" t="s">
        <v>901</v>
      </c>
    </row>
    <row r="757" customFormat="false" ht="15" hidden="false" customHeight="false" outlineLevel="0" collapsed="false">
      <c r="A757" s="2" t="n">
        <v>756</v>
      </c>
      <c r="B757" s="2" t="n">
        <v>55</v>
      </c>
      <c r="C757" s="3" t="str">
        <f aca="false">INDEX('부작 목록'!$C$2:$C$66,B757)</f>
        <v>온라인 투자사기 리딩방</v>
      </c>
      <c r="D757" s="3" t="s">
        <v>94</v>
      </c>
      <c r="E757" s="2" t="n">
        <v>14000</v>
      </c>
      <c r="F757" s="2" t="n">
        <v>7</v>
      </c>
      <c r="G757" s="4" t="s">
        <v>902</v>
      </c>
    </row>
    <row r="758" customFormat="false" ht="15" hidden="false" customHeight="false" outlineLevel="0" collapsed="false">
      <c r="A758" s="2" t="n">
        <v>757</v>
      </c>
      <c r="B758" s="2" t="n">
        <v>55</v>
      </c>
      <c r="C758" s="3" t="str">
        <f aca="false">INDEX('부작 목록'!$C$2:$C$66,B758)</f>
        <v>온라인 투자사기 리딩방</v>
      </c>
      <c r="D758" s="3" t="s">
        <v>94</v>
      </c>
      <c r="E758" s="2" t="n">
        <v>14009</v>
      </c>
      <c r="F758" s="2" t="n">
        <v>10</v>
      </c>
      <c r="G758" s="4" t="s">
        <v>903</v>
      </c>
    </row>
    <row r="759" customFormat="false" ht="15" hidden="false" customHeight="false" outlineLevel="0" collapsed="false">
      <c r="A759" s="2" t="n">
        <v>758</v>
      </c>
      <c r="B759" s="2" t="n">
        <v>55</v>
      </c>
      <c r="C759" s="3" t="str">
        <f aca="false">INDEX('부작 목록'!$C$2:$C$66,B759)</f>
        <v>온라인 투자사기 리딩방</v>
      </c>
      <c r="D759" s="3" t="s">
        <v>94</v>
      </c>
      <c r="E759" s="2" t="n">
        <v>14022</v>
      </c>
      <c r="F759" s="2" t="n">
        <v>8</v>
      </c>
      <c r="G759" s="4" t="s">
        <v>904</v>
      </c>
    </row>
    <row r="760" customFormat="false" ht="15" hidden="false" customHeight="false" outlineLevel="0" collapsed="false">
      <c r="A760" s="2" t="n">
        <v>759</v>
      </c>
      <c r="B760" s="2" t="n">
        <v>55</v>
      </c>
      <c r="C760" s="3" t="str">
        <f aca="false">INDEX('부작 목록'!$C$2:$C$66,B760)</f>
        <v>온라인 투자사기 리딩방</v>
      </c>
      <c r="D760" s="3" t="s">
        <v>94</v>
      </c>
      <c r="E760" s="2" t="n">
        <v>14033</v>
      </c>
      <c r="F760" s="2" t="n">
        <v>10</v>
      </c>
      <c r="G760" s="4" t="s">
        <v>905</v>
      </c>
    </row>
    <row r="761" customFormat="false" ht="15" hidden="false" customHeight="false" outlineLevel="0" collapsed="false">
      <c r="A761" s="2" t="n">
        <v>760</v>
      </c>
      <c r="B761" s="2" t="n">
        <v>55</v>
      </c>
      <c r="C761" s="3" t="str">
        <f aca="false">INDEX('부작 목록'!$C$2:$C$66,B761)</f>
        <v>온라인 투자사기 리딩방</v>
      </c>
      <c r="D761" s="3" t="s">
        <v>94</v>
      </c>
      <c r="E761" s="2" t="n">
        <v>14045</v>
      </c>
      <c r="F761" s="2" t="n">
        <v>9</v>
      </c>
      <c r="G761" s="4" t="s">
        <v>906</v>
      </c>
    </row>
    <row r="762" customFormat="false" ht="15" hidden="false" customHeight="false" outlineLevel="0" collapsed="false">
      <c r="A762" s="2" t="n">
        <v>761</v>
      </c>
      <c r="B762" s="2" t="n">
        <v>55</v>
      </c>
      <c r="C762" s="3" t="str">
        <f aca="false">INDEX('부작 목록'!$C$2:$C$66,B762)</f>
        <v>온라인 투자사기 리딩방</v>
      </c>
      <c r="D762" s="3" t="s">
        <v>94</v>
      </c>
      <c r="E762" s="2" t="n">
        <v>14057</v>
      </c>
      <c r="F762" s="2" t="n">
        <v>9</v>
      </c>
      <c r="G762" s="4" t="s">
        <v>907</v>
      </c>
    </row>
    <row r="763" customFormat="false" ht="15" hidden="false" customHeight="false" outlineLevel="0" collapsed="false">
      <c r="A763" s="2" t="n">
        <v>762</v>
      </c>
      <c r="B763" s="2" t="n">
        <v>55</v>
      </c>
      <c r="C763" s="3" t="str">
        <f aca="false">INDEX('부작 목록'!$C$2:$C$66,B763)</f>
        <v>온라인 투자사기 리딩방</v>
      </c>
      <c r="D763" s="3" t="s">
        <v>94</v>
      </c>
      <c r="E763" s="2" t="n">
        <v>14068</v>
      </c>
      <c r="F763" s="2" t="n">
        <v>9</v>
      </c>
      <c r="G763" s="4" t="s">
        <v>908</v>
      </c>
    </row>
    <row r="764" customFormat="false" ht="15" hidden="false" customHeight="false" outlineLevel="0" collapsed="false">
      <c r="A764" s="2" t="n">
        <v>763</v>
      </c>
      <c r="B764" s="2" t="n">
        <v>55</v>
      </c>
      <c r="C764" s="3" t="str">
        <f aca="false">INDEX('부작 목록'!$C$2:$C$66,B764)</f>
        <v>온라인 투자사기 리딩방</v>
      </c>
      <c r="D764" s="3" t="s">
        <v>94</v>
      </c>
      <c r="E764" s="2" t="n">
        <v>14080</v>
      </c>
      <c r="F764" s="2" t="n">
        <v>8</v>
      </c>
      <c r="G764" s="4" t="s">
        <v>909</v>
      </c>
    </row>
    <row r="765" customFormat="false" ht="15" hidden="false" customHeight="false" outlineLevel="0" collapsed="false">
      <c r="A765" s="2" t="n">
        <v>764</v>
      </c>
      <c r="B765" s="2" t="n">
        <v>55</v>
      </c>
      <c r="C765" s="3" t="str">
        <f aca="false">INDEX('부작 목록'!$C$2:$C$66,B765)</f>
        <v>온라인 투자사기 리딩방</v>
      </c>
      <c r="D765" s="3" t="s">
        <v>94</v>
      </c>
      <c r="E765" s="2" t="n">
        <v>14090</v>
      </c>
      <c r="F765" s="2" t="n">
        <v>8</v>
      </c>
      <c r="G765" s="4" t="s">
        <v>910</v>
      </c>
    </row>
    <row r="766" customFormat="false" ht="15" hidden="false" customHeight="false" outlineLevel="0" collapsed="false">
      <c r="A766" s="2" t="n">
        <v>765</v>
      </c>
      <c r="B766" s="2" t="n">
        <v>55</v>
      </c>
      <c r="C766" s="3" t="str">
        <f aca="false">INDEX('부작 목록'!$C$2:$C$66,B766)</f>
        <v>온라인 투자사기 리딩방</v>
      </c>
      <c r="D766" s="3" t="s">
        <v>94</v>
      </c>
      <c r="E766" s="2" t="n">
        <v>14100</v>
      </c>
      <c r="F766" s="2" t="n">
        <v>8</v>
      </c>
      <c r="G766" s="4" t="s">
        <v>911</v>
      </c>
    </row>
    <row r="767" customFormat="false" ht="15" hidden="false" customHeight="false" outlineLevel="0" collapsed="false">
      <c r="A767" s="2" t="n">
        <v>766</v>
      </c>
      <c r="B767" s="2" t="n">
        <v>55</v>
      </c>
      <c r="C767" s="3" t="str">
        <f aca="false">INDEX('부작 목록'!$C$2:$C$66,B767)</f>
        <v>온라인 투자사기 리딩방</v>
      </c>
      <c r="D767" s="3" t="s">
        <v>94</v>
      </c>
      <c r="E767" s="2" t="n">
        <v>14110</v>
      </c>
      <c r="F767" s="2" t="n">
        <v>8</v>
      </c>
      <c r="G767" s="4" t="s">
        <v>912</v>
      </c>
    </row>
    <row r="768" customFormat="false" ht="15" hidden="false" customHeight="false" outlineLevel="0" collapsed="false">
      <c r="A768" s="2" t="n">
        <v>767</v>
      </c>
      <c r="B768" s="2" t="n">
        <v>55</v>
      </c>
      <c r="C768" s="3" t="str">
        <f aca="false">INDEX('부작 목록'!$C$2:$C$66,B768)</f>
        <v>온라인 투자사기 리딩방</v>
      </c>
      <c r="D768" s="3" t="s">
        <v>94</v>
      </c>
      <c r="E768" s="2" t="n">
        <v>14120</v>
      </c>
      <c r="F768" s="2" t="n">
        <v>10</v>
      </c>
      <c r="G768" s="4" t="s">
        <v>913</v>
      </c>
    </row>
    <row r="769" customFormat="false" ht="15" hidden="false" customHeight="false" outlineLevel="0" collapsed="false">
      <c r="A769" s="2" t="n">
        <v>768</v>
      </c>
      <c r="B769" s="2" t="n">
        <v>55</v>
      </c>
      <c r="C769" s="3" t="str">
        <f aca="false">INDEX('부작 목록'!$C$2:$C$66,B769)</f>
        <v>온라인 투자사기 리딩방</v>
      </c>
      <c r="D769" s="3" t="s">
        <v>94</v>
      </c>
      <c r="E769" s="2" t="n">
        <v>14133</v>
      </c>
      <c r="F769" s="2" t="n">
        <v>9</v>
      </c>
      <c r="G769" s="4" t="s">
        <v>914</v>
      </c>
    </row>
    <row r="770" customFormat="false" ht="15" hidden="false" customHeight="false" outlineLevel="0" collapsed="false">
      <c r="A770" s="2" t="n">
        <v>769</v>
      </c>
      <c r="B770" s="2" t="n">
        <v>55</v>
      </c>
      <c r="C770" s="3" t="str">
        <f aca="false">INDEX('부작 목록'!$C$2:$C$66,B770)</f>
        <v>온라인 투자사기 리딩방</v>
      </c>
      <c r="D770" s="3" t="s">
        <v>94</v>
      </c>
      <c r="E770" s="2" t="n">
        <v>14144</v>
      </c>
      <c r="F770" s="2" t="n">
        <v>9</v>
      </c>
      <c r="G770" s="4" t="s">
        <v>915</v>
      </c>
    </row>
    <row r="771" customFormat="false" ht="15" hidden="false" customHeight="false" outlineLevel="0" collapsed="false">
      <c r="A771" s="2" t="n">
        <v>770</v>
      </c>
      <c r="B771" s="2" t="n">
        <v>55</v>
      </c>
      <c r="C771" s="3" t="str">
        <f aca="false">INDEX('부작 목록'!$C$2:$C$66,B771)</f>
        <v>온라인 투자사기 리딩방</v>
      </c>
      <c r="D771" s="3" t="s">
        <v>94</v>
      </c>
      <c r="E771" s="2" t="n">
        <v>14156</v>
      </c>
      <c r="F771" s="2" t="n">
        <v>7</v>
      </c>
      <c r="G771" s="4" t="s">
        <v>916</v>
      </c>
    </row>
    <row r="772" customFormat="false" ht="15" hidden="false" customHeight="false" outlineLevel="0" collapsed="false">
      <c r="A772" s="2" t="n">
        <v>771</v>
      </c>
      <c r="B772" s="2" t="n">
        <v>55</v>
      </c>
      <c r="C772" s="3" t="str">
        <f aca="false">INDEX('부작 목록'!$C$2:$C$66,B772)</f>
        <v>온라인 투자사기 리딩방</v>
      </c>
      <c r="D772" s="3" t="s">
        <v>94</v>
      </c>
      <c r="E772" s="2" t="n">
        <v>14165</v>
      </c>
      <c r="F772" s="2" t="n">
        <v>8</v>
      </c>
      <c r="G772" s="4" t="s">
        <v>917</v>
      </c>
    </row>
    <row r="773" customFormat="false" ht="15" hidden="false" customHeight="false" outlineLevel="0" collapsed="false">
      <c r="A773" s="2" t="n">
        <v>772</v>
      </c>
      <c r="B773" s="2" t="n">
        <v>55</v>
      </c>
      <c r="C773" s="3" t="str">
        <f aca="false">INDEX('부작 목록'!$C$2:$C$66,B773)</f>
        <v>온라인 투자사기 리딩방</v>
      </c>
      <c r="D773" s="3" t="s">
        <v>94</v>
      </c>
      <c r="E773" s="2" t="n">
        <v>14176</v>
      </c>
      <c r="F773" s="2" t="n">
        <v>8</v>
      </c>
      <c r="G773" s="4" t="s">
        <v>918</v>
      </c>
    </row>
    <row r="774" customFormat="false" ht="15" hidden="false" customHeight="false" outlineLevel="0" collapsed="false">
      <c r="A774" s="2" t="n">
        <v>773</v>
      </c>
      <c r="B774" s="2" t="n">
        <v>56</v>
      </c>
      <c r="C774" s="3" t="str">
        <f aca="false">INDEX('부작 목록'!$C$2:$C$66,B774)</f>
        <v>제약회사 임상시험 조작</v>
      </c>
      <c r="D774" s="3" t="s">
        <v>94</v>
      </c>
      <c r="E774" s="2" t="n">
        <v>14186</v>
      </c>
      <c r="F774" s="2" t="n">
        <v>6</v>
      </c>
      <c r="G774" s="4" t="s">
        <v>833</v>
      </c>
    </row>
    <row r="775" customFormat="false" ht="15" hidden="false" customHeight="false" outlineLevel="0" collapsed="false">
      <c r="A775" s="2" t="n">
        <v>774</v>
      </c>
      <c r="B775" s="2" t="n">
        <v>56</v>
      </c>
      <c r="C775" s="3" t="str">
        <f aca="false">INDEX('부작 목록'!$C$2:$C$66,B775)</f>
        <v>제약회사 임상시험 조작</v>
      </c>
      <c r="D775" s="3" t="s">
        <v>94</v>
      </c>
      <c r="E775" s="2" t="n">
        <v>14195</v>
      </c>
      <c r="F775" s="2" t="n">
        <v>7</v>
      </c>
      <c r="G775" s="4" t="s">
        <v>919</v>
      </c>
    </row>
    <row r="776" customFormat="false" ht="15" hidden="false" customHeight="false" outlineLevel="0" collapsed="false">
      <c r="A776" s="2" t="n">
        <v>775</v>
      </c>
      <c r="B776" s="2" t="n">
        <v>56</v>
      </c>
      <c r="C776" s="3" t="str">
        <f aca="false">INDEX('부작 목록'!$C$2:$C$66,B776)</f>
        <v>제약회사 임상시험 조작</v>
      </c>
      <c r="D776" s="3" t="s">
        <v>94</v>
      </c>
      <c r="E776" s="2" t="n">
        <v>14203</v>
      </c>
      <c r="F776" s="2" t="n">
        <v>16</v>
      </c>
      <c r="G776" s="4" t="s">
        <v>920</v>
      </c>
    </row>
    <row r="777" customFormat="false" ht="15" hidden="false" customHeight="false" outlineLevel="0" collapsed="false">
      <c r="A777" s="2" t="n">
        <v>776</v>
      </c>
      <c r="B777" s="2" t="n">
        <v>56</v>
      </c>
      <c r="C777" s="3" t="str">
        <f aca="false">INDEX('부작 목록'!$C$2:$C$66,B777)</f>
        <v>제약회사 임상시험 조작</v>
      </c>
      <c r="D777" s="3" t="s">
        <v>94</v>
      </c>
      <c r="E777" s="2" t="n">
        <v>14222</v>
      </c>
      <c r="F777" s="2" t="n">
        <v>8</v>
      </c>
      <c r="G777" s="4" t="s">
        <v>921</v>
      </c>
    </row>
    <row r="778" customFormat="false" ht="15" hidden="false" customHeight="false" outlineLevel="0" collapsed="false">
      <c r="A778" s="2" t="n">
        <v>777</v>
      </c>
      <c r="B778" s="2" t="n">
        <v>56</v>
      </c>
      <c r="C778" s="3" t="str">
        <f aca="false">INDEX('부작 목록'!$C$2:$C$66,B778)</f>
        <v>제약회사 임상시험 조작</v>
      </c>
      <c r="D778" s="3" t="s">
        <v>94</v>
      </c>
      <c r="E778" s="2" t="n">
        <v>14232</v>
      </c>
      <c r="F778" s="2" t="n">
        <v>8</v>
      </c>
      <c r="G778" s="4" t="s">
        <v>922</v>
      </c>
    </row>
    <row r="779" customFormat="false" ht="15" hidden="false" customHeight="false" outlineLevel="0" collapsed="false">
      <c r="A779" s="2" t="n">
        <v>778</v>
      </c>
      <c r="B779" s="2" t="n">
        <v>56</v>
      </c>
      <c r="C779" s="3" t="str">
        <f aca="false">INDEX('부작 목록'!$C$2:$C$66,B779)</f>
        <v>제약회사 임상시험 조작</v>
      </c>
      <c r="D779" s="3" t="s">
        <v>94</v>
      </c>
      <c r="E779" s="2" t="n">
        <v>14242</v>
      </c>
      <c r="F779" s="2" t="n">
        <v>11</v>
      </c>
      <c r="G779" s="4" t="s">
        <v>923</v>
      </c>
    </row>
    <row r="780" customFormat="false" ht="15" hidden="false" customHeight="false" outlineLevel="0" collapsed="false">
      <c r="A780" s="2" t="n">
        <v>779</v>
      </c>
      <c r="B780" s="2" t="n">
        <v>56</v>
      </c>
      <c r="C780" s="3" t="str">
        <f aca="false">INDEX('부작 목록'!$C$2:$C$66,B780)</f>
        <v>제약회사 임상시험 조작</v>
      </c>
      <c r="D780" s="3" t="s">
        <v>94</v>
      </c>
      <c r="E780" s="2" t="n">
        <v>14256</v>
      </c>
      <c r="F780" s="2" t="n">
        <v>8</v>
      </c>
      <c r="G780" s="4" t="s">
        <v>924</v>
      </c>
    </row>
    <row r="781" customFormat="false" ht="15" hidden="false" customHeight="false" outlineLevel="0" collapsed="false">
      <c r="A781" s="2" t="n">
        <v>780</v>
      </c>
      <c r="B781" s="2" t="n">
        <v>56</v>
      </c>
      <c r="C781" s="3" t="str">
        <f aca="false">INDEX('부작 목록'!$C$2:$C$66,B781)</f>
        <v>제약회사 임상시험 조작</v>
      </c>
      <c r="D781" s="3" t="s">
        <v>94</v>
      </c>
      <c r="E781" s="2" t="n">
        <v>14266</v>
      </c>
      <c r="F781" s="2" t="n">
        <v>9</v>
      </c>
      <c r="G781" s="4" t="s">
        <v>925</v>
      </c>
    </row>
    <row r="782" customFormat="false" ht="15" hidden="false" customHeight="false" outlineLevel="0" collapsed="false">
      <c r="A782" s="2" t="n">
        <v>781</v>
      </c>
      <c r="B782" s="2" t="n">
        <v>56</v>
      </c>
      <c r="C782" s="3" t="str">
        <f aca="false">INDEX('부작 목록'!$C$2:$C$66,B782)</f>
        <v>제약회사 임상시험 조작</v>
      </c>
      <c r="D782" s="3" t="s">
        <v>94</v>
      </c>
      <c r="E782" s="2" t="n">
        <v>14278</v>
      </c>
      <c r="F782" s="2" t="n">
        <v>8</v>
      </c>
      <c r="G782" s="4" t="s">
        <v>926</v>
      </c>
    </row>
    <row r="783" customFormat="false" ht="15" hidden="false" customHeight="false" outlineLevel="0" collapsed="false">
      <c r="A783" s="2" t="n">
        <v>782</v>
      </c>
      <c r="B783" s="2" t="n">
        <v>56</v>
      </c>
      <c r="C783" s="3" t="str">
        <f aca="false">INDEX('부작 목록'!$C$2:$C$66,B783)</f>
        <v>제약회사 임상시험 조작</v>
      </c>
      <c r="D783" s="3" t="s">
        <v>94</v>
      </c>
      <c r="E783" s="2" t="n">
        <v>14288</v>
      </c>
      <c r="F783" s="2" t="n">
        <v>8</v>
      </c>
      <c r="G783" s="4" t="s">
        <v>927</v>
      </c>
    </row>
    <row r="784" customFormat="false" ht="15" hidden="false" customHeight="false" outlineLevel="0" collapsed="false">
      <c r="A784" s="2" t="n">
        <v>783</v>
      </c>
      <c r="B784" s="2" t="n">
        <v>56</v>
      </c>
      <c r="C784" s="3" t="str">
        <f aca="false">INDEX('부작 목록'!$C$2:$C$66,B784)</f>
        <v>제약회사 임상시험 조작</v>
      </c>
      <c r="D784" s="3" t="s">
        <v>94</v>
      </c>
      <c r="E784" s="2" t="n">
        <v>14299</v>
      </c>
      <c r="F784" s="2" t="n">
        <v>8</v>
      </c>
      <c r="G784" s="4" t="s">
        <v>928</v>
      </c>
    </row>
    <row r="785" customFormat="false" ht="15" hidden="false" customHeight="false" outlineLevel="0" collapsed="false">
      <c r="A785" s="2" t="n">
        <v>784</v>
      </c>
      <c r="B785" s="2" t="n">
        <v>56</v>
      </c>
      <c r="C785" s="3" t="str">
        <f aca="false">INDEX('부작 목록'!$C$2:$C$66,B785)</f>
        <v>제약회사 임상시험 조작</v>
      </c>
      <c r="D785" s="3" t="s">
        <v>94</v>
      </c>
      <c r="E785" s="2" t="n">
        <v>14309</v>
      </c>
      <c r="F785" s="2" t="n">
        <v>8</v>
      </c>
      <c r="G785" s="4" t="s">
        <v>929</v>
      </c>
    </row>
    <row r="786" customFormat="false" ht="15" hidden="false" customHeight="false" outlineLevel="0" collapsed="false">
      <c r="A786" s="2" t="n">
        <v>785</v>
      </c>
      <c r="B786" s="2" t="n">
        <v>56</v>
      </c>
      <c r="C786" s="3" t="str">
        <f aca="false">INDEX('부작 목록'!$C$2:$C$66,B786)</f>
        <v>제약회사 임상시험 조작</v>
      </c>
      <c r="D786" s="3" t="s">
        <v>94</v>
      </c>
      <c r="E786" s="2" t="n">
        <v>14320</v>
      </c>
      <c r="F786" s="2" t="n">
        <v>8</v>
      </c>
      <c r="G786" s="4" t="s">
        <v>930</v>
      </c>
    </row>
    <row r="787" customFormat="false" ht="15" hidden="false" customHeight="false" outlineLevel="0" collapsed="false">
      <c r="A787" s="2" t="n">
        <v>786</v>
      </c>
      <c r="B787" s="2" t="n">
        <v>56</v>
      </c>
      <c r="C787" s="3" t="str">
        <f aca="false">INDEX('부작 목록'!$C$2:$C$66,B787)</f>
        <v>제약회사 임상시험 조작</v>
      </c>
      <c r="D787" s="3" t="s">
        <v>94</v>
      </c>
      <c r="E787" s="2" t="n">
        <v>14330</v>
      </c>
      <c r="F787" s="2" t="n">
        <v>8</v>
      </c>
      <c r="G787" s="4" t="s">
        <v>931</v>
      </c>
    </row>
    <row r="788" customFormat="false" ht="15" hidden="false" customHeight="false" outlineLevel="0" collapsed="false">
      <c r="A788" s="2" t="n">
        <v>787</v>
      </c>
      <c r="B788" s="2" t="n">
        <v>56</v>
      </c>
      <c r="C788" s="3" t="str">
        <f aca="false">INDEX('부작 목록'!$C$2:$C$66,B788)</f>
        <v>제약회사 임상시험 조작</v>
      </c>
      <c r="D788" s="3" t="s">
        <v>94</v>
      </c>
      <c r="E788" s="2" t="n">
        <v>14341</v>
      </c>
      <c r="F788" s="2" t="n">
        <v>8</v>
      </c>
      <c r="G788" s="4" t="s">
        <v>932</v>
      </c>
    </row>
    <row r="789" customFormat="false" ht="15" hidden="false" customHeight="false" outlineLevel="0" collapsed="false">
      <c r="A789" s="2" t="n">
        <v>788</v>
      </c>
      <c r="B789" s="2" t="n">
        <v>56</v>
      </c>
      <c r="C789" s="3" t="str">
        <f aca="false">INDEX('부작 목록'!$C$2:$C$66,B789)</f>
        <v>제약회사 임상시험 조작</v>
      </c>
      <c r="D789" s="3" t="s">
        <v>94</v>
      </c>
      <c r="E789" s="2" t="n">
        <v>14351</v>
      </c>
      <c r="F789" s="2" t="n">
        <v>8</v>
      </c>
      <c r="G789" s="4" t="s">
        <v>933</v>
      </c>
    </row>
    <row r="790" customFormat="false" ht="15" hidden="false" customHeight="false" outlineLevel="0" collapsed="false">
      <c r="A790" s="2" t="n">
        <v>789</v>
      </c>
      <c r="B790" s="2" t="n">
        <v>56</v>
      </c>
      <c r="C790" s="3" t="str">
        <f aca="false">INDEX('부작 목록'!$C$2:$C$66,B790)</f>
        <v>제약회사 임상시험 조작</v>
      </c>
      <c r="D790" s="3" t="s">
        <v>94</v>
      </c>
      <c r="E790" s="2" t="n">
        <v>14362</v>
      </c>
      <c r="F790" s="2" t="n">
        <v>8</v>
      </c>
      <c r="G790" s="4" t="s">
        <v>934</v>
      </c>
    </row>
    <row r="791" customFormat="false" ht="15" hidden="false" customHeight="false" outlineLevel="0" collapsed="false">
      <c r="A791" s="2" t="n">
        <v>790</v>
      </c>
      <c r="B791" s="2" t="n">
        <v>56</v>
      </c>
      <c r="C791" s="3" t="str">
        <f aca="false">INDEX('부작 목록'!$C$2:$C$66,B791)</f>
        <v>제약회사 임상시험 조작</v>
      </c>
      <c r="D791" s="3" t="s">
        <v>94</v>
      </c>
      <c r="E791" s="2" t="n">
        <v>14372</v>
      </c>
      <c r="F791" s="2" t="n">
        <v>8</v>
      </c>
      <c r="G791" s="4" t="s">
        <v>935</v>
      </c>
    </row>
    <row r="792" customFormat="false" ht="15" hidden="false" customHeight="false" outlineLevel="0" collapsed="false">
      <c r="A792" s="2" t="n">
        <v>791</v>
      </c>
      <c r="B792" s="2" t="n">
        <v>56</v>
      </c>
      <c r="C792" s="3" t="str">
        <f aca="false">INDEX('부작 목록'!$C$2:$C$66,B792)</f>
        <v>제약회사 임상시험 조작</v>
      </c>
      <c r="D792" s="3" t="s">
        <v>94</v>
      </c>
      <c r="E792" s="2" t="n">
        <v>14383</v>
      </c>
      <c r="F792" s="2" t="n">
        <v>6</v>
      </c>
      <c r="G792" s="4" t="s">
        <v>936</v>
      </c>
    </row>
    <row r="793" customFormat="false" ht="15" hidden="false" customHeight="false" outlineLevel="0" collapsed="false">
      <c r="A793" s="2" t="n">
        <v>792</v>
      </c>
      <c r="B793" s="2" t="n">
        <v>56</v>
      </c>
      <c r="C793" s="3" t="str">
        <f aca="false">INDEX('부작 목록'!$C$2:$C$66,B793)</f>
        <v>제약회사 임상시험 조작</v>
      </c>
      <c r="D793" s="3" t="s">
        <v>94</v>
      </c>
      <c r="E793" s="2" t="n">
        <v>14391</v>
      </c>
      <c r="F793" s="2" t="n">
        <v>8</v>
      </c>
      <c r="G793" s="4" t="s">
        <v>937</v>
      </c>
    </row>
    <row r="794" customFormat="false" ht="15" hidden="false" customHeight="false" outlineLevel="0" collapsed="false">
      <c r="A794" s="2" t="n">
        <v>793</v>
      </c>
      <c r="B794" s="2" t="n">
        <v>56</v>
      </c>
      <c r="C794" s="3" t="str">
        <f aca="false">INDEX('부작 목록'!$C$2:$C$66,B794)</f>
        <v>제약회사 임상시험 조작</v>
      </c>
      <c r="D794" s="3" t="s">
        <v>94</v>
      </c>
      <c r="E794" s="2" t="n">
        <v>14402</v>
      </c>
      <c r="F794" s="2" t="n">
        <v>8</v>
      </c>
      <c r="G794" s="4" t="s">
        <v>938</v>
      </c>
    </row>
    <row r="795" customFormat="false" ht="15" hidden="false" customHeight="false" outlineLevel="0" collapsed="false">
      <c r="A795" s="2" t="n">
        <v>794</v>
      </c>
      <c r="B795" s="2" t="n">
        <v>56</v>
      </c>
      <c r="C795" s="3" t="str">
        <f aca="false">INDEX('부작 목록'!$C$2:$C$66,B795)</f>
        <v>제약회사 임상시험 조작</v>
      </c>
      <c r="D795" s="3" t="s">
        <v>94</v>
      </c>
      <c r="E795" s="2" t="n">
        <v>14412</v>
      </c>
      <c r="F795" s="2" t="n">
        <v>9</v>
      </c>
      <c r="G795" s="4" t="s">
        <v>939</v>
      </c>
    </row>
    <row r="796" customFormat="false" ht="15" hidden="false" customHeight="false" outlineLevel="0" collapsed="false">
      <c r="A796" s="2" t="n">
        <v>795</v>
      </c>
      <c r="B796" s="2" t="n">
        <v>56</v>
      </c>
      <c r="C796" s="3" t="str">
        <f aca="false">INDEX('부작 목록'!$C$2:$C$66,B796)</f>
        <v>제약회사 임상시험 조작</v>
      </c>
      <c r="D796" s="3" t="s">
        <v>94</v>
      </c>
      <c r="E796" s="2" t="n">
        <v>14424</v>
      </c>
      <c r="F796" s="2" t="n">
        <v>9</v>
      </c>
      <c r="G796" s="4" t="s">
        <v>940</v>
      </c>
    </row>
    <row r="797" customFormat="false" ht="15" hidden="false" customHeight="false" outlineLevel="0" collapsed="false">
      <c r="A797" s="2" t="n">
        <v>796</v>
      </c>
      <c r="B797" s="2" t="n">
        <v>56</v>
      </c>
      <c r="C797" s="3" t="str">
        <f aca="false">INDEX('부작 목록'!$C$2:$C$66,B797)</f>
        <v>제약회사 임상시험 조작</v>
      </c>
      <c r="D797" s="3" t="s">
        <v>94</v>
      </c>
      <c r="E797" s="2" t="n">
        <v>14435</v>
      </c>
      <c r="F797" s="2" t="n">
        <v>9</v>
      </c>
      <c r="G797" s="4" t="s">
        <v>941</v>
      </c>
    </row>
    <row r="798" customFormat="false" ht="15" hidden="false" customHeight="false" outlineLevel="0" collapsed="false">
      <c r="A798" s="2" t="n">
        <v>797</v>
      </c>
      <c r="B798" s="2" t="n">
        <v>56</v>
      </c>
      <c r="C798" s="3" t="str">
        <f aca="false">INDEX('부작 목록'!$C$2:$C$66,B798)</f>
        <v>제약회사 임상시험 조작</v>
      </c>
      <c r="D798" s="3" t="s">
        <v>94</v>
      </c>
      <c r="E798" s="2" t="n">
        <v>14447</v>
      </c>
      <c r="F798" s="2" t="n">
        <v>8</v>
      </c>
      <c r="G798" s="4" t="s">
        <v>942</v>
      </c>
    </row>
    <row r="799" customFormat="false" ht="15" hidden="false" customHeight="false" outlineLevel="0" collapsed="false">
      <c r="A799" s="2" t="n">
        <v>798</v>
      </c>
      <c r="B799" s="2" t="n">
        <v>57</v>
      </c>
      <c r="C799" s="3" t="str">
        <f aca="false">INDEX('부작 목록'!$C$2:$C$66,B799)</f>
        <v>예술품 위조 공방</v>
      </c>
      <c r="D799" s="3" t="s">
        <v>94</v>
      </c>
      <c r="E799" s="2" t="n">
        <v>14457</v>
      </c>
      <c r="F799" s="2" t="n">
        <v>5</v>
      </c>
      <c r="G799" s="4" t="s">
        <v>943</v>
      </c>
    </row>
    <row r="800" customFormat="false" ht="15" hidden="false" customHeight="false" outlineLevel="0" collapsed="false">
      <c r="A800" s="2" t="n">
        <v>799</v>
      </c>
      <c r="B800" s="2" t="n">
        <v>57</v>
      </c>
      <c r="C800" s="3" t="str">
        <f aca="false">INDEX('부작 목록'!$C$2:$C$66,B800)</f>
        <v>예술품 위조 공방</v>
      </c>
      <c r="D800" s="3" t="s">
        <v>94</v>
      </c>
      <c r="E800" s="2" t="n">
        <v>14465</v>
      </c>
      <c r="F800" s="2" t="n">
        <v>13</v>
      </c>
      <c r="G800" s="4" t="s">
        <v>944</v>
      </c>
    </row>
    <row r="801" customFormat="false" ht="28.35" hidden="false" customHeight="false" outlineLevel="0" collapsed="false">
      <c r="A801" s="2" t="n">
        <v>800</v>
      </c>
      <c r="B801" s="2" t="n">
        <v>57</v>
      </c>
      <c r="C801" s="3" t="str">
        <f aca="false">INDEX('부작 목록'!$C$2:$C$66,B801)</f>
        <v>예술품 위조 공방</v>
      </c>
      <c r="D801" s="3" t="s">
        <v>94</v>
      </c>
      <c r="E801" s="2" t="n">
        <v>14480</v>
      </c>
      <c r="F801" s="2" t="n">
        <v>17</v>
      </c>
      <c r="G801" s="4" t="s">
        <v>945</v>
      </c>
    </row>
    <row r="802" customFormat="false" ht="15" hidden="false" customHeight="false" outlineLevel="0" collapsed="false">
      <c r="A802" s="2" t="n">
        <v>801</v>
      </c>
      <c r="B802" s="2" t="n">
        <v>57</v>
      </c>
      <c r="C802" s="3" t="str">
        <f aca="false">INDEX('부작 목록'!$C$2:$C$66,B802)</f>
        <v>예술품 위조 공방</v>
      </c>
      <c r="D802" s="3" t="s">
        <v>94</v>
      </c>
      <c r="E802" s="2" t="n">
        <v>14500</v>
      </c>
      <c r="F802" s="2" t="n">
        <v>8</v>
      </c>
      <c r="G802" s="4" t="s">
        <v>946</v>
      </c>
    </row>
    <row r="803" customFormat="false" ht="15" hidden="false" customHeight="false" outlineLevel="0" collapsed="false">
      <c r="A803" s="2" t="n">
        <v>802</v>
      </c>
      <c r="B803" s="2" t="n">
        <v>57</v>
      </c>
      <c r="C803" s="3" t="str">
        <f aca="false">INDEX('부작 목록'!$C$2:$C$66,B803)</f>
        <v>예술품 위조 공방</v>
      </c>
      <c r="D803" s="3" t="s">
        <v>94</v>
      </c>
      <c r="E803" s="2" t="n">
        <v>14511</v>
      </c>
      <c r="F803" s="2" t="n">
        <v>8</v>
      </c>
      <c r="G803" s="4" t="s">
        <v>947</v>
      </c>
    </row>
    <row r="804" customFormat="false" ht="15" hidden="false" customHeight="false" outlineLevel="0" collapsed="false">
      <c r="A804" s="2" t="n">
        <v>803</v>
      </c>
      <c r="B804" s="2" t="n">
        <v>57</v>
      </c>
      <c r="C804" s="3" t="str">
        <f aca="false">INDEX('부작 목록'!$C$2:$C$66,B804)</f>
        <v>예술품 위조 공방</v>
      </c>
      <c r="D804" s="3" t="s">
        <v>94</v>
      </c>
      <c r="E804" s="2" t="n">
        <v>14521</v>
      </c>
      <c r="F804" s="2" t="n">
        <v>13</v>
      </c>
      <c r="G804" s="4" t="s">
        <v>948</v>
      </c>
    </row>
    <row r="805" customFormat="false" ht="15" hidden="false" customHeight="false" outlineLevel="0" collapsed="false">
      <c r="A805" s="2" t="n">
        <v>804</v>
      </c>
      <c r="B805" s="2" t="n">
        <v>57</v>
      </c>
      <c r="C805" s="3" t="str">
        <f aca="false">INDEX('부작 목록'!$C$2:$C$66,B805)</f>
        <v>예술품 위조 공방</v>
      </c>
      <c r="D805" s="3" t="s">
        <v>94</v>
      </c>
      <c r="E805" s="2" t="n">
        <v>14537</v>
      </c>
      <c r="F805" s="2" t="n">
        <v>9</v>
      </c>
      <c r="G805" s="4" t="s">
        <v>949</v>
      </c>
    </row>
    <row r="806" customFormat="false" ht="15" hidden="false" customHeight="false" outlineLevel="0" collapsed="false">
      <c r="A806" s="2" t="n">
        <v>805</v>
      </c>
      <c r="B806" s="2" t="n">
        <v>57</v>
      </c>
      <c r="C806" s="3" t="str">
        <f aca="false">INDEX('부작 목록'!$C$2:$C$66,B806)</f>
        <v>예술품 위조 공방</v>
      </c>
      <c r="D806" s="3" t="s">
        <v>94</v>
      </c>
      <c r="E806" s="2" t="n">
        <v>14548</v>
      </c>
      <c r="F806" s="2" t="n">
        <v>7</v>
      </c>
      <c r="G806" s="4" t="s">
        <v>950</v>
      </c>
    </row>
    <row r="807" customFormat="false" ht="15" hidden="false" customHeight="false" outlineLevel="0" collapsed="false">
      <c r="A807" s="2" t="n">
        <v>806</v>
      </c>
      <c r="B807" s="2" t="n">
        <v>57</v>
      </c>
      <c r="C807" s="3" t="str">
        <f aca="false">INDEX('부작 목록'!$C$2:$C$66,B807)</f>
        <v>예술품 위조 공방</v>
      </c>
      <c r="D807" s="3" t="s">
        <v>94</v>
      </c>
      <c r="E807" s="2" t="n">
        <v>14557</v>
      </c>
      <c r="F807" s="2" t="n">
        <v>9</v>
      </c>
      <c r="G807" s="4" t="s">
        <v>951</v>
      </c>
    </row>
    <row r="808" customFormat="false" ht="15" hidden="false" customHeight="false" outlineLevel="0" collapsed="false">
      <c r="A808" s="2" t="n">
        <v>807</v>
      </c>
      <c r="B808" s="2" t="n">
        <v>57</v>
      </c>
      <c r="C808" s="3" t="str">
        <f aca="false">INDEX('부작 목록'!$C$2:$C$66,B808)</f>
        <v>예술품 위조 공방</v>
      </c>
      <c r="D808" s="3" t="s">
        <v>94</v>
      </c>
      <c r="E808" s="2" t="n">
        <v>14569</v>
      </c>
      <c r="F808" s="2" t="n">
        <v>12</v>
      </c>
      <c r="G808" s="4" t="s">
        <v>952</v>
      </c>
    </row>
    <row r="809" customFormat="false" ht="15" hidden="false" customHeight="false" outlineLevel="0" collapsed="false">
      <c r="A809" s="2" t="n">
        <v>808</v>
      </c>
      <c r="B809" s="2" t="n">
        <v>57</v>
      </c>
      <c r="C809" s="3" t="str">
        <f aca="false">INDEX('부작 목록'!$C$2:$C$66,B809)</f>
        <v>예술품 위조 공방</v>
      </c>
      <c r="D809" s="3" t="s">
        <v>94</v>
      </c>
      <c r="E809" s="2" t="n">
        <v>14583</v>
      </c>
      <c r="F809" s="2" t="n">
        <v>11</v>
      </c>
      <c r="G809" s="4" t="s">
        <v>953</v>
      </c>
    </row>
    <row r="810" customFormat="false" ht="15" hidden="false" customHeight="false" outlineLevel="0" collapsed="false">
      <c r="A810" s="2" t="n">
        <v>809</v>
      </c>
      <c r="B810" s="2" t="n">
        <v>57</v>
      </c>
      <c r="C810" s="3" t="str">
        <f aca="false">INDEX('부작 목록'!$C$2:$C$66,B810)</f>
        <v>예술품 위조 공방</v>
      </c>
      <c r="D810" s="3" t="s">
        <v>94</v>
      </c>
      <c r="E810" s="2" t="n">
        <v>14597</v>
      </c>
      <c r="F810" s="2" t="n">
        <v>10</v>
      </c>
      <c r="G810" s="4" t="s">
        <v>954</v>
      </c>
    </row>
    <row r="811" customFormat="false" ht="15" hidden="false" customHeight="false" outlineLevel="0" collapsed="false">
      <c r="A811" s="2" t="n">
        <v>810</v>
      </c>
      <c r="B811" s="2" t="n">
        <v>57</v>
      </c>
      <c r="C811" s="3" t="str">
        <f aca="false">INDEX('부작 목록'!$C$2:$C$66,B811)</f>
        <v>예술품 위조 공방</v>
      </c>
      <c r="D811" s="3" t="s">
        <v>94</v>
      </c>
      <c r="E811" s="2" t="n">
        <v>14610</v>
      </c>
      <c r="F811" s="2" t="n">
        <v>10</v>
      </c>
      <c r="G811" s="4" t="s">
        <v>955</v>
      </c>
    </row>
    <row r="812" customFormat="false" ht="15" hidden="false" customHeight="false" outlineLevel="0" collapsed="false">
      <c r="A812" s="2" t="n">
        <v>811</v>
      </c>
      <c r="B812" s="2" t="n">
        <v>57</v>
      </c>
      <c r="C812" s="3" t="str">
        <f aca="false">INDEX('부작 목록'!$C$2:$C$66,B812)</f>
        <v>예술품 위조 공방</v>
      </c>
      <c r="D812" s="3" t="s">
        <v>94</v>
      </c>
      <c r="E812" s="2" t="n">
        <v>14622</v>
      </c>
      <c r="F812" s="2" t="n">
        <v>11</v>
      </c>
      <c r="G812" s="4" t="s">
        <v>956</v>
      </c>
    </row>
    <row r="813" customFormat="false" ht="15" hidden="false" customHeight="false" outlineLevel="0" collapsed="false">
      <c r="A813" s="2" t="n">
        <v>812</v>
      </c>
      <c r="B813" s="2" t="n">
        <v>57</v>
      </c>
      <c r="C813" s="3" t="str">
        <f aca="false">INDEX('부작 목록'!$C$2:$C$66,B813)</f>
        <v>예술품 위조 공방</v>
      </c>
      <c r="D813" s="3" t="s">
        <v>94</v>
      </c>
      <c r="E813" s="2" t="n">
        <v>14636</v>
      </c>
      <c r="F813" s="2" t="n">
        <v>11</v>
      </c>
      <c r="G813" s="4" t="s">
        <v>957</v>
      </c>
    </row>
    <row r="814" customFormat="false" ht="15" hidden="false" customHeight="false" outlineLevel="0" collapsed="false">
      <c r="A814" s="2" t="n">
        <v>813</v>
      </c>
      <c r="B814" s="2" t="n">
        <v>57</v>
      </c>
      <c r="C814" s="3" t="str">
        <f aca="false">INDEX('부작 목록'!$C$2:$C$66,B814)</f>
        <v>예술품 위조 공방</v>
      </c>
      <c r="D814" s="3" t="s">
        <v>94</v>
      </c>
      <c r="E814" s="2" t="n">
        <v>14650</v>
      </c>
      <c r="F814" s="2" t="n">
        <v>9</v>
      </c>
      <c r="G814" s="4" t="s">
        <v>958</v>
      </c>
    </row>
    <row r="815" customFormat="false" ht="15" hidden="false" customHeight="false" outlineLevel="0" collapsed="false">
      <c r="A815" s="2" t="n">
        <v>814</v>
      </c>
      <c r="B815" s="2" t="n">
        <v>57</v>
      </c>
      <c r="C815" s="3" t="str">
        <f aca="false">INDEX('부작 목록'!$C$2:$C$66,B815)</f>
        <v>예술품 위조 공방</v>
      </c>
      <c r="D815" s="3" t="s">
        <v>94</v>
      </c>
      <c r="E815" s="2" t="n">
        <v>14661</v>
      </c>
      <c r="F815" s="2" t="n">
        <v>11</v>
      </c>
      <c r="G815" s="4" t="s">
        <v>959</v>
      </c>
    </row>
    <row r="816" customFormat="false" ht="15" hidden="false" customHeight="false" outlineLevel="0" collapsed="false">
      <c r="A816" s="2" t="n">
        <v>815</v>
      </c>
      <c r="B816" s="2" t="n">
        <v>57</v>
      </c>
      <c r="C816" s="3" t="str">
        <f aca="false">INDEX('부작 목록'!$C$2:$C$66,B816)</f>
        <v>예술품 위조 공방</v>
      </c>
      <c r="D816" s="3" t="s">
        <v>94</v>
      </c>
      <c r="E816" s="2" t="n">
        <v>14674</v>
      </c>
      <c r="F816" s="2" t="n">
        <v>10</v>
      </c>
      <c r="G816" s="4" t="s">
        <v>960</v>
      </c>
    </row>
    <row r="817" customFormat="false" ht="15" hidden="false" customHeight="false" outlineLevel="0" collapsed="false">
      <c r="A817" s="2" t="n">
        <v>816</v>
      </c>
      <c r="B817" s="2" t="n">
        <v>57</v>
      </c>
      <c r="C817" s="3" t="str">
        <f aca="false">INDEX('부작 목록'!$C$2:$C$66,B817)</f>
        <v>예술품 위조 공방</v>
      </c>
      <c r="D817" s="3" t="s">
        <v>94</v>
      </c>
      <c r="E817" s="2" t="n">
        <v>14687</v>
      </c>
      <c r="F817" s="2" t="n">
        <v>9</v>
      </c>
      <c r="G817" s="4" t="s">
        <v>961</v>
      </c>
    </row>
    <row r="818" customFormat="false" ht="15" hidden="false" customHeight="false" outlineLevel="0" collapsed="false">
      <c r="A818" s="2" t="n">
        <v>817</v>
      </c>
      <c r="B818" s="2" t="n">
        <v>57</v>
      </c>
      <c r="C818" s="3" t="str">
        <f aca="false">INDEX('부작 목록'!$C$2:$C$66,B818)</f>
        <v>예술품 위조 공방</v>
      </c>
      <c r="D818" s="3" t="s">
        <v>94</v>
      </c>
      <c r="E818" s="2" t="n">
        <v>14698</v>
      </c>
      <c r="F818" s="2" t="n">
        <v>9</v>
      </c>
      <c r="G818" s="4" t="s">
        <v>962</v>
      </c>
    </row>
    <row r="819" customFormat="false" ht="15" hidden="false" customHeight="false" outlineLevel="0" collapsed="false">
      <c r="A819" s="2" t="n">
        <v>818</v>
      </c>
      <c r="B819" s="2" t="n">
        <v>57</v>
      </c>
      <c r="C819" s="3" t="str">
        <f aca="false">INDEX('부작 목록'!$C$2:$C$66,B819)</f>
        <v>예술품 위조 공방</v>
      </c>
      <c r="D819" s="3" t="s">
        <v>94</v>
      </c>
      <c r="E819" s="2" t="n">
        <v>14710</v>
      </c>
      <c r="F819" s="2" t="n">
        <v>10</v>
      </c>
      <c r="G819" s="4" t="s">
        <v>963</v>
      </c>
    </row>
    <row r="820" customFormat="false" ht="15" hidden="false" customHeight="false" outlineLevel="0" collapsed="false">
      <c r="A820" s="2" t="n">
        <v>819</v>
      </c>
      <c r="B820" s="2" t="n">
        <v>57</v>
      </c>
      <c r="C820" s="3" t="str">
        <f aca="false">INDEX('부작 목록'!$C$2:$C$66,B820)</f>
        <v>예술품 위조 공방</v>
      </c>
      <c r="D820" s="3" t="s">
        <v>94</v>
      </c>
      <c r="E820" s="2" t="n">
        <v>14723</v>
      </c>
      <c r="F820" s="2" t="n">
        <v>15</v>
      </c>
      <c r="G820" s="4" t="s">
        <v>964</v>
      </c>
    </row>
    <row r="821" customFormat="false" ht="28.35" hidden="false" customHeight="false" outlineLevel="0" collapsed="false">
      <c r="A821" s="2" t="n">
        <v>820</v>
      </c>
      <c r="B821" s="2" t="n">
        <v>58</v>
      </c>
      <c r="C821" s="3" t="str">
        <f aca="false">INDEX('부작 목록'!$C$2:$C$66,B821)</f>
        <v>푸른 열차 작전</v>
      </c>
      <c r="D821" s="3" t="s">
        <v>94</v>
      </c>
      <c r="E821" s="2" t="n">
        <v>14740</v>
      </c>
      <c r="F821" s="2" t="n">
        <v>16</v>
      </c>
      <c r="G821" s="4" t="s">
        <v>965</v>
      </c>
    </row>
    <row r="822" customFormat="false" ht="15" hidden="false" customHeight="false" outlineLevel="0" collapsed="false">
      <c r="A822" s="2" t="n">
        <v>821</v>
      </c>
      <c r="B822" s="2" t="n">
        <v>58</v>
      </c>
      <c r="C822" s="3" t="str">
        <f aca="false">INDEX('부작 목록'!$C$2:$C$66,B822)</f>
        <v>푸른 열차 작전</v>
      </c>
      <c r="D822" s="3" t="s">
        <v>94</v>
      </c>
      <c r="E822" s="2" t="n">
        <v>14759</v>
      </c>
      <c r="F822" s="2" t="n">
        <v>10</v>
      </c>
      <c r="G822" s="4" t="s">
        <v>966</v>
      </c>
    </row>
    <row r="823" customFormat="false" ht="15" hidden="false" customHeight="false" outlineLevel="0" collapsed="false">
      <c r="A823" s="2" t="n">
        <v>822</v>
      </c>
      <c r="B823" s="2" t="n">
        <v>58</v>
      </c>
      <c r="C823" s="3" t="str">
        <f aca="false">INDEX('부작 목록'!$C$2:$C$66,B823)</f>
        <v>푸른 열차 작전</v>
      </c>
      <c r="D823" s="3" t="s">
        <v>94</v>
      </c>
      <c r="E823" s="2" t="n">
        <v>14771</v>
      </c>
      <c r="F823" s="2" t="n">
        <v>9</v>
      </c>
      <c r="G823" s="4" t="s">
        <v>967</v>
      </c>
    </row>
    <row r="824" customFormat="false" ht="15" hidden="false" customHeight="false" outlineLevel="0" collapsed="false">
      <c r="A824" s="2" t="n">
        <v>823</v>
      </c>
      <c r="B824" s="2" t="n">
        <v>58</v>
      </c>
      <c r="C824" s="3" t="str">
        <f aca="false">INDEX('부작 목록'!$C$2:$C$66,B824)</f>
        <v>푸른 열차 작전</v>
      </c>
      <c r="D824" s="3" t="s">
        <v>94</v>
      </c>
      <c r="E824" s="2" t="n">
        <v>14783</v>
      </c>
      <c r="F824" s="2" t="n">
        <v>8</v>
      </c>
      <c r="G824" s="4" t="s">
        <v>968</v>
      </c>
    </row>
    <row r="825" customFormat="false" ht="15" hidden="false" customHeight="false" outlineLevel="0" collapsed="false">
      <c r="A825" s="2" t="n">
        <v>824</v>
      </c>
      <c r="B825" s="2" t="n">
        <v>58</v>
      </c>
      <c r="C825" s="3" t="str">
        <f aca="false">INDEX('부작 목록'!$C$2:$C$66,B825)</f>
        <v>푸른 열차 작전</v>
      </c>
      <c r="D825" s="3" t="s">
        <v>94</v>
      </c>
      <c r="E825" s="2" t="n">
        <v>14793</v>
      </c>
      <c r="F825" s="2" t="n">
        <v>8</v>
      </c>
      <c r="G825" s="4" t="s">
        <v>969</v>
      </c>
    </row>
    <row r="826" customFormat="false" ht="15" hidden="false" customHeight="false" outlineLevel="0" collapsed="false">
      <c r="A826" s="2" t="n">
        <v>825</v>
      </c>
      <c r="B826" s="2" t="n">
        <v>58</v>
      </c>
      <c r="C826" s="3" t="str">
        <f aca="false">INDEX('부작 목록'!$C$2:$C$66,B826)</f>
        <v>푸른 열차 작전</v>
      </c>
      <c r="D826" s="3" t="s">
        <v>94</v>
      </c>
      <c r="E826" s="2" t="n">
        <v>14804</v>
      </c>
      <c r="F826" s="2" t="n">
        <v>8</v>
      </c>
      <c r="G826" s="4" t="s">
        <v>970</v>
      </c>
    </row>
    <row r="827" customFormat="false" ht="15" hidden="false" customHeight="false" outlineLevel="0" collapsed="false">
      <c r="A827" s="2" t="n">
        <v>826</v>
      </c>
      <c r="B827" s="2" t="n">
        <v>58</v>
      </c>
      <c r="C827" s="3" t="str">
        <f aca="false">INDEX('부작 목록'!$C$2:$C$66,B827)</f>
        <v>푸른 열차 작전</v>
      </c>
      <c r="D827" s="3" t="s">
        <v>94</v>
      </c>
      <c r="E827" s="2" t="n">
        <v>14814</v>
      </c>
      <c r="F827" s="2" t="n">
        <v>9</v>
      </c>
      <c r="G827" s="4" t="s">
        <v>971</v>
      </c>
    </row>
    <row r="828" customFormat="false" ht="15" hidden="false" customHeight="false" outlineLevel="0" collapsed="false">
      <c r="A828" s="2" t="n">
        <v>827</v>
      </c>
      <c r="B828" s="2" t="n">
        <v>58</v>
      </c>
      <c r="C828" s="3" t="str">
        <f aca="false">INDEX('부작 목록'!$C$2:$C$66,B828)</f>
        <v>푸른 열차 작전</v>
      </c>
      <c r="D828" s="3" t="s">
        <v>94</v>
      </c>
      <c r="E828" s="2" t="n">
        <v>14826</v>
      </c>
      <c r="F828" s="2" t="n">
        <v>8</v>
      </c>
      <c r="G828" s="4" t="s">
        <v>972</v>
      </c>
    </row>
    <row r="829" customFormat="false" ht="15" hidden="false" customHeight="false" outlineLevel="0" collapsed="false">
      <c r="A829" s="2" t="n">
        <v>828</v>
      </c>
      <c r="B829" s="2" t="n">
        <v>58</v>
      </c>
      <c r="C829" s="3" t="str">
        <f aca="false">INDEX('부작 목록'!$C$2:$C$66,B829)</f>
        <v>푸른 열차 작전</v>
      </c>
      <c r="D829" s="3" t="s">
        <v>94</v>
      </c>
      <c r="E829" s="2" t="n">
        <v>14836</v>
      </c>
      <c r="F829" s="2" t="n">
        <v>8</v>
      </c>
      <c r="G829" s="4" t="s">
        <v>973</v>
      </c>
    </row>
    <row r="830" customFormat="false" ht="15" hidden="false" customHeight="false" outlineLevel="0" collapsed="false">
      <c r="A830" s="2" t="n">
        <v>829</v>
      </c>
      <c r="B830" s="2" t="n">
        <v>58</v>
      </c>
      <c r="C830" s="3" t="str">
        <f aca="false">INDEX('부작 목록'!$C$2:$C$66,B830)</f>
        <v>푸른 열차 작전</v>
      </c>
      <c r="D830" s="3" t="s">
        <v>94</v>
      </c>
      <c r="E830" s="2" t="n">
        <v>14847</v>
      </c>
      <c r="F830" s="2" t="n">
        <v>8</v>
      </c>
      <c r="G830" s="4" t="s">
        <v>974</v>
      </c>
    </row>
    <row r="831" customFormat="false" ht="15" hidden="false" customHeight="false" outlineLevel="0" collapsed="false">
      <c r="A831" s="2" t="n">
        <v>830</v>
      </c>
      <c r="B831" s="2" t="n">
        <v>58</v>
      </c>
      <c r="C831" s="3" t="str">
        <f aca="false">INDEX('부작 목록'!$C$2:$C$66,B831)</f>
        <v>푸른 열차 작전</v>
      </c>
      <c r="D831" s="3" t="s">
        <v>94</v>
      </c>
      <c r="E831" s="2" t="n">
        <v>14857</v>
      </c>
      <c r="F831" s="2" t="n">
        <v>8</v>
      </c>
      <c r="G831" s="4" t="s">
        <v>975</v>
      </c>
    </row>
    <row r="832" customFormat="false" ht="15" hidden="false" customHeight="false" outlineLevel="0" collapsed="false">
      <c r="A832" s="2" t="n">
        <v>831</v>
      </c>
      <c r="B832" s="2" t="n">
        <v>58</v>
      </c>
      <c r="C832" s="3" t="str">
        <f aca="false">INDEX('부작 목록'!$C$2:$C$66,B832)</f>
        <v>푸른 열차 작전</v>
      </c>
      <c r="D832" s="3" t="s">
        <v>94</v>
      </c>
      <c r="E832" s="2" t="n">
        <v>14868</v>
      </c>
      <c r="F832" s="2" t="n">
        <v>8</v>
      </c>
      <c r="G832" s="4" t="s">
        <v>976</v>
      </c>
    </row>
    <row r="833" customFormat="false" ht="15" hidden="false" customHeight="false" outlineLevel="0" collapsed="false">
      <c r="A833" s="2" t="n">
        <v>832</v>
      </c>
      <c r="B833" s="2" t="n">
        <v>58</v>
      </c>
      <c r="C833" s="3" t="str">
        <f aca="false">INDEX('부작 목록'!$C$2:$C$66,B833)</f>
        <v>푸른 열차 작전</v>
      </c>
      <c r="D833" s="3" t="s">
        <v>94</v>
      </c>
      <c r="E833" s="2" t="n">
        <v>14878</v>
      </c>
      <c r="F833" s="2" t="n">
        <v>8</v>
      </c>
      <c r="G833" s="4" t="s">
        <v>977</v>
      </c>
    </row>
    <row r="834" customFormat="false" ht="15" hidden="false" customHeight="false" outlineLevel="0" collapsed="false">
      <c r="A834" s="2" t="n">
        <v>833</v>
      </c>
      <c r="B834" s="2" t="n">
        <v>58</v>
      </c>
      <c r="C834" s="3" t="str">
        <f aca="false">INDEX('부작 목록'!$C$2:$C$66,B834)</f>
        <v>푸른 열차 작전</v>
      </c>
      <c r="D834" s="3" t="s">
        <v>94</v>
      </c>
      <c r="E834" s="2" t="n">
        <v>14889</v>
      </c>
      <c r="F834" s="2" t="n">
        <v>8</v>
      </c>
      <c r="G834" s="4" t="s">
        <v>978</v>
      </c>
    </row>
    <row r="835" customFormat="false" ht="15" hidden="false" customHeight="false" outlineLevel="0" collapsed="false">
      <c r="A835" s="2" t="n">
        <v>834</v>
      </c>
      <c r="B835" s="2" t="n">
        <v>58</v>
      </c>
      <c r="C835" s="3" t="str">
        <f aca="false">INDEX('부작 목록'!$C$2:$C$66,B835)</f>
        <v>푸른 열차 작전</v>
      </c>
      <c r="D835" s="3" t="s">
        <v>94</v>
      </c>
      <c r="E835" s="2" t="n">
        <v>14899</v>
      </c>
      <c r="F835" s="2" t="n">
        <v>8</v>
      </c>
      <c r="G835" s="4" t="s">
        <v>979</v>
      </c>
    </row>
    <row r="836" customFormat="false" ht="15" hidden="false" customHeight="false" outlineLevel="0" collapsed="false">
      <c r="A836" s="2" t="n">
        <v>835</v>
      </c>
      <c r="B836" s="2" t="n">
        <v>58</v>
      </c>
      <c r="C836" s="3" t="str">
        <f aca="false">INDEX('부작 목록'!$C$2:$C$66,B836)</f>
        <v>푸른 열차 작전</v>
      </c>
      <c r="D836" s="3" t="s">
        <v>94</v>
      </c>
      <c r="E836" s="2" t="n">
        <v>14910</v>
      </c>
      <c r="F836" s="2" t="n">
        <v>7</v>
      </c>
      <c r="G836" s="4" t="s">
        <v>980</v>
      </c>
    </row>
    <row r="837" customFormat="false" ht="15" hidden="false" customHeight="false" outlineLevel="0" collapsed="false">
      <c r="A837" s="2" t="n">
        <v>836</v>
      </c>
      <c r="B837" s="2" t="n">
        <v>58</v>
      </c>
      <c r="C837" s="3" t="str">
        <f aca="false">INDEX('부작 목록'!$C$2:$C$66,B837)</f>
        <v>푸른 열차 작전</v>
      </c>
      <c r="D837" s="3" t="s">
        <v>94</v>
      </c>
      <c r="E837" s="2" t="n">
        <v>14919</v>
      </c>
      <c r="F837" s="2" t="n">
        <v>8</v>
      </c>
      <c r="G837" s="4" t="s">
        <v>981</v>
      </c>
    </row>
    <row r="838" customFormat="false" ht="15" hidden="false" customHeight="false" outlineLevel="0" collapsed="false">
      <c r="A838" s="2" t="n">
        <v>837</v>
      </c>
      <c r="B838" s="2" t="n">
        <v>58</v>
      </c>
      <c r="C838" s="3" t="str">
        <f aca="false">INDEX('부작 목록'!$C$2:$C$66,B838)</f>
        <v>푸른 열차 작전</v>
      </c>
      <c r="D838" s="3" t="s">
        <v>94</v>
      </c>
      <c r="E838" s="2" t="n">
        <v>14930</v>
      </c>
      <c r="F838" s="2" t="n">
        <v>7</v>
      </c>
      <c r="G838" s="4" t="s">
        <v>982</v>
      </c>
    </row>
    <row r="839" customFormat="false" ht="15" hidden="false" customHeight="false" outlineLevel="0" collapsed="false">
      <c r="A839" s="2" t="n">
        <v>838</v>
      </c>
      <c r="B839" s="2" t="n">
        <v>58</v>
      </c>
      <c r="C839" s="3" t="str">
        <f aca="false">INDEX('부작 목록'!$C$2:$C$66,B839)</f>
        <v>푸른 열차 작전</v>
      </c>
      <c r="D839" s="3" t="s">
        <v>94</v>
      </c>
      <c r="E839" s="2" t="n">
        <v>14939</v>
      </c>
      <c r="F839" s="2" t="n">
        <v>6</v>
      </c>
      <c r="G839" s="4" t="s">
        <v>983</v>
      </c>
    </row>
    <row r="840" customFormat="false" ht="15" hidden="false" customHeight="false" outlineLevel="0" collapsed="false">
      <c r="A840" s="2" t="n">
        <v>839</v>
      </c>
      <c r="B840" s="2" t="n">
        <v>58</v>
      </c>
      <c r="C840" s="3" t="str">
        <f aca="false">INDEX('부작 목록'!$C$2:$C$66,B840)</f>
        <v>푸른 열차 작전</v>
      </c>
      <c r="D840" s="3" t="s">
        <v>94</v>
      </c>
      <c r="E840" s="2" t="n">
        <v>14948</v>
      </c>
      <c r="F840" s="2" t="n">
        <v>8</v>
      </c>
      <c r="G840" s="4" t="s">
        <v>984</v>
      </c>
    </row>
    <row r="841" customFormat="false" ht="28.35" hidden="false" customHeight="false" outlineLevel="0" collapsed="false">
      <c r="A841" s="2" t="n">
        <v>840</v>
      </c>
      <c r="B841" s="2" t="n">
        <v>59</v>
      </c>
      <c r="C841" s="3" t="str">
        <f aca="false">INDEX('부작 목록'!$C$2:$C$66,B841)</f>
        <v>묘지 작전</v>
      </c>
      <c r="D841" s="3" t="s">
        <v>94</v>
      </c>
      <c r="E841" s="2" t="n">
        <v>14958</v>
      </c>
      <c r="F841" s="2" t="n">
        <v>15</v>
      </c>
      <c r="G841" s="4" t="s">
        <v>985</v>
      </c>
    </row>
    <row r="842" customFormat="false" ht="15" hidden="false" customHeight="false" outlineLevel="0" collapsed="false">
      <c r="A842" s="2" t="n">
        <v>841</v>
      </c>
      <c r="B842" s="2" t="n">
        <v>59</v>
      </c>
      <c r="C842" s="3" t="str">
        <f aca="false">INDEX('부작 목록'!$C$2:$C$66,B842)</f>
        <v>묘지 작전</v>
      </c>
      <c r="D842" s="3" t="s">
        <v>94</v>
      </c>
      <c r="E842" s="2" t="n">
        <v>14976</v>
      </c>
      <c r="F842" s="2" t="n">
        <v>9</v>
      </c>
      <c r="G842" s="4" t="s">
        <v>986</v>
      </c>
    </row>
    <row r="843" customFormat="false" ht="15" hidden="false" customHeight="false" outlineLevel="0" collapsed="false">
      <c r="A843" s="2" t="n">
        <v>842</v>
      </c>
      <c r="B843" s="2" t="n">
        <v>59</v>
      </c>
      <c r="C843" s="3" t="str">
        <f aca="false">INDEX('부작 목록'!$C$2:$C$66,B843)</f>
        <v>묘지 작전</v>
      </c>
      <c r="D843" s="3" t="s">
        <v>94</v>
      </c>
      <c r="E843" s="2" t="n">
        <v>14988</v>
      </c>
      <c r="F843" s="2" t="n">
        <v>9</v>
      </c>
      <c r="G843" s="4" t="s">
        <v>987</v>
      </c>
    </row>
    <row r="844" customFormat="false" ht="15" hidden="false" customHeight="false" outlineLevel="0" collapsed="false">
      <c r="A844" s="2" t="n">
        <v>843</v>
      </c>
      <c r="B844" s="2" t="n">
        <v>59</v>
      </c>
      <c r="C844" s="3" t="str">
        <f aca="false">INDEX('부작 목록'!$C$2:$C$66,B844)</f>
        <v>묘지 작전</v>
      </c>
      <c r="D844" s="3" t="s">
        <v>94</v>
      </c>
      <c r="E844" s="2" t="n">
        <v>14999</v>
      </c>
      <c r="F844" s="2" t="n">
        <v>9</v>
      </c>
      <c r="G844" s="4" t="s">
        <v>988</v>
      </c>
    </row>
    <row r="845" customFormat="false" ht="15" hidden="false" customHeight="false" outlineLevel="0" collapsed="false">
      <c r="A845" s="2" t="n">
        <v>844</v>
      </c>
      <c r="B845" s="2" t="n">
        <v>59</v>
      </c>
      <c r="C845" s="3" t="str">
        <f aca="false">INDEX('부작 목록'!$C$2:$C$66,B845)</f>
        <v>묘지 작전</v>
      </c>
      <c r="D845" s="3" t="s">
        <v>94</v>
      </c>
      <c r="E845" s="2" t="n">
        <v>15011</v>
      </c>
      <c r="F845" s="2" t="n">
        <v>8</v>
      </c>
      <c r="G845" s="4" t="s">
        <v>989</v>
      </c>
    </row>
    <row r="846" customFormat="false" ht="15" hidden="false" customHeight="false" outlineLevel="0" collapsed="false">
      <c r="A846" s="2" t="n">
        <v>845</v>
      </c>
      <c r="B846" s="2" t="n">
        <v>59</v>
      </c>
      <c r="C846" s="3" t="str">
        <f aca="false">INDEX('부작 목록'!$C$2:$C$66,B846)</f>
        <v>묘지 작전</v>
      </c>
      <c r="D846" s="3" t="s">
        <v>94</v>
      </c>
      <c r="E846" s="2" t="n">
        <v>15021</v>
      </c>
      <c r="F846" s="2" t="n">
        <v>8</v>
      </c>
      <c r="G846" s="4" t="s">
        <v>990</v>
      </c>
    </row>
    <row r="847" customFormat="false" ht="15" hidden="false" customHeight="false" outlineLevel="0" collapsed="false">
      <c r="A847" s="2" t="n">
        <v>846</v>
      </c>
      <c r="B847" s="2" t="n">
        <v>59</v>
      </c>
      <c r="C847" s="3" t="str">
        <f aca="false">INDEX('부작 목록'!$C$2:$C$66,B847)</f>
        <v>묘지 작전</v>
      </c>
      <c r="D847" s="3" t="s">
        <v>94</v>
      </c>
      <c r="E847" s="2" t="n">
        <v>15032</v>
      </c>
      <c r="F847" s="2" t="n">
        <v>9</v>
      </c>
      <c r="G847" s="4" t="s">
        <v>991</v>
      </c>
    </row>
    <row r="848" customFormat="false" ht="15" hidden="false" customHeight="false" outlineLevel="0" collapsed="false">
      <c r="A848" s="2" t="n">
        <v>847</v>
      </c>
      <c r="B848" s="2" t="n">
        <v>59</v>
      </c>
      <c r="C848" s="3" t="str">
        <f aca="false">INDEX('부작 목록'!$C$2:$C$66,B848)</f>
        <v>묘지 작전</v>
      </c>
      <c r="D848" s="3" t="s">
        <v>94</v>
      </c>
      <c r="E848" s="2" t="n">
        <v>15043</v>
      </c>
      <c r="F848" s="2" t="n">
        <v>9</v>
      </c>
      <c r="G848" s="4" t="s">
        <v>992</v>
      </c>
    </row>
    <row r="849" customFormat="false" ht="15" hidden="false" customHeight="false" outlineLevel="0" collapsed="false">
      <c r="A849" s="2" t="n">
        <v>848</v>
      </c>
      <c r="B849" s="2" t="n">
        <v>59</v>
      </c>
      <c r="C849" s="3" t="str">
        <f aca="false">INDEX('부작 목록'!$C$2:$C$66,B849)</f>
        <v>묘지 작전</v>
      </c>
      <c r="D849" s="3" t="s">
        <v>94</v>
      </c>
      <c r="E849" s="2" t="n">
        <v>15055</v>
      </c>
      <c r="F849" s="2" t="n">
        <v>8</v>
      </c>
      <c r="G849" s="4" t="s">
        <v>993</v>
      </c>
    </row>
    <row r="850" customFormat="false" ht="15" hidden="false" customHeight="false" outlineLevel="0" collapsed="false">
      <c r="A850" s="2" t="n">
        <v>849</v>
      </c>
      <c r="B850" s="2" t="n">
        <v>59</v>
      </c>
      <c r="C850" s="3" t="str">
        <f aca="false">INDEX('부작 목록'!$C$2:$C$66,B850)</f>
        <v>묘지 작전</v>
      </c>
      <c r="D850" s="3" t="s">
        <v>94</v>
      </c>
      <c r="E850" s="2" t="n">
        <v>15065</v>
      </c>
      <c r="F850" s="2" t="n">
        <v>9</v>
      </c>
      <c r="G850" s="4" t="s">
        <v>994</v>
      </c>
    </row>
    <row r="851" customFormat="false" ht="15" hidden="false" customHeight="false" outlineLevel="0" collapsed="false">
      <c r="A851" s="2" t="n">
        <v>850</v>
      </c>
      <c r="B851" s="2" t="n">
        <v>59</v>
      </c>
      <c r="C851" s="3" t="str">
        <f aca="false">INDEX('부작 목록'!$C$2:$C$66,B851)</f>
        <v>묘지 작전</v>
      </c>
      <c r="D851" s="3" t="s">
        <v>94</v>
      </c>
      <c r="E851" s="2" t="n">
        <v>15077</v>
      </c>
      <c r="F851" s="2" t="n">
        <v>9</v>
      </c>
      <c r="G851" s="4" t="s">
        <v>995</v>
      </c>
    </row>
    <row r="852" customFormat="false" ht="15" hidden="false" customHeight="false" outlineLevel="0" collapsed="false">
      <c r="A852" s="2" t="n">
        <v>851</v>
      </c>
      <c r="B852" s="2" t="n">
        <v>59</v>
      </c>
      <c r="C852" s="3" t="str">
        <f aca="false">INDEX('부작 목록'!$C$2:$C$66,B852)</f>
        <v>묘지 작전</v>
      </c>
      <c r="D852" s="3" t="s">
        <v>94</v>
      </c>
      <c r="E852" s="2" t="n">
        <v>15088</v>
      </c>
      <c r="F852" s="2" t="n">
        <v>9</v>
      </c>
      <c r="G852" s="4" t="s">
        <v>996</v>
      </c>
    </row>
    <row r="853" customFormat="false" ht="15" hidden="false" customHeight="false" outlineLevel="0" collapsed="false">
      <c r="A853" s="2" t="n">
        <v>852</v>
      </c>
      <c r="B853" s="2" t="n">
        <v>59</v>
      </c>
      <c r="C853" s="3" t="str">
        <f aca="false">INDEX('부작 목록'!$C$2:$C$66,B853)</f>
        <v>묘지 작전</v>
      </c>
      <c r="D853" s="3" t="s">
        <v>94</v>
      </c>
      <c r="E853" s="2" t="n">
        <v>15100</v>
      </c>
      <c r="F853" s="2" t="n">
        <v>9</v>
      </c>
      <c r="G853" s="4" t="s">
        <v>997</v>
      </c>
    </row>
    <row r="854" customFormat="false" ht="15" hidden="false" customHeight="false" outlineLevel="0" collapsed="false">
      <c r="A854" s="2" t="n">
        <v>853</v>
      </c>
      <c r="B854" s="2" t="n">
        <v>59</v>
      </c>
      <c r="C854" s="3" t="str">
        <f aca="false">INDEX('부작 목록'!$C$2:$C$66,B854)</f>
        <v>묘지 작전</v>
      </c>
      <c r="D854" s="3" t="s">
        <v>94</v>
      </c>
      <c r="E854" s="2" t="n">
        <v>15111</v>
      </c>
      <c r="F854" s="2" t="n">
        <v>8</v>
      </c>
      <c r="G854" s="4" t="s">
        <v>998</v>
      </c>
    </row>
    <row r="855" customFormat="false" ht="15" hidden="false" customHeight="false" outlineLevel="0" collapsed="false">
      <c r="A855" s="2" t="n">
        <v>854</v>
      </c>
      <c r="B855" s="2" t="n">
        <v>59</v>
      </c>
      <c r="C855" s="3" t="str">
        <f aca="false">INDEX('부작 목록'!$C$2:$C$66,B855)</f>
        <v>묘지 작전</v>
      </c>
      <c r="D855" s="3" t="s">
        <v>94</v>
      </c>
      <c r="E855" s="2" t="n">
        <v>15122</v>
      </c>
      <c r="F855" s="2" t="n">
        <v>7</v>
      </c>
      <c r="G855" s="4" t="s">
        <v>999</v>
      </c>
    </row>
    <row r="856" customFormat="false" ht="15" hidden="false" customHeight="false" outlineLevel="0" collapsed="false">
      <c r="A856" s="2" t="n">
        <v>855</v>
      </c>
      <c r="B856" s="2" t="n">
        <v>59</v>
      </c>
      <c r="C856" s="3" t="str">
        <f aca="false">INDEX('부작 목록'!$C$2:$C$66,B856)</f>
        <v>묘지 작전</v>
      </c>
      <c r="D856" s="3" t="s">
        <v>94</v>
      </c>
      <c r="E856" s="2" t="n">
        <v>15131</v>
      </c>
      <c r="F856" s="2" t="n">
        <v>7</v>
      </c>
      <c r="G856" s="4" t="s">
        <v>1000</v>
      </c>
    </row>
    <row r="857" customFormat="false" ht="15" hidden="false" customHeight="false" outlineLevel="0" collapsed="false">
      <c r="A857" s="2" t="n">
        <v>856</v>
      </c>
      <c r="B857" s="2" t="n">
        <v>59</v>
      </c>
      <c r="C857" s="3" t="str">
        <f aca="false">INDEX('부작 목록'!$C$2:$C$66,B857)</f>
        <v>묘지 작전</v>
      </c>
      <c r="D857" s="3" t="s">
        <v>94</v>
      </c>
      <c r="E857" s="2" t="n">
        <v>15141</v>
      </c>
      <c r="F857" s="2" t="n">
        <v>8</v>
      </c>
      <c r="G857" s="4" t="s">
        <v>1001</v>
      </c>
    </row>
    <row r="858" customFormat="false" ht="15" hidden="false" customHeight="false" outlineLevel="0" collapsed="false">
      <c r="A858" s="2" t="n">
        <v>857</v>
      </c>
      <c r="B858" s="2" t="n">
        <v>59</v>
      </c>
      <c r="C858" s="3" t="str">
        <f aca="false">INDEX('부작 목록'!$C$2:$C$66,B858)</f>
        <v>묘지 작전</v>
      </c>
      <c r="D858" s="3" t="s">
        <v>94</v>
      </c>
      <c r="E858" s="2" t="n">
        <v>15151</v>
      </c>
      <c r="F858" s="2" t="n">
        <v>9</v>
      </c>
      <c r="G858" s="4" t="s">
        <v>1002</v>
      </c>
    </row>
    <row r="859" customFormat="false" ht="15" hidden="false" customHeight="false" outlineLevel="0" collapsed="false">
      <c r="A859" s="2" t="n">
        <v>858</v>
      </c>
      <c r="B859" s="2" t="n">
        <v>59</v>
      </c>
      <c r="C859" s="3" t="str">
        <f aca="false">INDEX('부작 목록'!$C$2:$C$66,B859)</f>
        <v>묘지 작전</v>
      </c>
      <c r="D859" s="3" t="s">
        <v>94</v>
      </c>
      <c r="E859" s="2" t="n">
        <v>15163</v>
      </c>
      <c r="F859" s="2" t="n">
        <v>8</v>
      </c>
      <c r="G859" s="4" t="s">
        <v>1003</v>
      </c>
    </row>
    <row r="860" customFormat="false" ht="15" hidden="false" customHeight="false" outlineLevel="0" collapsed="false">
      <c r="A860" s="2" t="n">
        <v>859</v>
      </c>
      <c r="B860" s="2" t="n">
        <v>59</v>
      </c>
      <c r="C860" s="3" t="str">
        <f aca="false">INDEX('부작 목록'!$C$2:$C$66,B860)</f>
        <v>묘지 작전</v>
      </c>
      <c r="D860" s="3" t="s">
        <v>94</v>
      </c>
      <c r="E860" s="2" t="n">
        <v>15173</v>
      </c>
      <c r="F860" s="2" t="n">
        <v>10</v>
      </c>
      <c r="G860" s="4" t="s">
        <v>1004</v>
      </c>
    </row>
    <row r="861" customFormat="false" ht="28.35" hidden="false" customHeight="false" outlineLevel="0" collapsed="false">
      <c r="A861" s="2" t="n">
        <v>860</v>
      </c>
      <c r="B861" s="2" t="n">
        <v>60</v>
      </c>
      <c r="C861" s="3" t="str">
        <f aca="false">INDEX('부작 목록'!$C$2:$C$66,B861)</f>
        <v>바위 작전</v>
      </c>
      <c r="D861" s="3" t="s">
        <v>94</v>
      </c>
      <c r="E861" s="2" t="n">
        <v>15186</v>
      </c>
      <c r="F861" s="2" t="n">
        <v>9</v>
      </c>
      <c r="G861" s="4" t="s">
        <v>1005</v>
      </c>
    </row>
    <row r="862" customFormat="false" ht="15" hidden="false" customHeight="false" outlineLevel="0" collapsed="false">
      <c r="A862" s="2" t="n">
        <v>861</v>
      </c>
      <c r="B862" s="2" t="n">
        <v>60</v>
      </c>
      <c r="C862" s="3" t="str">
        <f aca="false">INDEX('부작 목록'!$C$2:$C$66,B862)</f>
        <v>바위 작전</v>
      </c>
      <c r="D862" s="3" t="s">
        <v>94</v>
      </c>
      <c r="E862" s="2" t="n">
        <v>15197</v>
      </c>
      <c r="F862" s="2" t="n">
        <v>8</v>
      </c>
      <c r="G862" s="4" t="s">
        <v>1006</v>
      </c>
    </row>
    <row r="863" customFormat="false" ht="15" hidden="false" customHeight="false" outlineLevel="0" collapsed="false">
      <c r="A863" s="2" t="n">
        <v>862</v>
      </c>
      <c r="B863" s="2" t="n">
        <v>60</v>
      </c>
      <c r="C863" s="3" t="str">
        <f aca="false">INDEX('부작 목록'!$C$2:$C$66,B863)</f>
        <v>바위 작전</v>
      </c>
      <c r="D863" s="3" t="s">
        <v>94</v>
      </c>
      <c r="E863" s="2" t="n">
        <v>15208</v>
      </c>
      <c r="F863" s="2" t="n">
        <v>8</v>
      </c>
      <c r="G863" s="4" t="s">
        <v>1007</v>
      </c>
    </row>
    <row r="864" customFormat="false" ht="15" hidden="false" customHeight="false" outlineLevel="0" collapsed="false">
      <c r="A864" s="2" t="n">
        <v>863</v>
      </c>
      <c r="B864" s="2" t="n">
        <v>60</v>
      </c>
      <c r="C864" s="3" t="str">
        <f aca="false">INDEX('부작 목록'!$C$2:$C$66,B864)</f>
        <v>바위 작전</v>
      </c>
      <c r="D864" s="3" t="s">
        <v>94</v>
      </c>
      <c r="E864" s="2" t="n">
        <v>15218</v>
      </c>
      <c r="F864" s="2" t="n">
        <v>7</v>
      </c>
      <c r="G864" s="4" t="s">
        <v>1008</v>
      </c>
    </row>
    <row r="865" customFormat="false" ht="15" hidden="false" customHeight="false" outlineLevel="0" collapsed="false">
      <c r="A865" s="2" t="n">
        <v>864</v>
      </c>
      <c r="B865" s="2" t="n">
        <v>60</v>
      </c>
      <c r="C865" s="3" t="str">
        <f aca="false">INDEX('부작 목록'!$C$2:$C$66,B865)</f>
        <v>바위 작전</v>
      </c>
      <c r="D865" s="3" t="s">
        <v>94</v>
      </c>
      <c r="E865" s="2" t="n">
        <v>15228</v>
      </c>
      <c r="F865" s="2" t="n">
        <v>9</v>
      </c>
      <c r="G865" s="4" t="s">
        <v>1009</v>
      </c>
    </row>
    <row r="866" customFormat="false" ht="15" hidden="false" customHeight="false" outlineLevel="0" collapsed="false">
      <c r="A866" s="2" t="n">
        <v>865</v>
      </c>
      <c r="B866" s="2" t="n">
        <v>60</v>
      </c>
      <c r="C866" s="3" t="str">
        <f aca="false">INDEX('부작 목록'!$C$2:$C$66,B866)</f>
        <v>바위 작전</v>
      </c>
      <c r="D866" s="3" t="s">
        <v>94</v>
      </c>
      <c r="E866" s="2" t="n">
        <v>15239</v>
      </c>
      <c r="F866" s="2" t="n">
        <v>9</v>
      </c>
      <c r="G866" s="4" t="s">
        <v>1010</v>
      </c>
    </row>
    <row r="867" customFormat="false" ht="15" hidden="false" customHeight="false" outlineLevel="0" collapsed="false">
      <c r="A867" s="2" t="n">
        <v>866</v>
      </c>
      <c r="B867" s="2" t="n">
        <v>60</v>
      </c>
      <c r="C867" s="3" t="str">
        <f aca="false">INDEX('부작 목록'!$C$2:$C$66,B867)</f>
        <v>바위 작전</v>
      </c>
      <c r="D867" s="3" t="s">
        <v>94</v>
      </c>
      <c r="E867" s="2" t="n">
        <v>15251</v>
      </c>
      <c r="F867" s="2" t="n">
        <v>8</v>
      </c>
      <c r="G867" s="4" t="s">
        <v>1011</v>
      </c>
    </row>
    <row r="868" customFormat="false" ht="15" hidden="false" customHeight="false" outlineLevel="0" collapsed="false">
      <c r="A868" s="2" t="n">
        <v>867</v>
      </c>
      <c r="B868" s="2" t="n">
        <v>60</v>
      </c>
      <c r="C868" s="3" t="str">
        <f aca="false">INDEX('부작 목록'!$C$2:$C$66,B868)</f>
        <v>바위 작전</v>
      </c>
      <c r="D868" s="3" t="s">
        <v>94</v>
      </c>
      <c r="E868" s="2" t="n">
        <v>15261</v>
      </c>
      <c r="F868" s="2" t="n">
        <v>8</v>
      </c>
      <c r="G868" s="4" t="s">
        <v>1012</v>
      </c>
    </row>
    <row r="869" customFormat="false" ht="15" hidden="false" customHeight="false" outlineLevel="0" collapsed="false">
      <c r="A869" s="2" t="n">
        <v>868</v>
      </c>
      <c r="B869" s="2" t="n">
        <v>60</v>
      </c>
      <c r="C869" s="3" t="str">
        <f aca="false">INDEX('부작 목록'!$C$2:$C$66,B869)</f>
        <v>바위 작전</v>
      </c>
      <c r="D869" s="3" t="s">
        <v>94</v>
      </c>
      <c r="E869" s="2" t="n">
        <v>15272</v>
      </c>
      <c r="F869" s="2" t="n">
        <v>9</v>
      </c>
      <c r="G869" s="4" t="s">
        <v>1013</v>
      </c>
    </row>
    <row r="870" customFormat="false" ht="15" hidden="false" customHeight="false" outlineLevel="0" collapsed="false">
      <c r="A870" s="2" t="n">
        <v>869</v>
      </c>
      <c r="B870" s="2" t="n">
        <v>60</v>
      </c>
      <c r="C870" s="3" t="str">
        <f aca="false">INDEX('부작 목록'!$C$2:$C$66,B870)</f>
        <v>바위 작전</v>
      </c>
      <c r="D870" s="3" t="s">
        <v>94</v>
      </c>
      <c r="E870" s="2" t="n">
        <v>15283</v>
      </c>
      <c r="F870" s="2" t="n">
        <v>8</v>
      </c>
      <c r="G870" s="4" t="s">
        <v>1014</v>
      </c>
    </row>
    <row r="871" customFormat="false" ht="15" hidden="false" customHeight="false" outlineLevel="0" collapsed="false">
      <c r="A871" s="2" t="n">
        <v>870</v>
      </c>
      <c r="B871" s="2" t="n">
        <v>60</v>
      </c>
      <c r="C871" s="3" t="str">
        <f aca="false">INDEX('부작 목록'!$C$2:$C$66,B871)</f>
        <v>바위 작전</v>
      </c>
      <c r="D871" s="3" t="s">
        <v>94</v>
      </c>
      <c r="E871" s="2" t="n">
        <v>15294</v>
      </c>
      <c r="F871" s="2" t="n">
        <v>8</v>
      </c>
      <c r="G871" s="4" t="s">
        <v>1015</v>
      </c>
    </row>
    <row r="872" customFormat="false" ht="15" hidden="false" customHeight="false" outlineLevel="0" collapsed="false">
      <c r="A872" s="2" t="n">
        <v>871</v>
      </c>
      <c r="B872" s="2" t="n">
        <v>60</v>
      </c>
      <c r="C872" s="3" t="str">
        <f aca="false">INDEX('부작 목록'!$C$2:$C$66,B872)</f>
        <v>바위 작전</v>
      </c>
      <c r="D872" s="3" t="s">
        <v>94</v>
      </c>
      <c r="E872" s="2" t="n">
        <v>15304</v>
      </c>
      <c r="F872" s="2" t="n">
        <v>8</v>
      </c>
      <c r="G872" s="4" t="s">
        <v>1016</v>
      </c>
    </row>
    <row r="873" customFormat="false" ht="15" hidden="false" customHeight="false" outlineLevel="0" collapsed="false">
      <c r="A873" s="2" t="n">
        <v>872</v>
      </c>
      <c r="B873" s="2" t="n">
        <v>60</v>
      </c>
      <c r="C873" s="3" t="str">
        <f aca="false">INDEX('부작 목록'!$C$2:$C$66,B873)</f>
        <v>바위 작전</v>
      </c>
      <c r="D873" s="3" t="s">
        <v>94</v>
      </c>
      <c r="E873" s="2" t="n">
        <v>15315</v>
      </c>
      <c r="F873" s="2" t="n">
        <v>8</v>
      </c>
      <c r="G873" s="4" t="s">
        <v>1017</v>
      </c>
    </row>
    <row r="874" customFormat="false" ht="15" hidden="false" customHeight="false" outlineLevel="0" collapsed="false">
      <c r="A874" s="2" t="n">
        <v>873</v>
      </c>
      <c r="B874" s="2" t="n">
        <v>60</v>
      </c>
      <c r="C874" s="3" t="str">
        <f aca="false">INDEX('부작 목록'!$C$2:$C$66,B874)</f>
        <v>바위 작전</v>
      </c>
      <c r="D874" s="3" t="s">
        <v>94</v>
      </c>
      <c r="E874" s="2" t="n">
        <v>15325</v>
      </c>
      <c r="F874" s="2" t="n">
        <v>8</v>
      </c>
      <c r="G874" s="4" t="s">
        <v>1018</v>
      </c>
    </row>
    <row r="875" customFormat="false" ht="15" hidden="false" customHeight="false" outlineLevel="0" collapsed="false">
      <c r="A875" s="2" t="n">
        <v>874</v>
      </c>
      <c r="B875" s="2" t="n">
        <v>60</v>
      </c>
      <c r="C875" s="3" t="str">
        <f aca="false">INDEX('부작 목록'!$C$2:$C$66,B875)</f>
        <v>바위 작전</v>
      </c>
      <c r="D875" s="3" t="s">
        <v>94</v>
      </c>
      <c r="E875" s="2" t="n">
        <v>15336</v>
      </c>
      <c r="F875" s="2" t="n">
        <v>8</v>
      </c>
      <c r="G875" s="4" t="s">
        <v>1019</v>
      </c>
    </row>
    <row r="876" customFormat="false" ht="15" hidden="false" customHeight="false" outlineLevel="0" collapsed="false">
      <c r="A876" s="2" t="n">
        <v>875</v>
      </c>
      <c r="B876" s="2" t="n">
        <v>60</v>
      </c>
      <c r="C876" s="3" t="str">
        <f aca="false">INDEX('부작 목록'!$C$2:$C$66,B876)</f>
        <v>바위 작전</v>
      </c>
      <c r="D876" s="3" t="s">
        <v>94</v>
      </c>
      <c r="E876" s="2" t="n">
        <v>15346</v>
      </c>
      <c r="F876" s="2" t="n">
        <v>6</v>
      </c>
      <c r="G876" s="4" t="s">
        <v>1020</v>
      </c>
    </row>
    <row r="877" customFormat="false" ht="15" hidden="false" customHeight="false" outlineLevel="0" collapsed="false">
      <c r="A877" s="2" t="n">
        <v>876</v>
      </c>
      <c r="B877" s="2" t="n">
        <v>60</v>
      </c>
      <c r="C877" s="3" t="str">
        <f aca="false">INDEX('부작 목록'!$C$2:$C$66,B877)</f>
        <v>바위 작전</v>
      </c>
      <c r="D877" s="3" t="s">
        <v>94</v>
      </c>
      <c r="E877" s="2" t="n">
        <v>15355</v>
      </c>
      <c r="F877" s="2" t="n">
        <v>7</v>
      </c>
      <c r="G877" s="4" t="s">
        <v>1021</v>
      </c>
    </row>
    <row r="878" customFormat="false" ht="15" hidden="false" customHeight="false" outlineLevel="0" collapsed="false">
      <c r="A878" s="2" t="n">
        <v>877</v>
      </c>
      <c r="B878" s="2" t="n">
        <v>60</v>
      </c>
      <c r="C878" s="3" t="str">
        <f aca="false">INDEX('부작 목록'!$C$2:$C$66,B878)</f>
        <v>바위 작전</v>
      </c>
      <c r="D878" s="3" t="s">
        <v>94</v>
      </c>
      <c r="E878" s="2" t="n">
        <v>15364</v>
      </c>
      <c r="F878" s="2" t="n">
        <v>8</v>
      </c>
      <c r="G878" s="4" t="s">
        <v>1022</v>
      </c>
    </row>
    <row r="879" customFormat="false" ht="15" hidden="false" customHeight="false" outlineLevel="0" collapsed="false">
      <c r="A879" s="2" t="n">
        <v>878</v>
      </c>
      <c r="B879" s="2" t="n">
        <v>60</v>
      </c>
      <c r="C879" s="3" t="str">
        <f aca="false">INDEX('부작 목록'!$C$2:$C$66,B879)</f>
        <v>바위 작전</v>
      </c>
      <c r="D879" s="3" t="s">
        <v>94</v>
      </c>
      <c r="E879" s="2" t="n">
        <v>15375</v>
      </c>
      <c r="F879" s="2" t="n">
        <v>8</v>
      </c>
      <c r="G879" s="4" t="s">
        <v>1023</v>
      </c>
    </row>
    <row r="880" customFormat="false" ht="15" hidden="false" customHeight="false" outlineLevel="0" collapsed="false">
      <c r="A880" s="2" t="n">
        <v>879</v>
      </c>
      <c r="B880" s="2" t="n">
        <v>60</v>
      </c>
      <c r="C880" s="3" t="str">
        <f aca="false">INDEX('부작 목록'!$C$2:$C$66,B880)</f>
        <v>바위 작전</v>
      </c>
      <c r="D880" s="3" t="s">
        <v>94</v>
      </c>
      <c r="E880" s="2" t="n">
        <v>15385</v>
      </c>
      <c r="F880" s="2" t="n">
        <v>9</v>
      </c>
      <c r="G880" s="4" t="s">
        <v>1024</v>
      </c>
    </row>
    <row r="881" customFormat="false" ht="15" hidden="false" customHeight="false" outlineLevel="0" collapsed="false">
      <c r="A881" s="2" t="n">
        <v>880</v>
      </c>
      <c r="B881" s="2" t="n">
        <v>60</v>
      </c>
      <c r="C881" s="3" t="str">
        <f aca="false">INDEX('부작 목록'!$C$2:$C$66,B881)</f>
        <v>바위 작전</v>
      </c>
      <c r="D881" s="3" t="s">
        <v>94</v>
      </c>
      <c r="E881" s="2" t="n">
        <v>15397</v>
      </c>
      <c r="F881" s="2" t="n">
        <v>7</v>
      </c>
      <c r="G881" s="4" t="s">
        <v>1025</v>
      </c>
    </row>
    <row r="882" customFormat="false" ht="15" hidden="false" customHeight="false" outlineLevel="0" collapsed="false">
      <c r="A882" s="2" t="n">
        <v>881</v>
      </c>
      <c r="B882" s="2" t="n">
        <v>60</v>
      </c>
      <c r="C882" s="3" t="str">
        <f aca="false">INDEX('부작 목록'!$C$2:$C$66,B882)</f>
        <v>바위 작전</v>
      </c>
      <c r="D882" s="3" t="s">
        <v>94</v>
      </c>
      <c r="E882" s="2" t="n">
        <v>15406</v>
      </c>
      <c r="F882" s="2" t="n">
        <v>9</v>
      </c>
      <c r="G882" s="4" t="s">
        <v>1026</v>
      </c>
    </row>
    <row r="883" customFormat="false" ht="15" hidden="false" customHeight="false" outlineLevel="0" collapsed="false">
      <c r="A883" s="2" t="n">
        <v>882</v>
      </c>
      <c r="B883" s="2" t="n">
        <v>60</v>
      </c>
      <c r="C883" s="3" t="str">
        <f aca="false">INDEX('부작 목록'!$C$2:$C$66,B883)</f>
        <v>바위 작전</v>
      </c>
      <c r="D883" s="3" t="s">
        <v>94</v>
      </c>
      <c r="E883" s="2" t="n">
        <v>15418</v>
      </c>
      <c r="F883" s="2" t="n">
        <v>8</v>
      </c>
      <c r="G883" s="4" t="s">
        <v>1027</v>
      </c>
    </row>
    <row r="884" customFormat="false" ht="15" hidden="false" customHeight="false" outlineLevel="0" collapsed="false">
      <c r="A884" s="2" t="n">
        <v>883</v>
      </c>
      <c r="B884" s="2" t="n">
        <v>60</v>
      </c>
      <c r="C884" s="3" t="str">
        <f aca="false">INDEX('부작 목록'!$C$2:$C$66,B884)</f>
        <v>바위 작전</v>
      </c>
      <c r="D884" s="3" t="s">
        <v>94</v>
      </c>
      <c r="E884" s="2" t="n">
        <v>15428</v>
      </c>
      <c r="F884" s="2" t="n">
        <v>6</v>
      </c>
      <c r="G884" s="4" t="s">
        <v>1028</v>
      </c>
    </row>
    <row r="885" customFormat="false" ht="15" hidden="false" customHeight="false" outlineLevel="0" collapsed="false">
      <c r="A885" s="2" t="n">
        <v>884</v>
      </c>
      <c r="B885" s="2" t="n">
        <v>60</v>
      </c>
      <c r="C885" s="3" t="str">
        <f aca="false">INDEX('부작 목록'!$C$2:$C$66,B885)</f>
        <v>바위 작전</v>
      </c>
      <c r="D885" s="3" t="s">
        <v>94</v>
      </c>
      <c r="E885" s="2" t="n">
        <v>15437</v>
      </c>
      <c r="F885" s="2" t="n">
        <v>8</v>
      </c>
      <c r="G885" s="4" t="s">
        <v>944</v>
      </c>
    </row>
    <row r="886" customFormat="false" ht="28.35" hidden="false" customHeight="false" outlineLevel="0" collapsed="false">
      <c r="A886" s="2" t="n">
        <v>885</v>
      </c>
      <c r="B886" s="2" t="n">
        <v>61</v>
      </c>
      <c r="C886" s="3" t="str">
        <f aca="false">INDEX('부작 목록'!$C$2:$C$66,B886)</f>
        <v>북극성 작전</v>
      </c>
      <c r="D886" s="3" t="s">
        <v>94</v>
      </c>
      <c r="E886" s="2" t="n">
        <v>15447</v>
      </c>
      <c r="F886" s="2" t="n">
        <v>9</v>
      </c>
      <c r="G886" s="4" t="s">
        <v>1029</v>
      </c>
    </row>
    <row r="887" customFormat="false" ht="15" hidden="false" customHeight="false" outlineLevel="0" collapsed="false">
      <c r="A887" s="2" t="n">
        <v>886</v>
      </c>
      <c r="B887" s="2" t="n">
        <v>61</v>
      </c>
      <c r="C887" s="3" t="str">
        <f aca="false">INDEX('부작 목록'!$C$2:$C$66,B887)</f>
        <v>북극성 작전</v>
      </c>
      <c r="D887" s="3" t="s">
        <v>94</v>
      </c>
      <c r="E887" s="2" t="n">
        <v>15459</v>
      </c>
      <c r="F887" s="2" t="n">
        <v>7</v>
      </c>
      <c r="G887" s="4" t="s">
        <v>1030</v>
      </c>
    </row>
    <row r="888" customFormat="false" ht="15" hidden="false" customHeight="false" outlineLevel="0" collapsed="false">
      <c r="A888" s="2" t="n">
        <v>887</v>
      </c>
      <c r="B888" s="2" t="n">
        <v>61</v>
      </c>
      <c r="C888" s="3" t="str">
        <f aca="false">INDEX('부작 목록'!$C$2:$C$66,B888)</f>
        <v>북극성 작전</v>
      </c>
      <c r="D888" s="3" t="s">
        <v>94</v>
      </c>
      <c r="E888" s="2" t="n">
        <v>15468</v>
      </c>
      <c r="F888" s="2" t="n">
        <v>8</v>
      </c>
      <c r="G888" s="4" t="s">
        <v>1031</v>
      </c>
    </row>
    <row r="889" customFormat="false" ht="15" hidden="false" customHeight="false" outlineLevel="0" collapsed="false">
      <c r="A889" s="2" t="n">
        <v>888</v>
      </c>
      <c r="B889" s="2" t="n">
        <v>61</v>
      </c>
      <c r="C889" s="3" t="str">
        <f aca="false">INDEX('부작 목록'!$C$2:$C$66,B889)</f>
        <v>북극성 작전</v>
      </c>
      <c r="D889" s="3" t="s">
        <v>94</v>
      </c>
      <c r="E889" s="2" t="n">
        <v>15479</v>
      </c>
      <c r="F889" s="2" t="n">
        <v>7</v>
      </c>
      <c r="G889" s="4" t="s">
        <v>1032</v>
      </c>
    </row>
    <row r="890" customFormat="false" ht="15" hidden="false" customHeight="false" outlineLevel="0" collapsed="false">
      <c r="A890" s="2" t="n">
        <v>889</v>
      </c>
      <c r="B890" s="2" t="n">
        <v>61</v>
      </c>
      <c r="C890" s="3" t="str">
        <f aca="false">INDEX('부작 목록'!$C$2:$C$66,B890)</f>
        <v>북극성 작전</v>
      </c>
      <c r="D890" s="3" t="s">
        <v>94</v>
      </c>
      <c r="E890" s="2" t="n">
        <v>15488</v>
      </c>
      <c r="F890" s="2" t="n">
        <v>7</v>
      </c>
      <c r="G890" s="4" t="s">
        <v>1033</v>
      </c>
    </row>
    <row r="891" customFormat="false" ht="15" hidden="false" customHeight="false" outlineLevel="0" collapsed="false">
      <c r="A891" s="2" t="n">
        <v>890</v>
      </c>
      <c r="B891" s="2" t="n">
        <v>61</v>
      </c>
      <c r="C891" s="3" t="str">
        <f aca="false">INDEX('부작 목록'!$C$2:$C$66,B891)</f>
        <v>북극성 작전</v>
      </c>
      <c r="D891" s="3" t="s">
        <v>94</v>
      </c>
      <c r="E891" s="2" t="n">
        <v>15498</v>
      </c>
      <c r="F891" s="2" t="n">
        <v>8</v>
      </c>
      <c r="G891" s="4" t="s">
        <v>1034</v>
      </c>
    </row>
    <row r="892" customFormat="false" ht="15" hidden="false" customHeight="false" outlineLevel="0" collapsed="false">
      <c r="A892" s="2" t="n">
        <v>891</v>
      </c>
      <c r="B892" s="2" t="n">
        <v>61</v>
      </c>
      <c r="C892" s="3" t="str">
        <f aca="false">INDEX('부작 목록'!$C$2:$C$66,B892)</f>
        <v>북극성 작전</v>
      </c>
      <c r="D892" s="3" t="s">
        <v>94</v>
      </c>
      <c r="E892" s="2" t="n">
        <v>15508</v>
      </c>
      <c r="F892" s="2" t="n">
        <v>9</v>
      </c>
      <c r="G892" s="4" t="s">
        <v>1035</v>
      </c>
    </row>
    <row r="893" customFormat="false" ht="15" hidden="false" customHeight="false" outlineLevel="0" collapsed="false">
      <c r="A893" s="2" t="n">
        <v>892</v>
      </c>
      <c r="B893" s="2" t="n">
        <v>61</v>
      </c>
      <c r="C893" s="3" t="str">
        <f aca="false">INDEX('부작 목록'!$C$2:$C$66,B893)</f>
        <v>북극성 작전</v>
      </c>
      <c r="D893" s="3" t="s">
        <v>94</v>
      </c>
      <c r="E893" s="2" t="n">
        <v>15520</v>
      </c>
      <c r="F893" s="2" t="n">
        <v>8</v>
      </c>
      <c r="G893" s="4" t="s">
        <v>1036</v>
      </c>
    </row>
    <row r="894" customFormat="false" ht="15" hidden="false" customHeight="false" outlineLevel="0" collapsed="false">
      <c r="A894" s="2" t="n">
        <v>893</v>
      </c>
      <c r="B894" s="2" t="n">
        <v>61</v>
      </c>
      <c r="C894" s="3" t="str">
        <f aca="false">INDEX('부작 목록'!$C$2:$C$66,B894)</f>
        <v>북극성 작전</v>
      </c>
      <c r="D894" s="3" t="s">
        <v>94</v>
      </c>
      <c r="E894" s="2" t="n">
        <v>15530</v>
      </c>
      <c r="F894" s="2" t="n">
        <v>6</v>
      </c>
      <c r="G894" s="4" t="s">
        <v>1037</v>
      </c>
    </row>
    <row r="895" customFormat="false" ht="15" hidden="false" customHeight="false" outlineLevel="0" collapsed="false">
      <c r="A895" s="2" t="n">
        <v>894</v>
      </c>
      <c r="B895" s="2" t="n">
        <v>61</v>
      </c>
      <c r="C895" s="3" t="str">
        <f aca="false">INDEX('부작 목록'!$C$2:$C$66,B895)</f>
        <v>북극성 작전</v>
      </c>
      <c r="D895" s="3" t="s">
        <v>94</v>
      </c>
      <c r="E895" s="2" t="n">
        <v>15539</v>
      </c>
      <c r="F895" s="2" t="n">
        <v>7</v>
      </c>
      <c r="G895" s="4" t="s">
        <v>1038</v>
      </c>
    </row>
    <row r="896" customFormat="false" ht="15" hidden="false" customHeight="false" outlineLevel="0" collapsed="false">
      <c r="A896" s="2" t="n">
        <v>895</v>
      </c>
      <c r="B896" s="2" t="n">
        <v>61</v>
      </c>
      <c r="C896" s="3" t="str">
        <f aca="false">INDEX('부작 목록'!$C$2:$C$66,B896)</f>
        <v>북극성 작전</v>
      </c>
      <c r="D896" s="3" t="s">
        <v>94</v>
      </c>
      <c r="E896" s="2" t="n">
        <v>15548</v>
      </c>
      <c r="F896" s="2" t="n">
        <v>8</v>
      </c>
      <c r="G896" s="4" t="s">
        <v>1039</v>
      </c>
    </row>
    <row r="897" customFormat="false" ht="15" hidden="false" customHeight="false" outlineLevel="0" collapsed="false">
      <c r="A897" s="2" t="n">
        <v>896</v>
      </c>
      <c r="B897" s="2" t="n">
        <v>61</v>
      </c>
      <c r="C897" s="3" t="str">
        <f aca="false">INDEX('부작 목록'!$C$2:$C$66,B897)</f>
        <v>북극성 작전</v>
      </c>
      <c r="D897" s="3" t="s">
        <v>94</v>
      </c>
      <c r="E897" s="2" t="n">
        <v>15558</v>
      </c>
      <c r="F897" s="2" t="n">
        <v>7</v>
      </c>
      <c r="G897" s="4" t="s">
        <v>1040</v>
      </c>
    </row>
    <row r="898" customFormat="false" ht="15" hidden="false" customHeight="false" outlineLevel="0" collapsed="false">
      <c r="A898" s="2" t="n">
        <v>897</v>
      </c>
      <c r="B898" s="2" t="n">
        <v>61</v>
      </c>
      <c r="C898" s="3" t="str">
        <f aca="false">INDEX('부작 목록'!$C$2:$C$66,B898)</f>
        <v>북극성 작전</v>
      </c>
      <c r="D898" s="3" t="s">
        <v>94</v>
      </c>
      <c r="E898" s="2" t="n">
        <v>15567</v>
      </c>
      <c r="F898" s="2" t="n">
        <v>8</v>
      </c>
      <c r="G898" s="4" t="s">
        <v>1041</v>
      </c>
    </row>
    <row r="899" customFormat="false" ht="15" hidden="false" customHeight="false" outlineLevel="0" collapsed="false">
      <c r="A899" s="2" t="n">
        <v>898</v>
      </c>
      <c r="B899" s="2" t="n">
        <v>61</v>
      </c>
      <c r="C899" s="3" t="str">
        <f aca="false">INDEX('부작 목록'!$C$2:$C$66,B899)</f>
        <v>북극성 작전</v>
      </c>
      <c r="D899" s="3" t="s">
        <v>94</v>
      </c>
      <c r="E899" s="2" t="n">
        <v>15577</v>
      </c>
      <c r="F899" s="2" t="n">
        <v>8</v>
      </c>
      <c r="G899" s="4" t="s">
        <v>1042</v>
      </c>
    </row>
    <row r="900" customFormat="false" ht="15" hidden="false" customHeight="false" outlineLevel="0" collapsed="false">
      <c r="A900" s="2" t="n">
        <v>899</v>
      </c>
      <c r="B900" s="2" t="n">
        <v>61</v>
      </c>
      <c r="C900" s="3" t="str">
        <f aca="false">INDEX('부작 목록'!$C$2:$C$66,B900)</f>
        <v>북극성 작전</v>
      </c>
      <c r="D900" s="3" t="s">
        <v>94</v>
      </c>
      <c r="E900" s="2" t="n">
        <v>15588</v>
      </c>
      <c r="F900" s="2" t="n">
        <v>7</v>
      </c>
      <c r="G900" s="4" t="s">
        <v>1043</v>
      </c>
    </row>
    <row r="901" customFormat="false" ht="15" hidden="false" customHeight="false" outlineLevel="0" collapsed="false">
      <c r="A901" s="2" t="n">
        <v>900</v>
      </c>
      <c r="B901" s="2" t="n">
        <v>61</v>
      </c>
      <c r="C901" s="3" t="str">
        <f aca="false">INDEX('부작 목록'!$C$2:$C$66,B901)</f>
        <v>북극성 작전</v>
      </c>
      <c r="D901" s="3" t="s">
        <v>94</v>
      </c>
      <c r="E901" s="2" t="n">
        <v>15597</v>
      </c>
      <c r="F901" s="2" t="n">
        <v>7</v>
      </c>
      <c r="G901" s="4" t="s">
        <v>1044</v>
      </c>
    </row>
    <row r="902" customFormat="false" ht="15" hidden="false" customHeight="false" outlineLevel="0" collapsed="false">
      <c r="A902" s="2" t="n">
        <v>901</v>
      </c>
      <c r="B902" s="2" t="n">
        <v>61</v>
      </c>
      <c r="C902" s="3" t="str">
        <f aca="false">INDEX('부작 목록'!$C$2:$C$66,B902)</f>
        <v>북극성 작전</v>
      </c>
      <c r="D902" s="3" t="s">
        <v>94</v>
      </c>
      <c r="E902" s="2" t="n">
        <v>15607</v>
      </c>
      <c r="F902" s="2" t="n">
        <v>7</v>
      </c>
      <c r="G902" s="4" t="s">
        <v>1045</v>
      </c>
    </row>
    <row r="903" customFormat="false" ht="15" hidden="false" customHeight="false" outlineLevel="0" collapsed="false">
      <c r="A903" s="2" t="n">
        <v>902</v>
      </c>
      <c r="B903" s="2" t="n">
        <v>61</v>
      </c>
      <c r="C903" s="3" t="str">
        <f aca="false">INDEX('부작 목록'!$C$2:$C$66,B903)</f>
        <v>북극성 작전</v>
      </c>
      <c r="D903" s="3" t="s">
        <v>94</v>
      </c>
      <c r="E903" s="2" t="n">
        <v>15616</v>
      </c>
      <c r="F903" s="2" t="n">
        <v>8</v>
      </c>
      <c r="G903" s="4" t="s">
        <v>1046</v>
      </c>
    </row>
    <row r="904" customFormat="false" ht="15" hidden="false" customHeight="false" outlineLevel="0" collapsed="false">
      <c r="A904" s="2" t="n">
        <v>903</v>
      </c>
      <c r="B904" s="2" t="n">
        <v>61</v>
      </c>
      <c r="C904" s="3" t="str">
        <f aca="false">INDEX('부작 목록'!$C$2:$C$66,B904)</f>
        <v>북극성 작전</v>
      </c>
      <c r="D904" s="3" t="s">
        <v>94</v>
      </c>
      <c r="E904" s="2" t="n">
        <v>15627</v>
      </c>
      <c r="F904" s="2" t="n">
        <v>8</v>
      </c>
      <c r="G904" s="4" t="s">
        <v>1047</v>
      </c>
    </row>
    <row r="905" customFormat="false" ht="15" hidden="false" customHeight="false" outlineLevel="0" collapsed="false">
      <c r="A905" s="2" t="n">
        <v>904</v>
      </c>
      <c r="B905" s="2" t="n">
        <v>61</v>
      </c>
      <c r="C905" s="3" t="str">
        <f aca="false">INDEX('부작 목록'!$C$2:$C$66,B905)</f>
        <v>북극성 작전</v>
      </c>
      <c r="D905" s="3" t="s">
        <v>94</v>
      </c>
      <c r="E905" s="2" t="n">
        <v>15637</v>
      </c>
      <c r="F905" s="2" t="n">
        <v>8</v>
      </c>
      <c r="G905" s="4" t="s">
        <v>1048</v>
      </c>
    </row>
    <row r="906" customFormat="false" ht="15" hidden="false" customHeight="false" outlineLevel="0" collapsed="false">
      <c r="A906" s="2" t="n">
        <v>905</v>
      </c>
      <c r="B906" s="2" t="n">
        <v>61</v>
      </c>
      <c r="C906" s="3" t="str">
        <f aca="false">INDEX('부작 목록'!$C$2:$C$66,B906)</f>
        <v>북극성 작전</v>
      </c>
      <c r="D906" s="3" t="s">
        <v>94</v>
      </c>
      <c r="E906" s="2" t="n">
        <v>15648</v>
      </c>
      <c r="F906" s="2" t="n">
        <v>8</v>
      </c>
      <c r="G906" s="4" t="s">
        <v>1049</v>
      </c>
    </row>
    <row r="907" customFormat="false" ht="15" hidden="false" customHeight="false" outlineLevel="0" collapsed="false">
      <c r="A907" s="2" t="n">
        <v>906</v>
      </c>
      <c r="B907" s="2" t="n">
        <v>61</v>
      </c>
      <c r="C907" s="3" t="str">
        <f aca="false">INDEX('부작 목록'!$C$2:$C$66,B907)</f>
        <v>북극성 작전</v>
      </c>
      <c r="D907" s="3" t="s">
        <v>94</v>
      </c>
      <c r="E907" s="2" t="n">
        <v>15658</v>
      </c>
      <c r="F907" s="2" t="n">
        <v>9</v>
      </c>
      <c r="G907" s="4" t="s">
        <v>1050</v>
      </c>
    </row>
    <row r="908" customFormat="false" ht="15" hidden="false" customHeight="false" outlineLevel="0" collapsed="false">
      <c r="A908" s="2" t="n">
        <v>907</v>
      </c>
      <c r="B908" s="2" t="n">
        <v>61</v>
      </c>
      <c r="C908" s="3" t="str">
        <f aca="false">INDEX('부작 목록'!$C$2:$C$66,B908)</f>
        <v>북극성 작전</v>
      </c>
      <c r="D908" s="3" t="s">
        <v>94</v>
      </c>
      <c r="E908" s="2" t="n">
        <v>15670</v>
      </c>
      <c r="F908" s="2" t="n">
        <v>9</v>
      </c>
      <c r="G908" s="4" t="s">
        <v>1051</v>
      </c>
    </row>
    <row r="909" customFormat="false" ht="28.35" hidden="false" customHeight="false" outlineLevel="0" collapsed="false">
      <c r="A909" s="2" t="n">
        <v>908</v>
      </c>
      <c r="B909" s="2" t="n">
        <v>62</v>
      </c>
      <c r="C909" s="3" t="str">
        <f aca="false">INDEX('부작 목록'!$C$2:$C$66,B909)</f>
        <v>성채 작전: 로셀요 검거</v>
      </c>
      <c r="D909" s="3" t="s">
        <v>94</v>
      </c>
      <c r="E909" s="2" t="n">
        <v>15681</v>
      </c>
      <c r="F909" s="2" t="n">
        <v>9</v>
      </c>
      <c r="G909" s="4" t="s">
        <v>1052</v>
      </c>
    </row>
    <row r="910" customFormat="false" ht="15" hidden="false" customHeight="false" outlineLevel="0" collapsed="false">
      <c r="A910" s="2" t="n">
        <v>909</v>
      </c>
      <c r="B910" s="2" t="n">
        <v>62</v>
      </c>
      <c r="C910" s="3" t="str">
        <f aca="false">INDEX('부작 목록'!$C$2:$C$66,B910)</f>
        <v>성채 작전: 로셀요 검거</v>
      </c>
      <c r="D910" s="3" t="s">
        <v>94</v>
      </c>
      <c r="E910" s="2" t="n">
        <v>15693</v>
      </c>
      <c r="F910" s="2" t="n">
        <v>9</v>
      </c>
      <c r="G910" s="4" t="s">
        <v>1053</v>
      </c>
    </row>
    <row r="911" customFormat="false" ht="15" hidden="false" customHeight="false" outlineLevel="0" collapsed="false">
      <c r="A911" s="2" t="n">
        <v>910</v>
      </c>
      <c r="B911" s="2" t="n">
        <v>62</v>
      </c>
      <c r="C911" s="3" t="str">
        <f aca="false">INDEX('부작 목록'!$C$2:$C$66,B911)</f>
        <v>성채 작전: 로셀요 검거</v>
      </c>
      <c r="D911" s="3" t="s">
        <v>94</v>
      </c>
      <c r="E911" s="2" t="n">
        <v>15704</v>
      </c>
      <c r="F911" s="2" t="n">
        <v>8</v>
      </c>
      <c r="G911" s="4" t="s">
        <v>1054</v>
      </c>
    </row>
    <row r="912" customFormat="false" ht="15" hidden="false" customHeight="false" outlineLevel="0" collapsed="false">
      <c r="A912" s="2" t="n">
        <v>911</v>
      </c>
      <c r="B912" s="2" t="n">
        <v>62</v>
      </c>
      <c r="C912" s="3" t="str">
        <f aca="false">INDEX('부작 목록'!$C$2:$C$66,B912)</f>
        <v>성채 작전: 로셀요 검거</v>
      </c>
      <c r="D912" s="3" t="s">
        <v>94</v>
      </c>
      <c r="E912" s="2" t="n">
        <v>15715</v>
      </c>
      <c r="F912" s="2" t="n">
        <v>7</v>
      </c>
      <c r="G912" s="4" t="s">
        <v>1055</v>
      </c>
    </row>
    <row r="913" customFormat="false" ht="15" hidden="false" customHeight="false" outlineLevel="0" collapsed="false">
      <c r="A913" s="2" t="n">
        <v>912</v>
      </c>
      <c r="B913" s="2" t="n">
        <v>62</v>
      </c>
      <c r="C913" s="3" t="str">
        <f aca="false">INDEX('부작 목록'!$C$2:$C$66,B913)</f>
        <v>성채 작전: 로셀요 검거</v>
      </c>
      <c r="D913" s="3" t="s">
        <v>94</v>
      </c>
      <c r="E913" s="2" t="n">
        <v>15724</v>
      </c>
      <c r="F913" s="2" t="n">
        <v>8</v>
      </c>
      <c r="G913" s="4" t="s">
        <v>1056</v>
      </c>
    </row>
    <row r="914" customFormat="false" ht="15" hidden="false" customHeight="false" outlineLevel="0" collapsed="false">
      <c r="A914" s="2" t="n">
        <v>913</v>
      </c>
      <c r="B914" s="2" t="n">
        <v>62</v>
      </c>
      <c r="C914" s="3" t="str">
        <f aca="false">INDEX('부작 목록'!$C$2:$C$66,B914)</f>
        <v>성채 작전: 로셀요 검거</v>
      </c>
      <c r="D914" s="3" t="s">
        <v>94</v>
      </c>
      <c r="E914" s="2" t="n">
        <v>15735</v>
      </c>
      <c r="F914" s="2" t="n">
        <v>7</v>
      </c>
      <c r="G914" s="4" t="s">
        <v>1057</v>
      </c>
    </row>
    <row r="915" customFormat="false" ht="15" hidden="false" customHeight="false" outlineLevel="0" collapsed="false">
      <c r="A915" s="2" t="n">
        <v>914</v>
      </c>
      <c r="B915" s="2" t="n">
        <v>62</v>
      </c>
      <c r="C915" s="3" t="str">
        <f aca="false">INDEX('부작 목록'!$C$2:$C$66,B915)</f>
        <v>성채 작전: 로셀요 검거</v>
      </c>
      <c r="D915" s="3" t="s">
        <v>94</v>
      </c>
      <c r="E915" s="2" t="n">
        <v>15744</v>
      </c>
      <c r="F915" s="2" t="n">
        <v>7</v>
      </c>
      <c r="G915" s="4" t="s">
        <v>1058</v>
      </c>
    </row>
    <row r="916" customFormat="false" ht="15" hidden="false" customHeight="false" outlineLevel="0" collapsed="false">
      <c r="A916" s="2" t="n">
        <v>915</v>
      </c>
      <c r="B916" s="2" t="n">
        <v>62</v>
      </c>
      <c r="C916" s="3" t="str">
        <f aca="false">INDEX('부작 목록'!$C$2:$C$66,B916)</f>
        <v>성채 작전: 로셀요 검거</v>
      </c>
      <c r="D916" s="3" t="s">
        <v>94</v>
      </c>
      <c r="E916" s="2" t="n">
        <v>15753</v>
      </c>
      <c r="F916" s="2" t="n">
        <v>6</v>
      </c>
      <c r="G916" s="4" t="s">
        <v>1059</v>
      </c>
    </row>
    <row r="917" customFormat="false" ht="15" hidden="false" customHeight="false" outlineLevel="0" collapsed="false">
      <c r="A917" s="2" t="n">
        <v>916</v>
      </c>
      <c r="B917" s="2" t="n">
        <v>62</v>
      </c>
      <c r="C917" s="3" t="str">
        <f aca="false">INDEX('부작 목록'!$C$2:$C$66,B917)</f>
        <v>성채 작전: 로셀요 검거</v>
      </c>
      <c r="D917" s="3" t="s">
        <v>94</v>
      </c>
      <c r="E917" s="2" t="n">
        <v>15762</v>
      </c>
      <c r="F917" s="2" t="n">
        <v>5</v>
      </c>
      <c r="G917" s="4" t="s">
        <v>1060</v>
      </c>
    </row>
    <row r="918" customFormat="false" ht="15" hidden="false" customHeight="false" outlineLevel="0" collapsed="false">
      <c r="A918" s="2" t="n">
        <v>917</v>
      </c>
      <c r="B918" s="2" t="n">
        <v>62</v>
      </c>
      <c r="C918" s="3" t="str">
        <f aca="false">INDEX('부작 목록'!$C$2:$C$66,B918)</f>
        <v>성채 작전: 로셀요 검거</v>
      </c>
      <c r="D918" s="3" t="s">
        <v>94</v>
      </c>
      <c r="E918" s="2" t="n">
        <v>15769</v>
      </c>
      <c r="F918" s="2" t="n">
        <v>7</v>
      </c>
      <c r="G918" s="4" t="s">
        <v>1061</v>
      </c>
    </row>
    <row r="919" customFormat="false" ht="15" hidden="false" customHeight="false" outlineLevel="0" collapsed="false">
      <c r="A919" s="2" t="n">
        <v>918</v>
      </c>
      <c r="B919" s="2" t="n">
        <v>62</v>
      </c>
      <c r="C919" s="3" t="str">
        <f aca="false">INDEX('부작 목록'!$C$2:$C$66,B919)</f>
        <v>성채 작전: 로셀요 검거</v>
      </c>
      <c r="D919" s="3" t="s">
        <v>94</v>
      </c>
      <c r="E919" s="2" t="n">
        <v>15778</v>
      </c>
      <c r="F919" s="2" t="n">
        <v>6</v>
      </c>
      <c r="G919" s="4" t="s">
        <v>1062</v>
      </c>
    </row>
    <row r="920" customFormat="false" ht="15" hidden="false" customHeight="false" outlineLevel="0" collapsed="false">
      <c r="A920" s="2" t="n">
        <v>919</v>
      </c>
      <c r="B920" s="2" t="n">
        <v>62</v>
      </c>
      <c r="C920" s="3" t="str">
        <f aca="false">INDEX('부작 목록'!$C$2:$C$66,B920)</f>
        <v>성채 작전: 로셀요 검거</v>
      </c>
      <c r="D920" s="3" t="s">
        <v>94</v>
      </c>
      <c r="E920" s="2" t="n">
        <v>15787</v>
      </c>
      <c r="F920" s="2" t="n">
        <v>7</v>
      </c>
      <c r="G920" s="4" t="s">
        <v>1063</v>
      </c>
    </row>
    <row r="921" customFormat="false" ht="15" hidden="false" customHeight="false" outlineLevel="0" collapsed="false">
      <c r="A921" s="2" t="n">
        <v>920</v>
      </c>
      <c r="B921" s="2" t="n">
        <v>62</v>
      </c>
      <c r="C921" s="3" t="str">
        <f aca="false">INDEX('부작 목록'!$C$2:$C$66,B921)</f>
        <v>성채 작전: 로셀요 검거</v>
      </c>
      <c r="D921" s="3" t="s">
        <v>94</v>
      </c>
      <c r="E921" s="2" t="n">
        <v>15796</v>
      </c>
      <c r="F921" s="2" t="n">
        <v>8</v>
      </c>
      <c r="G921" s="4" t="s">
        <v>1064</v>
      </c>
    </row>
    <row r="922" customFormat="false" ht="15" hidden="false" customHeight="false" outlineLevel="0" collapsed="false">
      <c r="A922" s="2" t="n">
        <v>921</v>
      </c>
      <c r="B922" s="2" t="n">
        <v>62</v>
      </c>
      <c r="C922" s="3" t="str">
        <f aca="false">INDEX('부작 목록'!$C$2:$C$66,B922)</f>
        <v>성채 작전: 로셀요 검거</v>
      </c>
      <c r="D922" s="3" t="s">
        <v>94</v>
      </c>
      <c r="E922" s="2" t="n">
        <v>15807</v>
      </c>
      <c r="F922" s="2" t="n">
        <v>7</v>
      </c>
      <c r="G922" s="4" t="s">
        <v>1065</v>
      </c>
    </row>
    <row r="923" customFormat="false" ht="15" hidden="false" customHeight="false" outlineLevel="0" collapsed="false">
      <c r="A923" s="2" t="n">
        <v>922</v>
      </c>
      <c r="B923" s="2" t="n">
        <v>62</v>
      </c>
      <c r="C923" s="3" t="str">
        <f aca="false">INDEX('부작 목록'!$C$2:$C$66,B923)</f>
        <v>성채 작전: 로셀요 검거</v>
      </c>
      <c r="D923" s="3" t="s">
        <v>94</v>
      </c>
      <c r="E923" s="2" t="n">
        <v>15816</v>
      </c>
      <c r="F923" s="2" t="n">
        <v>14</v>
      </c>
      <c r="G923" s="4" t="s">
        <v>1066</v>
      </c>
    </row>
    <row r="924" customFormat="false" ht="15" hidden="false" customHeight="false" outlineLevel="0" collapsed="false">
      <c r="A924" s="2" t="n">
        <v>923</v>
      </c>
      <c r="B924" s="2" t="n">
        <v>62</v>
      </c>
      <c r="C924" s="3" t="str">
        <f aca="false">INDEX('부작 목록'!$C$2:$C$66,B924)</f>
        <v>성채 작전: 로셀요 검거</v>
      </c>
      <c r="D924" s="3" t="s">
        <v>94</v>
      </c>
      <c r="E924" s="2" t="n">
        <v>15833</v>
      </c>
      <c r="F924" s="2" t="n">
        <v>7</v>
      </c>
      <c r="G924" s="4" t="s">
        <v>1067</v>
      </c>
    </row>
    <row r="925" customFormat="false" ht="15" hidden="false" customHeight="false" outlineLevel="0" collapsed="false">
      <c r="A925" s="2" t="n">
        <v>924</v>
      </c>
      <c r="B925" s="2" t="n">
        <v>62</v>
      </c>
      <c r="C925" s="3" t="str">
        <f aca="false">INDEX('부작 목록'!$C$2:$C$66,B925)</f>
        <v>성채 작전: 로셀요 검거</v>
      </c>
      <c r="D925" s="3" t="s">
        <v>94</v>
      </c>
      <c r="E925" s="2" t="n">
        <v>15842</v>
      </c>
      <c r="F925" s="2" t="n">
        <v>8</v>
      </c>
      <c r="G925" s="4" t="s">
        <v>1068</v>
      </c>
    </row>
    <row r="926" customFormat="false" ht="15" hidden="false" customHeight="false" outlineLevel="0" collapsed="false">
      <c r="A926" s="2" t="n">
        <v>925</v>
      </c>
      <c r="B926" s="2" t="n">
        <v>62</v>
      </c>
      <c r="C926" s="3" t="str">
        <f aca="false">INDEX('부작 목록'!$C$2:$C$66,B926)</f>
        <v>성채 작전: 로셀요 검거</v>
      </c>
      <c r="D926" s="3" t="s">
        <v>94</v>
      </c>
      <c r="E926" s="2" t="n">
        <v>15853</v>
      </c>
      <c r="F926" s="2" t="n">
        <v>6</v>
      </c>
      <c r="G926" s="4" t="s">
        <v>1069</v>
      </c>
    </row>
    <row r="927" customFormat="false" ht="15" hidden="false" customHeight="false" outlineLevel="0" collapsed="false">
      <c r="A927" s="2" t="n">
        <v>926</v>
      </c>
      <c r="B927" s="2" t="n">
        <v>62</v>
      </c>
      <c r="C927" s="3" t="str">
        <f aca="false">INDEX('부작 목록'!$C$2:$C$66,B927)</f>
        <v>성채 작전: 로셀요 검거</v>
      </c>
      <c r="D927" s="3" t="s">
        <v>94</v>
      </c>
      <c r="E927" s="2" t="n">
        <v>15861</v>
      </c>
      <c r="F927" s="2" t="n">
        <v>7</v>
      </c>
      <c r="G927" s="4" t="s">
        <v>1070</v>
      </c>
    </row>
    <row r="928" customFormat="false" ht="15" hidden="false" customHeight="false" outlineLevel="0" collapsed="false">
      <c r="A928" s="2" t="n">
        <v>927</v>
      </c>
      <c r="B928" s="2" t="n">
        <v>62</v>
      </c>
      <c r="C928" s="3" t="str">
        <f aca="false">INDEX('부작 목록'!$C$2:$C$66,B928)</f>
        <v>성채 작전: 로셀요 검거</v>
      </c>
      <c r="D928" s="3" t="s">
        <v>94</v>
      </c>
      <c r="E928" s="2" t="n">
        <v>15870</v>
      </c>
      <c r="F928" s="2" t="n">
        <v>5</v>
      </c>
      <c r="G928" s="4" t="s">
        <v>1071</v>
      </c>
    </row>
    <row r="929" customFormat="false" ht="15" hidden="false" customHeight="false" outlineLevel="0" collapsed="false">
      <c r="A929" s="2" t="n">
        <v>928</v>
      </c>
      <c r="B929" s="2" t="n">
        <v>62</v>
      </c>
      <c r="C929" s="3" t="str">
        <f aca="false">INDEX('부작 목록'!$C$2:$C$66,B929)</f>
        <v>성채 작전: 로셀요 검거</v>
      </c>
      <c r="D929" s="3" t="s">
        <v>94</v>
      </c>
      <c r="E929" s="2" t="n">
        <v>15878</v>
      </c>
      <c r="F929" s="2" t="n">
        <v>7</v>
      </c>
      <c r="G929" s="4" t="s">
        <v>1072</v>
      </c>
    </row>
    <row r="930" customFormat="false" ht="15" hidden="false" customHeight="false" outlineLevel="0" collapsed="false">
      <c r="A930" s="2" t="n">
        <v>929</v>
      </c>
      <c r="B930" s="2" t="n">
        <v>62</v>
      </c>
      <c r="C930" s="3" t="str">
        <f aca="false">INDEX('부작 목록'!$C$2:$C$66,B930)</f>
        <v>성채 작전: 로셀요 검거</v>
      </c>
      <c r="D930" s="3" t="s">
        <v>94</v>
      </c>
      <c r="E930" s="2" t="n">
        <v>15887</v>
      </c>
      <c r="F930" s="2" t="n">
        <v>7</v>
      </c>
      <c r="G930" s="4" t="s">
        <v>1073</v>
      </c>
    </row>
    <row r="931" customFormat="false" ht="15" hidden="false" customHeight="false" outlineLevel="0" collapsed="false">
      <c r="A931" s="2" t="n">
        <v>930</v>
      </c>
      <c r="B931" s="2" t="n">
        <v>62</v>
      </c>
      <c r="C931" s="3" t="str">
        <f aca="false">INDEX('부작 목록'!$C$2:$C$66,B931)</f>
        <v>성채 작전: 로셀요 검거</v>
      </c>
      <c r="D931" s="3" t="s">
        <v>94</v>
      </c>
      <c r="E931" s="2" t="n">
        <v>15897</v>
      </c>
      <c r="F931" s="2" t="n">
        <v>8</v>
      </c>
      <c r="G931" s="4" t="s">
        <v>1074</v>
      </c>
    </row>
    <row r="932" customFormat="false" ht="15" hidden="false" customHeight="false" outlineLevel="0" collapsed="false">
      <c r="A932" s="2" t="n">
        <v>931</v>
      </c>
      <c r="B932" s="2" t="n">
        <v>62</v>
      </c>
      <c r="C932" s="3" t="str">
        <f aca="false">INDEX('부작 목록'!$C$2:$C$66,B932)</f>
        <v>성채 작전: 로셀요 검거</v>
      </c>
      <c r="D932" s="3" t="s">
        <v>94</v>
      </c>
      <c r="E932" s="2" t="n">
        <v>15907</v>
      </c>
      <c r="F932" s="2" t="n">
        <v>8</v>
      </c>
      <c r="G932" s="4" t="s">
        <v>1075</v>
      </c>
    </row>
    <row r="933" customFormat="false" ht="15" hidden="false" customHeight="false" outlineLevel="0" collapsed="false">
      <c r="A933" s="2" t="n">
        <v>932</v>
      </c>
      <c r="B933" s="2" t="n">
        <v>62</v>
      </c>
      <c r="C933" s="3" t="str">
        <f aca="false">INDEX('부작 목록'!$C$2:$C$66,B933)</f>
        <v>성채 작전: 로셀요 검거</v>
      </c>
      <c r="D933" s="3" t="s">
        <v>94</v>
      </c>
      <c r="E933" s="2" t="n">
        <v>15918</v>
      </c>
      <c r="F933" s="2" t="n">
        <v>7</v>
      </c>
      <c r="G933" s="4" t="s">
        <v>1076</v>
      </c>
    </row>
    <row r="934" customFormat="false" ht="15" hidden="false" customHeight="false" outlineLevel="0" collapsed="false">
      <c r="A934" s="2" t="n">
        <v>933</v>
      </c>
      <c r="B934" s="2" t="n">
        <v>62</v>
      </c>
      <c r="C934" s="3" t="str">
        <f aca="false">INDEX('부작 목록'!$C$2:$C$66,B934)</f>
        <v>성채 작전: 로셀요 검거</v>
      </c>
      <c r="D934" s="3" t="s">
        <v>94</v>
      </c>
      <c r="E934" s="2" t="n">
        <v>15927</v>
      </c>
      <c r="F934" s="2" t="n">
        <v>7</v>
      </c>
      <c r="G934" s="4" t="s">
        <v>1077</v>
      </c>
    </row>
    <row r="935" customFormat="false" ht="15" hidden="false" customHeight="false" outlineLevel="0" collapsed="false">
      <c r="A935" s="2" t="n">
        <v>934</v>
      </c>
      <c r="B935" s="2" t="n">
        <v>62</v>
      </c>
      <c r="C935" s="3" t="str">
        <f aca="false">INDEX('부작 목록'!$C$2:$C$66,B935)</f>
        <v>성채 작전: 로셀요 검거</v>
      </c>
      <c r="D935" s="3" t="s">
        <v>94</v>
      </c>
      <c r="E935" s="2" t="n">
        <v>15936</v>
      </c>
      <c r="F935" s="2" t="n">
        <v>7</v>
      </c>
      <c r="G935" s="4" t="s">
        <v>1078</v>
      </c>
    </row>
    <row r="936" customFormat="false" ht="15" hidden="false" customHeight="false" outlineLevel="0" collapsed="false">
      <c r="A936" s="2" t="n">
        <v>935</v>
      </c>
      <c r="B936" s="2" t="n">
        <v>62</v>
      </c>
      <c r="C936" s="3" t="str">
        <f aca="false">INDEX('부작 목록'!$C$2:$C$66,B936)</f>
        <v>성채 작전: 로셀요 검거</v>
      </c>
      <c r="D936" s="3" t="s">
        <v>94</v>
      </c>
      <c r="E936" s="2" t="n">
        <v>15945</v>
      </c>
      <c r="F936" s="2" t="n">
        <v>5</v>
      </c>
      <c r="G936" s="4" t="s">
        <v>1079</v>
      </c>
    </row>
    <row r="937" customFormat="false" ht="15" hidden="false" customHeight="false" outlineLevel="0" collapsed="false">
      <c r="A937" s="2" t="n">
        <v>936</v>
      </c>
      <c r="B937" s="2" t="n">
        <v>62</v>
      </c>
      <c r="C937" s="3" t="str">
        <f aca="false">INDEX('부작 목록'!$C$2:$C$66,B937)</f>
        <v>성채 작전: 로셀요 검거</v>
      </c>
      <c r="D937" s="3" t="s">
        <v>94</v>
      </c>
      <c r="E937" s="2" t="n">
        <v>15952</v>
      </c>
      <c r="F937" s="2" t="n">
        <v>15</v>
      </c>
      <c r="G937" s="4" t="s">
        <v>1080</v>
      </c>
    </row>
    <row r="938" customFormat="false" ht="28.35" hidden="false" customHeight="false" outlineLevel="0" collapsed="false">
      <c r="A938" s="2" t="n">
        <v>937</v>
      </c>
      <c r="B938" s="2" t="n">
        <v>62</v>
      </c>
      <c r="C938" s="3" t="str">
        <f aca="false">INDEX('부작 목록'!$C$2:$C$66,B938)</f>
        <v>성채 작전: 로셀요 검거</v>
      </c>
      <c r="D938" s="3" t="s">
        <v>94</v>
      </c>
      <c r="E938" s="2" t="n">
        <v>15970</v>
      </c>
      <c r="F938" s="2" t="n">
        <v>15</v>
      </c>
      <c r="G938" s="4" t="s">
        <v>1081</v>
      </c>
    </row>
    <row r="939" customFormat="false" ht="15" hidden="false" customHeight="false" outlineLevel="0" collapsed="false">
      <c r="A939" s="2" t="n">
        <v>938</v>
      </c>
      <c r="B939" s="2" t="n">
        <v>62</v>
      </c>
      <c r="C939" s="3" t="str">
        <f aca="false">INDEX('부작 목록'!$C$2:$C$66,B939)</f>
        <v>성채 작전: 로셀요 검거</v>
      </c>
      <c r="D939" s="3" t="s">
        <v>94</v>
      </c>
      <c r="E939" s="2" t="n">
        <v>15988</v>
      </c>
      <c r="F939" s="2" t="n">
        <v>8</v>
      </c>
      <c r="G939" s="4" t="s">
        <v>1082</v>
      </c>
    </row>
    <row r="940" customFormat="false" ht="15" hidden="false" customHeight="false" outlineLevel="0" collapsed="false">
      <c r="A940" s="2" t="n">
        <v>939</v>
      </c>
      <c r="B940" s="2" t="n">
        <v>62</v>
      </c>
      <c r="C940" s="3" t="str">
        <f aca="false">INDEX('부작 목록'!$C$2:$C$66,B940)</f>
        <v>성채 작전: 로셀요 검거</v>
      </c>
      <c r="D940" s="3" t="s">
        <v>94</v>
      </c>
      <c r="E940" s="2" t="n">
        <v>15998</v>
      </c>
      <c r="F940" s="2" t="n">
        <v>7</v>
      </c>
      <c r="G940" s="4" t="s">
        <v>1083</v>
      </c>
    </row>
    <row r="941" customFormat="false" ht="15" hidden="false" customHeight="false" outlineLevel="0" collapsed="false">
      <c r="A941" s="2" t="n">
        <v>940</v>
      </c>
      <c r="B941" s="2" t="n">
        <v>62</v>
      </c>
      <c r="C941" s="3" t="str">
        <f aca="false">INDEX('부작 목록'!$C$2:$C$66,B941)</f>
        <v>성채 작전: 로셀요 검거</v>
      </c>
      <c r="D941" s="3" t="s">
        <v>94</v>
      </c>
      <c r="E941" s="2" t="n">
        <v>16008</v>
      </c>
      <c r="F941" s="2" t="n">
        <v>6</v>
      </c>
      <c r="G941" s="4" t="s">
        <v>1084</v>
      </c>
    </row>
    <row r="942" customFormat="false" ht="15" hidden="false" customHeight="false" outlineLevel="0" collapsed="false">
      <c r="A942" s="2" t="n">
        <v>941</v>
      </c>
      <c r="B942" s="2" t="n">
        <v>62</v>
      </c>
      <c r="C942" s="3" t="str">
        <f aca="false">INDEX('부작 목록'!$C$2:$C$66,B942)</f>
        <v>성채 작전: 로셀요 검거</v>
      </c>
      <c r="D942" s="3" t="s">
        <v>94</v>
      </c>
      <c r="E942" s="2" t="n">
        <v>16016</v>
      </c>
      <c r="F942" s="2" t="n">
        <v>6</v>
      </c>
      <c r="G942" s="4" t="s">
        <v>1085</v>
      </c>
    </row>
    <row r="943" customFormat="false" ht="15" hidden="false" customHeight="false" outlineLevel="0" collapsed="false">
      <c r="A943" s="2" t="n">
        <v>942</v>
      </c>
      <c r="B943" s="2" t="n">
        <v>62</v>
      </c>
      <c r="C943" s="3" t="str">
        <f aca="false">INDEX('부작 목록'!$C$2:$C$66,B943)</f>
        <v>성채 작전: 로셀요 검거</v>
      </c>
      <c r="D943" s="3" t="s">
        <v>94</v>
      </c>
      <c r="E943" s="2" t="n">
        <v>16024</v>
      </c>
      <c r="F943" s="2" t="n">
        <v>7</v>
      </c>
      <c r="G943" s="4" t="s">
        <v>1086</v>
      </c>
    </row>
    <row r="944" customFormat="false" ht="15" hidden="false" customHeight="false" outlineLevel="0" collapsed="false">
      <c r="A944" s="2" t="n">
        <v>943</v>
      </c>
      <c r="B944" s="2" t="n">
        <v>62</v>
      </c>
      <c r="C944" s="3" t="str">
        <f aca="false">INDEX('부작 목록'!$C$2:$C$66,B944)</f>
        <v>성채 작전: 로셀요 검거</v>
      </c>
      <c r="D944" s="3" t="s">
        <v>94</v>
      </c>
      <c r="E944" s="2" t="n">
        <v>16034</v>
      </c>
      <c r="F944" s="2" t="n">
        <v>4</v>
      </c>
      <c r="G944" s="4" t="s">
        <v>1087</v>
      </c>
    </row>
    <row r="945" customFormat="false" ht="15" hidden="false" customHeight="false" outlineLevel="0" collapsed="false">
      <c r="A945" s="2" t="n">
        <v>944</v>
      </c>
      <c r="B945" s="2" t="n">
        <v>62</v>
      </c>
      <c r="C945" s="3" t="str">
        <f aca="false">INDEX('부작 목록'!$C$2:$C$66,B945)</f>
        <v>성채 작전: 로셀요 검거</v>
      </c>
      <c r="D945" s="3" t="s">
        <v>94</v>
      </c>
      <c r="E945" s="2" t="n">
        <v>16040</v>
      </c>
      <c r="F945" s="2" t="n">
        <v>6</v>
      </c>
      <c r="G945" s="4" t="s">
        <v>1088</v>
      </c>
    </row>
    <row r="946" customFormat="false" ht="15" hidden="false" customHeight="false" outlineLevel="0" collapsed="false">
      <c r="A946" s="2" t="n">
        <v>945</v>
      </c>
      <c r="B946" s="2" t="n">
        <v>62</v>
      </c>
      <c r="C946" s="3" t="str">
        <f aca="false">INDEX('부작 목록'!$C$2:$C$66,B946)</f>
        <v>성채 작전: 로셀요 검거</v>
      </c>
      <c r="D946" s="3" t="s">
        <v>94</v>
      </c>
      <c r="E946" s="2" t="n">
        <v>16048</v>
      </c>
      <c r="F946" s="2" t="n">
        <v>7</v>
      </c>
      <c r="G946" s="4" t="s">
        <v>1089</v>
      </c>
    </row>
    <row r="947" customFormat="false" ht="15" hidden="false" customHeight="false" outlineLevel="0" collapsed="false">
      <c r="A947" s="2" t="n">
        <v>946</v>
      </c>
      <c r="B947" s="2" t="n">
        <v>63</v>
      </c>
      <c r="C947" s="3" t="str">
        <f aca="false">INDEX('부작 목록'!$C$2:$C$66,B947)</f>
        <v>검거 이후</v>
      </c>
      <c r="D947" s="3" t="s">
        <v>94</v>
      </c>
      <c r="E947" s="2" t="n">
        <v>16058</v>
      </c>
      <c r="F947" s="2" t="n">
        <v>6</v>
      </c>
      <c r="G947" s="4" t="s">
        <v>1090</v>
      </c>
    </row>
    <row r="948" customFormat="false" ht="15" hidden="false" customHeight="false" outlineLevel="0" collapsed="false">
      <c r="A948" s="2" t="n">
        <v>947</v>
      </c>
      <c r="B948" s="2" t="n">
        <v>63</v>
      </c>
      <c r="C948" s="3" t="str">
        <f aca="false">INDEX('부작 목록'!$C$2:$C$66,B948)</f>
        <v>검거 이후</v>
      </c>
      <c r="D948" s="3" t="s">
        <v>94</v>
      </c>
      <c r="E948" s="2" t="n">
        <v>16066</v>
      </c>
      <c r="F948" s="2" t="n">
        <v>9</v>
      </c>
      <c r="G948" s="4" t="s">
        <v>1091</v>
      </c>
    </row>
    <row r="949" customFormat="false" ht="15" hidden="false" customHeight="false" outlineLevel="0" collapsed="false">
      <c r="A949" s="2" t="n">
        <v>948</v>
      </c>
      <c r="B949" s="2" t="n">
        <v>63</v>
      </c>
      <c r="C949" s="3" t="str">
        <f aca="false">INDEX('부작 목록'!$C$2:$C$66,B949)</f>
        <v>검거 이후</v>
      </c>
      <c r="D949" s="3" t="s">
        <v>94</v>
      </c>
      <c r="E949" s="2" t="n">
        <v>16078</v>
      </c>
      <c r="F949" s="2" t="n">
        <v>6</v>
      </c>
      <c r="G949" s="4" t="s">
        <v>1092</v>
      </c>
    </row>
    <row r="950" customFormat="false" ht="15" hidden="false" customHeight="false" outlineLevel="0" collapsed="false">
      <c r="A950" s="2" t="n">
        <v>949</v>
      </c>
      <c r="B950" s="2" t="n">
        <v>63</v>
      </c>
      <c r="C950" s="3" t="str">
        <f aca="false">INDEX('부작 목록'!$C$2:$C$66,B950)</f>
        <v>검거 이후</v>
      </c>
      <c r="D950" s="3" t="s">
        <v>94</v>
      </c>
      <c r="E950" s="2" t="n">
        <v>16086</v>
      </c>
      <c r="F950" s="2" t="n">
        <v>7</v>
      </c>
      <c r="G950" s="4" t="s">
        <v>1093</v>
      </c>
    </row>
    <row r="951" customFormat="false" ht="15" hidden="false" customHeight="false" outlineLevel="0" collapsed="false">
      <c r="A951" s="2" t="n">
        <v>950</v>
      </c>
      <c r="B951" s="2" t="n">
        <v>63</v>
      </c>
      <c r="C951" s="3" t="str">
        <f aca="false">INDEX('부작 목록'!$C$2:$C$66,B951)</f>
        <v>검거 이후</v>
      </c>
      <c r="D951" s="3" t="s">
        <v>94</v>
      </c>
      <c r="E951" s="2" t="n">
        <v>16095</v>
      </c>
      <c r="F951" s="2" t="n">
        <v>6</v>
      </c>
      <c r="G951" s="4" t="s">
        <v>1094</v>
      </c>
    </row>
    <row r="952" customFormat="false" ht="15" hidden="false" customHeight="false" outlineLevel="0" collapsed="false">
      <c r="A952" s="2" t="n">
        <v>951</v>
      </c>
      <c r="B952" s="2" t="n">
        <v>63</v>
      </c>
      <c r="C952" s="3" t="str">
        <f aca="false">INDEX('부작 목록'!$C$2:$C$66,B952)</f>
        <v>검거 이후</v>
      </c>
      <c r="D952" s="3" t="s">
        <v>94</v>
      </c>
      <c r="E952" s="2" t="n">
        <v>16103</v>
      </c>
      <c r="F952" s="2" t="n">
        <v>6</v>
      </c>
      <c r="G952" s="4" t="s">
        <v>1095</v>
      </c>
    </row>
    <row r="953" customFormat="false" ht="15" hidden="false" customHeight="false" outlineLevel="0" collapsed="false">
      <c r="A953" s="2" t="n">
        <v>952</v>
      </c>
      <c r="B953" s="2" t="n">
        <v>63</v>
      </c>
      <c r="C953" s="3" t="str">
        <f aca="false">INDEX('부작 목록'!$C$2:$C$66,B953)</f>
        <v>검거 이후</v>
      </c>
      <c r="D953" s="3" t="s">
        <v>94</v>
      </c>
      <c r="E953" s="2" t="n">
        <v>16111</v>
      </c>
      <c r="F953" s="2" t="n">
        <v>7</v>
      </c>
      <c r="G953" s="4" t="s">
        <v>1096</v>
      </c>
    </row>
    <row r="954" customFormat="false" ht="15" hidden="false" customHeight="false" outlineLevel="0" collapsed="false">
      <c r="A954" s="2" t="n">
        <v>953</v>
      </c>
      <c r="B954" s="2" t="n">
        <v>63</v>
      </c>
      <c r="C954" s="3" t="str">
        <f aca="false">INDEX('부작 목록'!$C$2:$C$66,B954)</f>
        <v>검거 이후</v>
      </c>
      <c r="D954" s="3" t="s">
        <v>94</v>
      </c>
      <c r="E954" s="2" t="n">
        <v>16121</v>
      </c>
      <c r="F954" s="2" t="n">
        <v>7</v>
      </c>
      <c r="G954" s="4" t="s">
        <v>1097</v>
      </c>
    </row>
    <row r="955" customFormat="false" ht="15" hidden="false" customHeight="false" outlineLevel="0" collapsed="false">
      <c r="A955" s="2" t="n">
        <v>954</v>
      </c>
      <c r="B955" s="2" t="n">
        <v>63</v>
      </c>
      <c r="C955" s="3" t="str">
        <f aca="false">INDEX('부작 목록'!$C$2:$C$66,B955)</f>
        <v>검거 이후</v>
      </c>
      <c r="D955" s="3" t="s">
        <v>94</v>
      </c>
      <c r="E955" s="2" t="n">
        <v>16130</v>
      </c>
      <c r="F955" s="2" t="n">
        <v>7</v>
      </c>
      <c r="G955" s="4" t="s">
        <v>1098</v>
      </c>
    </row>
    <row r="956" customFormat="false" ht="15" hidden="false" customHeight="false" outlineLevel="0" collapsed="false">
      <c r="A956" s="2" t="n">
        <v>955</v>
      </c>
      <c r="B956" s="2" t="n">
        <v>63</v>
      </c>
      <c r="C956" s="3" t="str">
        <f aca="false">INDEX('부작 목록'!$C$2:$C$66,B956)</f>
        <v>검거 이후</v>
      </c>
      <c r="D956" s="3" t="s">
        <v>94</v>
      </c>
      <c r="E956" s="2" t="n">
        <v>16139</v>
      </c>
      <c r="F956" s="2" t="n">
        <v>7</v>
      </c>
      <c r="G956" s="4" t="s">
        <v>1099</v>
      </c>
    </row>
    <row r="957" customFormat="false" ht="15" hidden="false" customHeight="false" outlineLevel="0" collapsed="false">
      <c r="A957" s="2" t="n">
        <v>956</v>
      </c>
      <c r="B957" s="2" t="n">
        <v>63</v>
      </c>
      <c r="C957" s="3" t="str">
        <f aca="false">INDEX('부작 목록'!$C$2:$C$66,B957)</f>
        <v>검거 이후</v>
      </c>
      <c r="D957" s="3" t="s">
        <v>94</v>
      </c>
      <c r="E957" s="2" t="n">
        <v>16148</v>
      </c>
      <c r="F957" s="2" t="n">
        <v>7</v>
      </c>
      <c r="G957" s="4" t="s">
        <v>1100</v>
      </c>
    </row>
    <row r="958" customFormat="false" ht="15" hidden="false" customHeight="false" outlineLevel="0" collapsed="false">
      <c r="A958" s="2" t="n">
        <v>957</v>
      </c>
      <c r="B958" s="2" t="n">
        <v>63</v>
      </c>
      <c r="C958" s="3" t="str">
        <f aca="false">INDEX('부작 목록'!$C$2:$C$66,B958)</f>
        <v>검거 이후</v>
      </c>
      <c r="D958" s="3" t="s">
        <v>94</v>
      </c>
      <c r="E958" s="2" t="n">
        <v>16157</v>
      </c>
      <c r="F958" s="2" t="n">
        <v>5</v>
      </c>
      <c r="G958" s="4" t="s">
        <v>1101</v>
      </c>
    </row>
    <row r="959" customFormat="false" ht="15" hidden="false" customHeight="false" outlineLevel="0" collapsed="false">
      <c r="A959" s="2" t="n">
        <v>958</v>
      </c>
      <c r="B959" s="2" t="n">
        <v>63</v>
      </c>
      <c r="C959" s="3" t="str">
        <f aca="false">INDEX('부작 목록'!$C$2:$C$66,B959)</f>
        <v>검거 이후</v>
      </c>
      <c r="D959" s="3" t="s">
        <v>94</v>
      </c>
      <c r="E959" s="2" t="n">
        <v>16165</v>
      </c>
      <c r="F959" s="2" t="n">
        <v>5</v>
      </c>
      <c r="G959" s="4" t="s">
        <v>1102</v>
      </c>
    </row>
    <row r="960" customFormat="false" ht="15" hidden="false" customHeight="false" outlineLevel="0" collapsed="false">
      <c r="A960" s="2" t="n">
        <v>959</v>
      </c>
      <c r="B960" s="2" t="n">
        <v>63</v>
      </c>
      <c r="C960" s="3" t="str">
        <f aca="false">INDEX('부작 목록'!$C$2:$C$66,B960)</f>
        <v>검거 이후</v>
      </c>
      <c r="D960" s="3" t="s">
        <v>94</v>
      </c>
      <c r="E960" s="2" t="n">
        <v>16172</v>
      </c>
      <c r="F960" s="2" t="n">
        <v>5</v>
      </c>
      <c r="G960" s="4" t="s">
        <v>1103</v>
      </c>
    </row>
    <row r="961" customFormat="false" ht="15" hidden="false" customHeight="false" outlineLevel="0" collapsed="false">
      <c r="A961" s="2" t="n">
        <v>960</v>
      </c>
      <c r="B961" s="2" t="n">
        <v>63</v>
      </c>
      <c r="C961" s="3" t="str">
        <f aca="false">INDEX('부작 목록'!$C$2:$C$66,B961)</f>
        <v>검거 이후</v>
      </c>
      <c r="D961" s="3" t="s">
        <v>94</v>
      </c>
      <c r="E961" s="2" t="n">
        <v>16180</v>
      </c>
      <c r="F961" s="2" t="n">
        <v>6</v>
      </c>
      <c r="G961" s="4" t="s">
        <v>1104</v>
      </c>
    </row>
    <row r="962" customFormat="false" ht="15" hidden="false" customHeight="false" outlineLevel="0" collapsed="false">
      <c r="A962" s="2" t="n">
        <v>961</v>
      </c>
      <c r="B962" s="2" t="n">
        <v>63</v>
      </c>
      <c r="C962" s="3" t="str">
        <f aca="false">INDEX('부작 목록'!$C$2:$C$66,B962)</f>
        <v>검거 이후</v>
      </c>
      <c r="D962" s="3" t="s">
        <v>94</v>
      </c>
      <c r="E962" s="2" t="n">
        <v>16188</v>
      </c>
      <c r="F962" s="2" t="n">
        <v>7</v>
      </c>
      <c r="G962" s="4" t="s">
        <v>1105</v>
      </c>
    </row>
    <row r="963" customFormat="false" ht="15" hidden="false" customHeight="false" outlineLevel="0" collapsed="false">
      <c r="A963" s="2" t="n">
        <v>962</v>
      </c>
      <c r="B963" s="2" t="n">
        <v>63</v>
      </c>
      <c r="C963" s="3" t="str">
        <f aca="false">INDEX('부작 목록'!$C$2:$C$66,B963)</f>
        <v>검거 이후</v>
      </c>
      <c r="D963" s="3" t="s">
        <v>94</v>
      </c>
      <c r="E963" s="2" t="n">
        <v>16197</v>
      </c>
      <c r="F963" s="2" t="n">
        <v>6</v>
      </c>
      <c r="G963" s="4" t="s">
        <v>1106</v>
      </c>
    </row>
    <row r="964" customFormat="false" ht="15" hidden="false" customHeight="false" outlineLevel="0" collapsed="false">
      <c r="A964" s="2" t="n">
        <v>963</v>
      </c>
      <c r="B964" s="2" t="n">
        <v>64</v>
      </c>
      <c r="C964" s="3" t="str">
        <f aca="false">INDEX('부작 목록'!$C$2:$C$66,B964)</f>
        <v>에필로그</v>
      </c>
      <c r="D964" s="3" t="s">
        <v>94</v>
      </c>
      <c r="E964" s="2" t="n">
        <v>16205</v>
      </c>
      <c r="F964" s="2" t="n">
        <v>7</v>
      </c>
      <c r="G964" s="4" t="s">
        <v>1107</v>
      </c>
    </row>
    <row r="965" customFormat="false" ht="15" hidden="false" customHeight="false" outlineLevel="0" collapsed="false">
      <c r="A965" s="2" t="n">
        <v>964</v>
      </c>
      <c r="B965" s="2" t="n">
        <v>64</v>
      </c>
      <c r="C965" s="3" t="str">
        <f aca="false">INDEX('부작 목록'!$C$2:$C$66,B965)</f>
        <v>에필로그</v>
      </c>
      <c r="D965" s="3" t="s">
        <v>94</v>
      </c>
      <c r="E965" s="2" t="n">
        <v>16214</v>
      </c>
      <c r="F965" s="2" t="n">
        <v>8</v>
      </c>
      <c r="G965" s="4" t="s">
        <v>1108</v>
      </c>
    </row>
    <row r="966" customFormat="false" ht="15" hidden="false" customHeight="false" outlineLevel="0" collapsed="false">
      <c r="A966" s="2" t="n">
        <v>965</v>
      </c>
      <c r="B966" s="2" t="n">
        <v>64</v>
      </c>
      <c r="C966" s="3" t="str">
        <f aca="false">INDEX('부작 목록'!$C$2:$C$66,B966)</f>
        <v>에필로그</v>
      </c>
      <c r="D966" s="3" t="s">
        <v>94</v>
      </c>
      <c r="E966" s="2" t="n">
        <v>16225</v>
      </c>
      <c r="F966" s="2" t="n">
        <v>7</v>
      </c>
      <c r="G966" s="4" t="s">
        <v>1109</v>
      </c>
    </row>
    <row r="967" customFormat="false" ht="15" hidden="false" customHeight="false" outlineLevel="0" collapsed="false">
      <c r="A967" s="2" t="n">
        <v>966</v>
      </c>
      <c r="B967" s="2" t="n">
        <v>64</v>
      </c>
      <c r="C967" s="3" t="str">
        <f aca="false">INDEX('부작 목록'!$C$2:$C$66,B967)</f>
        <v>에필로그</v>
      </c>
      <c r="D967" s="3" t="s">
        <v>94</v>
      </c>
      <c r="E967" s="2" t="n">
        <v>16234</v>
      </c>
      <c r="F967" s="2" t="n">
        <v>6</v>
      </c>
      <c r="G967" s="4" t="s">
        <v>1110</v>
      </c>
    </row>
    <row r="968" customFormat="false" ht="15" hidden="false" customHeight="false" outlineLevel="0" collapsed="false">
      <c r="A968" s="2" t="n">
        <v>967</v>
      </c>
      <c r="B968" s="2" t="n">
        <v>64</v>
      </c>
      <c r="C968" s="3" t="str">
        <f aca="false">INDEX('부작 목록'!$C$2:$C$66,B968)</f>
        <v>에필로그</v>
      </c>
      <c r="D968" s="3" t="s">
        <v>94</v>
      </c>
      <c r="E968" s="2" t="n">
        <v>16243</v>
      </c>
      <c r="F968" s="2" t="n">
        <v>7</v>
      </c>
      <c r="G968" s="4" t="s">
        <v>1111</v>
      </c>
    </row>
    <row r="969" customFormat="false" ht="15" hidden="false" customHeight="false" outlineLevel="0" collapsed="false">
      <c r="A969" s="2" t="n">
        <v>968</v>
      </c>
      <c r="B969" s="2" t="n">
        <v>64</v>
      </c>
      <c r="C969" s="3" t="str">
        <f aca="false">INDEX('부작 목록'!$C$2:$C$66,B969)</f>
        <v>에필로그</v>
      </c>
      <c r="D969" s="3" t="s">
        <v>94</v>
      </c>
      <c r="E969" s="2" t="n">
        <v>16252</v>
      </c>
      <c r="F969" s="2" t="n">
        <v>6</v>
      </c>
      <c r="G969" s="4" t="s">
        <v>1112</v>
      </c>
    </row>
    <row r="970" customFormat="false" ht="15" hidden="false" customHeight="false" outlineLevel="0" collapsed="false">
      <c r="A970" s="2" t="n">
        <v>969</v>
      </c>
      <c r="B970" s="2" t="n">
        <v>64</v>
      </c>
      <c r="C970" s="3" t="str">
        <f aca="false">INDEX('부작 목록'!$C$2:$C$66,B970)</f>
        <v>에필로그</v>
      </c>
      <c r="D970" s="3" t="s">
        <v>94</v>
      </c>
      <c r="E970" s="2" t="n">
        <v>16260</v>
      </c>
      <c r="F970" s="2" t="n">
        <v>7</v>
      </c>
      <c r="G970" s="4" t="s">
        <v>1113</v>
      </c>
    </row>
    <row r="971" customFormat="false" ht="15" hidden="false" customHeight="false" outlineLevel="0" collapsed="false">
      <c r="A971" s="2" t="n">
        <v>970</v>
      </c>
      <c r="B971" s="2" t="n">
        <v>64</v>
      </c>
      <c r="C971" s="3" t="str">
        <f aca="false">INDEX('부작 목록'!$C$2:$C$66,B971)</f>
        <v>에필로그</v>
      </c>
      <c r="D971" s="3" t="s">
        <v>94</v>
      </c>
      <c r="E971" s="2" t="n">
        <v>16270</v>
      </c>
      <c r="F971" s="2" t="n">
        <v>7</v>
      </c>
      <c r="G971" s="4" t="s">
        <v>1114</v>
      </c>
    </row>
    <row r="972" customFormat="false" ht="15" hidden="false" customHeight="false" outlineLevel="0" collapsed="false">
      <c r="A972" s="2" t="n">
        <v>971</v>
      </c>
      <c r="B972" s="2" t="n">
        <v>64</v>
      </c>
      <c r="C972" s="3" t="str">
        <f aca="false">INDEX('부작 목록'!$C$2:$C$66,B972)</f>
        <v>에필로그</v>
      </c>
      <c r="D972" s="3" t="s">
        <v>94</v>
      </c>
      <c r="E972" s="2" t="n">
        <v>16279</v>
      </c>
      <c r="F972" s="2" t="n">
        <v>3</v>
      </c>
      <c r="G972" s="4" t="s">
        <v>1115</v>
      </c>
    </row>
    <row r="973" customFormat="false" ht="15" hidden="false" customHeight="false" outlineLevel="0" collapsed="false">
      <c r="A973" s="2" t="n">
        <v>972</v>
      </c>
      <c r="B973" s="2" t="n">
        <v>64</v>
      </c>
      <c r="C973" s="3" t="str">
        <f aca="false">INDEX('부작 목록'!$C$2:$C$66,B973)</f>
        <v>에필로그</v>
      </c>
      <c r="D973" s="3" t="s">
        <v>94</v>
      </c>
      <c r="E973" s="2" t="n">
        <v>16285</v>
      </c>
      <c r="F973" s="2" t="n">
        <v>2</v>
      </c>
      <c r="G973" s="4" t="s">
        <v>1116</v>
      </c>
    </row>
    <row r="974" customFormat="false" ht="15" hidden="false" customHeight="false" outlineLevel="0" collapsed="false">
      <c r="A974" s="2" t="n">
        <v>973</v>
      </c>
      <c r="B974" s="2" t="n">
        <v>64</v>
      </c>
      <c r="C974" s="3" t="str">
        <f aca="false">INDEX('부작 목록'!$C$2:$C$66,B974)</f>
        <v>에필로그</v>
      </c>
      <c r="D974" s="3" t="s">
        <v>94</v>
      </c>
      <c r="E974" s="2" t="n">
        <v>16289</v>
      </c>
      <c r="F974" s="2" t="n">
        <v>5</v>
      </c>
      <c r="G974" s="4" t="s">
        <v>1117</v>
      </c>
    </row>
    <row r="975" customFormat="false" ht="15" hidden="false" customHeight="false" outlineLevel="0" collapsed="false">
      <c r="A975" s="2" t="n">
        <v>974</v>
      </c>
      <c r="B975" s="2" t="n">
        <v>64</v>
      </c>
      <c r="C975" s="3" t="str">
        <f aca="false">INDEX('부작 목록'!$C$2:$C$66,B975)</f>
        <v>에필로그</v>
      </c>
      <c r="D975" s="3" t="s">
        <v>94</v>
      </c>
      <c r="E975" s="2" t="n">
        <v>16296</v>
      </c>
      <c r="F975" s="2" t="n">
        <v>13</v>
      </c>
      <c r="G975" s="4" t="s">
        <v>1118</v>
      </c>
    </row>
    <row r="976" customFormat="false" ht="15" hidden="false" customHeight="false" outlineLevel="0" collapsed="false">
      <c r="A976" s="2" t="n">
        <v>975</v>
      </c>
      <c r="B976" s="2" t="n">
        <v>65</v>
      </c>
      <c r="C976" s="3" t="str">
        <f aca="false">INDEX('부작 목록'!$C$2:$C$66,B976)</f>
        <v>면회 시리즈</v>
      </c>
      <c r="D976" s="3" t="s">
        <v>94</v>
      </c>
      <c r="E976" s="2" t="n">
        <v>16312</v>
      </c>
      <c r="F976" s="2" t="n">
        <v>24</v>
      </c>
      <c r="G976" s="4" t="s">
        <v>1119</v>
      </c>
    </row>
    <row r="977" customFormat="false" ht="28.35" hidden="false" customHeight="false" outlineLevel="0" collapsed="false">
      <c r="A977" s="2" t="n">
        <v>976</v>
      </c>
      <c r="B977" s="2" t="n">
        <v>65</v>
      </c>
      <c r="C977" s="3" t="str">
        <f aca="false">INDEX('부작 목록'!$C$2:$C$66,B977)</f>
        <v>면회 시리즈</v>
      </c>
      <c r="D977" s="3" t="s">
        <v>94</v>
      </c>
      <c r="E977" s="2" t="n">
        <v>16339</v>
      </c>
      <c r="F977" s="2" t="n">
        <v>23</v>
      </c>
      <c r="G977" s="4" t="s">
        <v>1120</v>
      </c>
    </row>
    <row r="978" customFormat="false" ht="28.35" hidden="false" customHeight="false" outlineLevel="0" collapsed="false">
      <c r="A978" s="2" t="n">
        <v>977</v>
      </c>
      <c r="B978" s="2" t="n">
        <v>65</v>
      </c>
      <c r="C978" s="3" t="str">
        <f aca="false">INDEX('부작 목록'!$C$2:$C$66,B978)</f>
        <v>면회 시리즈</v>
      </c>
      <c r="D978" s="3" t="s">
        <v>94</v>
      </c>
      <c r="E978" s="2" t="n">
        <v>16366</v>
      </c>
      <c r="F978" s="2" t="n">
        <v>19</v>
      </c>
      <c r="G978" s="4" t="s">
        <v>1121</v>
      </c>
    </row>
    <row r="979" customFormat="false" ht="15" hidden="false" customHeight="false" outlineLevel="0" collapsed="false">
      <c r="A979" s="2" t="n">
        <v>978</v>
      </c>
      <c r="B979" s="2" t="n">
        <v>65</v>
      </c>
      <c r="C979" s="3" t="str">
        <f aca="false">INDEX('부작 목록'!$C$2:$C$66,B979)</f>
        <v>면회 시리즈</v>
      </c>
      <c r="D979" s="3" t="s">
        <v>94</v>
      </c>
      <c r="E979" s="2" t="n">
        <v>16388</v>
      </c>
      <c r="F979" s="2" t="n">
        <v>18</v>
      </c>
      <c r="G979" s="4" t="s">
        <v>1122</v>
      </c>
    </row>
    <row r="980" customFormat="false" ht="28.35" hidden="false" customHeight="false" outlineLevel="0" collapsed="false">
      <c r="A980" s="2" t="n">
        <v>979</v>
      </c>
      <c r="B980" s="2" t="n">
        <v>65</v>
      </c>
      <c r="C980" s="3" t="str">
        <f aca="false">INDEX('부작 목록'!$C$2:$C$66,B980)</f>
        <v>면회 시리즈</v>
      </c>
      <c r="D980" s="3" t="s">
        <v>94</v>
      </c>
      <c r="E980" s="2" t="n">
        <v>16409</v>
      </c>
      <c r="F980" s="2" t="n">
        <v>19</v>
      </c>
      <c r="G980" s="4" t="s">
        <v>1123</v>
      </c>
    </row>
  </sheetData>
  <autoFilter ref="A1:G98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4.9" hidden="false" customHeight="false" outlineLevel="0" collapsed="false">
      <c r="A1" s="7" t="s">
        <v>1124</v>
      </c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7" t="s">
        <v>1125</v>
      </c>
    </row>
    <row r="4" customFormat="false" ht="14.9" hidden="false" customHeight="false" outlineLevel="0" collapsed="false">
      <c r="A4" s="9" t="s">
        <v>1126</v>
      </c>
    </row>
    <row r="5" customFormat="false" ht="14.9" hidden="false" customHeight="false" outlineLevel="0" collapsed="false">
      <c r="A5" s="9" t="s">
        <v>1127</v>
      </c>
    </row>
    <row r="6" customFormat="false" ht="14.9" hidden="false" customHeight="false" outlineLevel="0" collapsed="false">
      <c r="A6" s="9" t="s">
        <v>1128</v>
      </c>
    </row>
    <row r="7" customFormat="false" ht="14.9" hidden="false" customHeight="false" outlineLevel="0" collapsed="false">
      <c r="A7" s="9" t="s">
        <v>1129</v>
      </c>
    </row>
    <row r="8" customFormat="false" ht="14.9" hidden="false" customHeight="false" outlineLevel="0" collapsed="false">
      <c r="A8" s="9" t="s">
        <v>1130</v>
      </c>
    </row>
    <row r="9" customFormat="false" ht="15" hidden="false" customHeight="false" outlineLevel="0" collapsed="false">
      <c r="A9" s="9"/>
    </row>
    <row r="10" customFormat="false" ht="15" hidden="false" customHeight="false" outlineLevel="0" collapsed="false">
      <c r="A10" s="7" t="s">
        <v>1131</v>
      </c>
    </row>
    <row r="11" customFormat="false" ht="14.9" hidden="false" customHeight="false" outlineLevel="0" collapsed="false">
      <c r="A11" s="9" t="s">
        <v>1132</v>
      </c>
    </row>
    <row r="12" customFormat="false" ht="14.9" hidden="false" customHeight="false" outlineLevel="0" collapsed="false">
      <c r="A12" s="9" t="s">
        <v>1133</v>
      </c>
    </row>
    <row r="13" customFormat="false" ht="14.9" hidden="false" customHeight="false" outlineLevel="0" collapsed="false">
      <c r="A13" s="9" t="s">
        <v>1134</v>
      </c>
    </row>
    <row r="14" customFormat="false" ht="14.9" hidden="false" customHeight="false" outlineLevel="0" collapsed="false">
      <c r="A14" s="9" t="s">
        <v>1135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2026-10-16T11:49:27Z</dcterms:created>
  <dc:creator>openpyxl</dc:creator>
  <dc:description/>
  <dc:language>en-US</dc:language>
  <cp:lastModifiedBy/>
  <dcterms:modified xsi:type="dcterms:W3CDTF">2026-10-16T11:49:28Z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