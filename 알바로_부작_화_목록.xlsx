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부작 목록" sheetId="1" state="visible" r:id="rId1"/>
    <sheet xmlns:r="http://schemas.openxmlformats.org/officeDocument/2006/relationships" name="화 목록" sheetId="2" state="visible" r:id="rId2"/>
    <sheet xmlns:r="http://schemas.openxmlformats.org/officeDocument/2006/relationships" name="설명" sheetId="3" state="visible" r:id="rId3"/>
  </sheets>
  <definedNames>
    <definedName name="_xlnm._FilterDatabase" localSheetId="0" hidden="1">'부작 목록'!$A$1:$I$66</definedName>
    <definedName name="_xlnm._FilterDatabase" localSheetId="1" hidden="1">'화 목록'!$A$1:$G$981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WenQuanYi Zen Hei"/>
      <family val="2"/>
      <b val="1"/>
      <color rgb="FFFFFFFF"/>
      <sz val="11"/>
    </font>
    <font>
      <name val="Arial"/>
      <charset val="1"/>
      <family val="0"/>
      <b val="1"/>
      <color rgb="FFFFFFFF"/>
      <sz val="11"/>
    </font>
    <font>
      <name val="Arial"/>
      <charset val="1"/>
      <family val="0"/>
      <sz val="11"/>
    </font>
    <font>
      <name val="WenQuanYi Zen Hei"/>
      <family val="2"/>
      <sz val="11"/>
    </font>
    <font>
      <name val="Arial"/>
      <charset val="1"/>
      <family val="0"/>
      <color rgb="FF0000FF"/>
      <sz val="11"/>
    </font>
    <font>
      <name val="WenQuanYi Zen Hei"/>
      <family val="2"/>
      <b val="1"/>
      <sz val="11"/>
    </font>
    <font>
      <name val="Arial"/>
      <charset val="1"/>
      <family val="0"/>
      <b val="1"/>
      <sz val="11"/>
    </font>
  </fonts>
  <fills count="3">
    <fill>
      <patternFill/>
    </fill>
    <fill>
      <patternFill patternType="gray125"/>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97"/>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22" customWidth="1" style="10" min="2" max="2"/>
    <col width="36" customWidth="1" style="10" min="3" max="3"/>
    <col width="8" customWidth="1" style="10" min="4" max="6"/>
    <col width="12" customWidth="1" style="10" min="7" max="7"/>
    <col width="70" customWidth="1" style="10" min="8" max="8"/>
    <col width="22" customWidth="1" style="10" min="9" max="9"/>
  </cols>
  <sheetData>
    <row r="1" ht="31.5" customHeight="1" s="11">
      <c r="A1" s="12" t="inlineStr">
        <is>
          <t>부작 번호</t>
        </is>
      </c>
      <c r="B1" s="12" t="inlineStr">
        <is>
          <t>파트</t>
        </is>
      </c>
      <c r="C1" s="12" t="inlineStr">
        <is>
          <t>부작 제목</t>
        </is>
      </c>
      <c r="D1" s="12" t="inlineStr">
        <is>
          <t>시작 화</t>
        </is>
      </c>
      <c r="E1" s="12" t="inlineStr">
        <is>
          <t>끝 화</t>
        </is>
      </c>
      <c r="F1" s="12" t="inlineStr">
        <is>
          <t>화 수</t>
        </is>
      </c>
      <c r="G1" s="12" t="inlineStr">
        <is>
          <t>대화 줄 수(근사)</t>
        </is>
      </c>
      <c r="H1" s="12" t="inlineStr">
        <is>
          <t>핵심 내용</t>
        </is>
      </c>
      <c r="I1" s="12" t="inlineStr">
        <is>
          <t>저장소 해설 폴더</t>
        </is>
      </c>
    </row>
    <row r="2" ht="28.35" customHeight="1" s="11">
      <c r="A2" s="13" t="n">
        <v>1</v>
      </c>
      <c r="B2" s="14" t="inlineStr">
        <is>
          <t>A 일상 회화</t>
        </is>
      </c>
      <c r="C2" s="15" t="inlineStr">
        <is>
          <t>식당 수다와 『리처』 토론</t>
        </is>
      </c>
      <c r="D2" s="16" t="n">
        <v>1</v>
      </c>
      <c r="E2" s="16" t="n">
        <v>7</v>
      </c>
      <c r="F2" s="13">
        <f>COUNTIF('화 목록'!$B$2:$B$1178,A2)</f>
        <v/>
      </c>
      <c r="G2" s="13">
        <f>SUMIF('화 목록'!$B$2:$B$1178,A2,'화 목록'!$F$2:$F$1178)</f>
        <v/>
      </c>
      <c r="H2" s="15" t="inlineStr">
        <is>
          <t>마드리드 식당·카페에서 하비에르와 알바로가 책·드라마·기사를 두고 나누는 40대 기자 친구의 일상 대화</t>
        </is>
      </c>
      <c r="I2" s="14" t="n"/>
    </row>
    <row r="3" ht="28.35" customHeight="1" s="11">
      <c r="A3" s="13" t="n">
        <v>2</v>
      </c>
      <c r="B3" s="14" t="inlineStr">
        <is>
          <t>A 일상 회화</t>
        </is>
      </c>
      <c r="C3" s="15" t="inlineStr">
        <is>
          <t>해안 불법 개발 탐사보도</t>
        </is>
      </c>
      <c r="D3" s="16" t="n">
        <v>8</v>
      </c>
      <c r="E3" s="16" t="n">
        <v>13</v>
      </c>
      <c r="F3" s="13">
        <f>COUNTIF('화 목록'!$B$2:$B$1178,A3)</f>
        <v/>
      </c>
      <c r="G3" s="13">
        <f>SUMIF('화 목록'!$B$2:$B$1178,A3,'화 목록'!$F$2:$F$1178)</f>
        <v/>
      </c>
      <c r="H3" s="15" t="inlineStr">
        <is>
          <t>불법 토지 개발 취재 전략, 제보자 인터뷰, 협박 전화, 국장실 논쟁, 기사 발행</t>
        </is>
      </c>
      <c r="I3" s="14" t="n"/>
    </row>
    <row r="4" ht="15" customHeight="1" s="11">
      <c r="A4" s="13" t="n">
        <v>3</v>
      </c>
      <c r="B4" s="14" t="inlineStr">
        <is>
          <t>A 일상 회화</t>
        </is>
      </c>
      <c r="C4" s="15" t="inlineStr">
        <is>
          <t>신문 기사 읽기 대화</t>
        </is>
      </c>
      <c r="D4" s="16" t="n">
        <v>14</v>
      </c>
      <c r="E4" s="16" t="n">
        <v>25</v>
      </c>
      <c r="F4" s="13">
        <f>COUNTIF('화 목록'!$B$2:$B$1178,A4)</f>
        <v/>
      </c>
      <c r="G4" s="13">
        <f>SUMIF('화 목록'!$B$2:$B$1178,A4,'화 목록'!$F$2:$F$1178)</f>
        <v/>
      </c>
      <c r="H4" s="15" t="inlineStr">
        <is>
          <t>엘 파이스·WSJ·엘 문도 기사를 읽으며 나누는 국제 정세·사회 이슈 토론</t>
        </is>
      </c>
      <c r="I4" s="14" t="n"/>
    </row>
    <row r="5" ht="28.35" customHeight="1" s="11">
      <c r="A5" s="13" t="n">
        <v>4</v>
      </c>
      <c r="B5" s="14" t="inlineStr">
        <is>
          <t>B 카를로스 사건집</t>
        </is>
      </c>
      <c r="C5" s="15" t="inlineStr">
        <is>
          <t>카디스 무기 밀매 잠입</t>
        </is>
      </c>
      <c r="D5" s="16" t="n">
        <v>26</v>
      </c>
      <c r="E5" s="16" t="n">
        <v>52</v>
      </c>
      <c r="F5" s="13">
        <f>COUNTIF('화 목록'!$B$2:$B$1178,A5)</f>
        <v/>
      </c>
      <c r="G5" s="13">
        <f>SUMIF('화 목록'!$B$2:$B$1178,A5,'화 목록'!$F$2:$F$1178)</f>
        <v/>
      </c>
      <c r="H5" s="17" t="inlineStr">
        <is>
          <t>CNI 카를로스와 재회, 위장 신분 디에고로 파비안 조직에 잠입, 카르타헤나·베네수엘라(루에다), 하비에르 제거 계획 저지</t>
        </is>
      </c>
      <c r="I5" s="14" t="n"/>
    </row>
    <row r="6" ht="15" customHeight="1" s="11">
      <c r="A6" s="13" t="n">
        <v>5</v>
      </c>
      <c r="B6" s="14" t="inlineStr">
        <is>
          <t>B 카를로스 사건집</t>
        </is>
      </c>
      <c r="C6" s="15" t="inlineStr">
        <is>
          <t>마드리드 경매장과 치무 황금 칼</t>
        </is>
      </c>
      <c r="D6" s="16" t="n">
        <v>53</v>
      </c>
      <c r="E6" s="16" t="n">
        <v>61</v>
      </c>
      <c r="F6" s="13">
        <f>COUNTIF('화 목록'!$B$2:$B$1178,A6)</f>
        <v/>
      </c>
      <c r="G6" s="13">
        <f>SUMIF('화 목록'!$B$2:$B$1178,A6,'화 목록'!$F$2:$F$1178)</f>
        <v/>
      </c>
      <c r="H6" s="15" t="inlineStr">
        <is>
          <t>위장 신분 다니엘로 유물 밀반출 조직에 잠입, 경매 당일 급습</t>
        </is>
      </c>
      <c r="I6" s="14" t="n"/>
    </row>
    <row r="7" ht="15" customHeight="1" s="11">
      <c r="A7" s="10" t="n">
        <v>6</v>
      </c>
      <c r="B7" s="10" t="inlineStr">
        <is>
          <t>B 카를로스 사건집</t>
        </is>
      </c>
      <c r="C7" s="10" t="inlineStr">
        <is>
          <t>후아코의 길: 남미 유물 밀매망</t>
        </is>
      </c>
      <c r="D7" s="10" t="n">
        <v>62</v>
      </c>
      <c r="E7" s="10" t="n">
        <v>85</v>
      </c>
      <c r="F7" s="10">
        <f>COUNTIF('화 목록'!$B$2:$B$1178,A7)</f>
        <v/>
      </c>
      <c r="G7" s="10">
        <f>SUMIF('화 목록'!$B$2:$B$1178,A7,'화 목록'!$F$2:$F$1178)</f>
        <v/>
      </c>
      <c r="H7" s="10" t="inlineStr">
        <is>
          <t>하르트만·라바예 오캄포 가짜 출처 추적, 볼리비아 코로마 직물, 페루 도굴꾼과 몬토야, 칠레 ZOFRI·에콰도르·콜롬비아 경로, 정정 보도, 제네바 자유항 압수, 몬토야 체포</t>
        </is>
      </c>
    </row>
    <row r="8" ht="28.35" customHeight="1" s="11">
      <c r="A8" s="13" t="n">
        <v>7</v>
      </c>
      <c r="B8" s="14" t="inlineStr">
        <is>
          <t>B 카를로스 사건집</t>
        </is>
      </c>
      <c r="C8" s="15" t="inlineStr">
        <is>
          <t>스페인-페루 유물 반환 협상</t>
        </is>
      </c>
      <c r="D8" s="16" t="n">
        <v>86</v>
      </c>
      <c r="E8" s="16" t="n">
        <v>90</v>
      </c>
      <c r="F8" s="13">
        <f>COUNTIF('화 목록'!$B$2:$B$1178,A8)</f>
        <v/>
      </c>
      <c r="G8" s="13">
        <f>SUMIF('화 목록'!$B$2:$B$1178,A8,'화 목록'!$F$2:$F$1178)</f>
        <v/>
      </c>
      <c r="H8" s="15" t="inlineStr">
        <is>
          <t>치무 칼 반환 이후 포괄적 반환 협상, 키푸 쟁점, 최종 서명</t>
        </is>
      </c>
      <c r="I8" s="14" t="n"/>
    </row>
    <row r="9" ht="15" customHeight="1" s="11">
      <c r="A9" s="13" t="n">
        <v>8</v>
      </c>
      <c r="B9" s="14" t="inlineStr">
        <is>
          <t>B 카를로스 사건집</t>
        </is>
      </c>
      <c r="C9" s="15" t="inlineStr">
        <is>
          <t>대마 합법화와 베르데갈 캐피털</t>
        </is>
      </c>
      <c r="D9" s="16" t="n">
        <v>91</v>
      </c>
      <c r="E9" s="16" t="n">
        <v>119</v>
      </c>
      <c r="F9" s="13">
        <f>COUNTIF('화 목록'!$B$2:$B$1178,A9)</f>
        <v/>
      </c>
      <c r="G9" s="13">
        <f>SUMIF('화 목록'!$B$2:$B$1178,A9,'화 목록'!$F$2:$F$1178)</f>
        <v/>
      </c>
      <c r="H9" s="15" t="inlineStr">
        <is>
          <t>정치인-투자펀드 금전 연결고리, 마르코 아길라르 신분 잠입, 카스타뇨·아리사 조직 와해</t>
        </is>
      </c>
      <c r="I9" s="14" t="n"/>
    </row>
    <row r="10" ht="15" customHeight="1" s="11">
      <c r="A10" s="13" t="n">
        <v>9</v>
      </c>
      <c r="B10" s="14" t="inlineStr">
        <is>
          <t>B 카를로스 사건집</t>
        </is>
      </c>
      <c r="C10" s="15" t="inlineStr">
        <is>
          <t>라몬 재판과 자금 추적</t>
        </is>
      </c>
      <c r="D10" s="16" t="n">
        <v>120</v>
      </c>
      <c r="E10" s="16" t="n">
        <v>141</v>
      </c>
      <c r="F10" s="13">
        <f>COUNTIF('화 목록'!$B$2:$B$1178,A10)</f>
        <v/>
      </c>
      <c r="G10" s="13">
        <f>SUMIF('화 목록'!$B$2:$B$1178,A10,'화 목록'!$F$2:$F$1178)</f>
        <v/>
      </c>
      <c r="H10" s="15" t="inlineStr">
        <is>
          <t>정치자금 세탁 추적, 청문회·재판, 증인 수아소 사망, 폭발 사건</t>
        </is>
      </c>
      <c r="I10" s="14" t="inlineStr">
        <is>
          <t>S2-라몬재판-자금추적</t>
        </is>
      </c>
    </row>
    <row r="11" ht="15" customHeight="1" s="11">
      <c r="A11" s="13" t="n">
        <v>10</v>
      </c>
      <c r="B11" s="14" t="inlineStr">
        <is>
          <t>B 카를로스 사건집</t>
        </is>
      </c>
      <c r="C11" s="15" t="inlineStr">
        <is>
          <t>명품 위조 조직</t>
        </is>
      </c>
      <c r="D11" s="16" t="n">
        <v>142</v>
      </c>
      <c r="E11" s="16" t="n">
        <v>148</v>
      </c>
      <c r="F11" s="13">
        <f>COUNTIF('화 목록'!$B$2:$B$1178,A11)</f>
        <v/>
      </c>
      <c r="G11" s="13">
        <f>SUMIF('화 목록'!$B$2:$B$1178,A11,'화 목록'!$F$2:$F$1178)</f>
        <v/>
      </c>
      <c r="H11" s="15" t="inlineStr">
        <is>
          <t>톰포드·스페인 명품 위조품 유통망 잠입과 생산 작업장 급습</t>
        </is>
      </c>
      <c r="I11" s="14" t="n"/>
    </row>
    <row r="12" ht="15" customHeight="1" s="11">
      <c r="A12" s="13" t="n">
        <v>11</v>
      </c>
      <c r="B12" s="14" t="inlineStr">
        <is>
          <t>B 카를로스 사건집</t>
        </is>
      </c>
      <c r="C12" s="15" t="inlineStr">
        <is>
          <t>의료관광 클리닉</t>
        </is>
      </c>
      <c r="D12" s="16" t="n">
        <v>149</v>
      </c>
      <c r="E12" s="16" t="n">
        <v>157</v>
      </c>
      <c r="F12" s="13">
        <f>COUNTIF('화 목록'!$B$2:$B$1178,A12)</f>
        <v/>
      </c>
      <c r="G12" s="13">
        <f>SUMIF('화 목록'!$B$2:$B$1178,A12,'화 목록'!$F$2:$F$1178)</f>
        <v/>
      </c>
      <c r="H12" s="15" t="inlineStr">
        <is>
          <t>가짜 백신·미허가 시술 클리닉 잠입, 시료 분석, 실소유주 추적</t>
        </is>
      </c>
      <c r="I12" s="14" t="inlineStr">
        <is>
          <t>S2-의료관광</t>
        </is>
      </c>
    </row>
    <row r="13" ht="15" customHeight="1" s="11">
      <c r="A13" s="13" t="n">
        <v>12</v>
      </c>
      <c r="B13" s="14" t="inlineStr">
        <is>
          <t>B 카를로스 사건집</t>
        </is>
      </c>
      <c r="C13" s="15" t="inlineStr">
        <is>
          <t>위기 대응 긴급자금 횡령</t>
        </is>
      </c>
      <c r="D13" s="16" t="n">
        <v>158</v>
      </c>
      <c r="E13" s="16" t="n">
        <v>165</v>
      </c>
      <c r="F13" s="13">
        <f>COUNTIF('화 목록'!$B$2:$B$1178,A13)</f>
        <v/>
      </c>
      <c r="G13" s="13">
        <f>SUMIF('화 목록'!$B$2:$B$1178,A13,'화 목록'!$F$2:$F$1178)</f>
        <v/>
      </c>
      <c r="H13" s="15" t="inlineStr">
        <is>
          <t>가상 자치도시 푸에르토 알토의 긴급자금 횡령 취재</t>
        </is>
      </c>
      <c r="I13" s="14" t="n"/>
    </row>
    <row r="14" ht="15" customHeight="1" s="11">
      <c r="A14" s="13" t="n">
        <v>13</v>
      </c>
      <c r="B14" s="14" t="inlineStr">
        <is>
          <t>B 카를로스 사건집</t>
        </is>
      </c>
      <c r="C14" s="15" t="inlineStr">
        <is>
          <t>북극 신항로 이중용도 밀수</t>
        </is>
      </c>
      <c r="D14" s="16" t="n">
        <v>166</v>
      </c>
      <c r="E14" s="16" t="n">
        <v>173</v>
      </c>
      <c r="F14" s="13">
        <f>COUNTIF('화 목록'!$B$2:$B$1178,A14)</f>
        <v/>
      </c>
      <c r="G14" s="13">
        <f>SUMIF('화 목록'!$B$2:$B$1178,A14,'화 목록'!$F$2:$F$1178)</f>
        <v/>
      </c>
      <c r="H14" s="15" t="inlineStr">
        <is>
          <t>노르티아 로히스티카 잠입, 화물 명세서 확보, 선적일 급습</t>
        </is>
      </c>
      <c r="I14" s="14" t="inlineStr">
        <is>
          <t>S2-북극항로</t>
        </is>
      </c>
    </row>
    <row r="15" ht="15" customHeight="1" s="11">
      <c r="A15" s="13" t="n">
        <v>14</v>
      </c>
      <c r="B15" s="14" t="inlineStr">
        <is>
          <t>B 카를로스 사건집</t>
        </is>
      </c>
      <c r="C15" s="17" t="inlineStr">
        <is>
          <t>AI 컴패니언 앱 사기</t>
        </is>
      </c>
      <c r="D15" s="16" t="n">
        <v>174</v>
      </c>
      <c r="E15" s="16" t="n">
        <v>180</v>
      </c>
      <c r="F15" s="13">
        <f>COUNTIF('화 목록'!$B$2:$B$1178,A15)</f>
        <v/>
      </c>
      <c r="G15" s="13">
        <f>SUMIF('화 목록'!$B$2:$B$1178,A15,'화 목록'!$F$2:$F$1178)</f>
        <v/>
      </c>
      <c r="H15" s="17" t="inlineStr">
        <is>
          <t>AI 동반자 앱을 이용한 정서적 포섭 사기와 소비자보호 당국 개입</t>
        </is>
      </c>
      <c r="I15" s="14" t="n"/>
    </row>
    <row r="16" ht="15" customHeight="1" s="11">
      <c r="A16" s="13" t="n">
        <v>15</v>
      </c>
      <c r="B16" s="14" t="inlineStr">
        <is>
          <t>B 카를로스 사건집</t>
        </is>
      </c>
      <c r="C16" s="15" t="inlineStr">
        <is>
          <t>반티아 재난 은폐 검증</t>
        </is>
      </c>
      <c r="D16" s="16" t="n">
        <v>181</v>
      </c>
      <c r="E16" s="16" t="n">
        <v>186</v>
      </c>
      <c r="F16" s="13">
        <f>COUNTIF('화 목록'!$B$2:$B$1178,A16)</f>
        <v/>
      </c>
      <c r="G16" s="13">
        <f>SUMIF('화 목록'!$B$2:$B$1178,A16,'화 목록'!$F$2:$F$1178)</f>
        <v/>
      </c>
      <c r="H16" s="15" t="inlineStr">
        <is>
          <t>위성사진·영상으로 가상국 반티아의 빙하 붕괴 피해 은폐를 검증하는 보도</t>
        </is>
      </c>
      <c r="I16" s="14" t="n"/>
    </row>
    <row r="17" ht="15" customHeight="1" s="11">
      <c r="A17" s="13" t="n">
        <v>16</v>
      </c>
      <c r="B17" s="14" t="inlineStr">
        <is>
          <t>B 카를로스 사건집</t>
        </is>
      </c>
      <c r="C17" s="15" t="inlineStr">
        <is>
          <t>야마이라 재건 리베이트</t>
        </is>
      </c>
      <c r="D17" s="16" t="n">
        <v>187</v>
      </c>
      <c r="E17" s="16" t="n">
        <v>192</v>
      </c>
      <c r="F17" s="13">
        <f>COUNTIF('화 목록'!$B$2:$B$1178,A17)</f>
        <v/>
      </c>
      <c r="G17" s="13">
        <f>SUMIF('화 목록'!$B$2:$B$1178,A17,'화 목록'!$F$2:$F$1178)</f>
        <v/>
      </c>
      <c r="H17" s="15" t="inlineStr">
        <is>
          <t>재건 붐 리베이트·자금세탁, 루에다 세계관 확장</t>
        </is>
      </c>
      <c r="I17" s="14" t="n"/>
    </row>
    <row r="18" ht="15" customHeight="1" s="11">
      <c r="A18" s="13" t="n">
        <v>17</v>
      </c>
      <c r="B18" s="14" t="inlineStr">
        <is>
          <t>B 카를로스 사건집</t>
        </is>
      </c>
      <c r="C18" s="15" t="inlineStr">
        <is>
          <t>아이슬란드 어업 쿼터 재협상(1)</t>
        </is>
      </c>
      <c r="D18" s="16" t="n">
        <v>193</v>
      </c>
      <c r="E18" s="16" t="n">
        <v>195</v>
      </c>
      <c r="F18" s="13">
        <f>COUNTIF('화 목록'!$B$2:$B$1178,A18)</f>
        <v/>
      </c>
      <c r="G18" s="13">
        <f>SUMIF('화 목록'!$B$2:$B$1178,A18,'화 목록'!$F$2:$F$1178)</f>
        <v/>
      </c>
      <c r="H18" s="15" t="inlineStr">
        <is>
          <t>스페인-아이슬란드 어획 쿼터 협상 취재</t>
        </is>
      </c>
      <c r="I18" s="14" t="n"/>
    </row>
    <row r="19" ht="15" customHeight="1" s="11">
      <c r="A19" s="13" t="n">
        <v>18</v>
      </c>
      <c r="B19" s="14" t="inlineStr">
        <is>
          <t>B 카를로스 사건집</t>
        </is>
      </c>
      <c r="C19" s="15" t="inlineStr">
        <is>
          <t>가짜 자선단체 기부금 횡령(1)</t>
        </is>
      </c>
      <c r="D19" s="16" t="n">
        <v>196</v>
      </c>
      <c r="E19" s="16" t="n">
        <v>200</v>
      </c>
      <c r="F19" s="13">
        <f>COUNTIF('화 목록'!$B$2:$B$1178,A19)</f>
        <v/>
      </c>
      <c r="G19" s="13">
        <f>SUMIF('화 목록'!$B$2:$B$1178,A19,'화 목록'!$F$2:$F$1178)</f>
        <v/>
      </c>
      <c r="H19" s="15" t="inlineStr">
        <is>
          <t>어린이 의료지원 명목 자선단체의 기부금 횡령 취재</t>
        </is>
      </c>
      <c r="I19" s="14" t="n"/>
    </row>
    <row r="20" ht="28.35" customHeight="1" s="11">
      <c r="A20" s="13" t="n">
        <v>19</v>
      </c>
      <c r="B20" s="14" t="inlineStr">
        <is>
          <t>B 카를로스 사건집</t>
        </is>
      </c>
      <c r="C20" s="15" t="inlineStr">
        <is>
          <t>푸에르토 수르 이주 긴급자금</t>
        </is>
      </c>
      <c r="D20" s="16" t="n">
        <v>201</v>
      </c>
      <c r="E20" s="16" t="n">
        <v>207</v>
      </c>
      <c r="F20" s="13">
        <f>COUNTIF('화 목록'!$B$2:$B$1178,A20)</f>
        <v/>
      </c>
      <c r="G20" s="13">
        <f>SUMIF('화 목록'!$B$2:$B$1178,A20,'화 목록'!$F$2:$F$1178)</f>
        <v/>
      </c>
      <c r="H20" s="15" t="inlineStr">
        <is>
          <t>이주 위기 대응 긴급자금의 수상한 집행, 물류업체 위장, 체포와 보도</t>
        </is>
      </c>
      <c r="I20" s="14" t="n"/>
    </row>
    <row r="21" ht="15" customHeight="1" s="11">
      <c r="A21" s="13" t="n">
        <v>20</v>
      </c>
      <c r="B21" s="14" t="inlineStr">
        <is>
          <t>B 카를로스 사건집</t>
        </is>
      </c>
      <c r="C21" s="15" t="inlineStr">
        <is>
          <t>원전 설계도 유출(페냐 알타)</t>
        </is>
      </c>
      <c r="D21" s="16" t="n">
        <v>208</v>
      </c>
      <c r="E21" s="16" t="n">
        <v>223</v>
      </c>
      <c r="F21" s="13">
        <f>COUNTIF('화 목록'!$B$2:$B$1178,A21)</f>
        <v/>
      </c>
      <c r="G21" s="13">
        <f>SUMIF('화 목록'!$B$2:$B$1178,A21,'화 목록'!$F$2:$F$1178)</f>
        <v/>
      </c>
      <c r="H21" s="15" t="inlineStr">
        <is>
          <t>국가안보급 사건, 보안 감사 위장, CNI 접선 현장 급습, 보도 불가 확인</t>
        </is>
      </c>
      <c r="I21" s="14" t="n"/>
    </row>
    <row r="22" ht="15" customHeight="1" s="11">
      <c r="A22" s="13" t="n">
        <v>21</v>
      </c>
      <c r="B22" s="14" t="inlineStr">
        <is>
          <t>B 카를로스 사건집</t>
        </is>
      </c>
      <c r="C22" s="15" t="inlineStr">
        <is>
          <t>몬테알토 와이너리 원산지 위조</t>
        </is>
      </c>
      <c r="D22" s="16" t="n">
        <v>224</v>
      </c>
      <c r="E22" s="16" t="n">
        <v>229</v>
      </c>
      <c r="F22" s="13">
        <f>COUNTIF('화 목록'!$B$2:$B$1178,A22)</f>
        <v/>
      </c>
      <c r="G22" s="13">
        <f>SUMIF('화 목록'!$B$2:$B$1178,A22,'화 목록'!$F$2:$F$1178)</f>
        <v/>
      </c>
      <c r="H22" s="15" t="inlineStr">
        <is>
          <t>저가 포도주를 고급 D.O. 인증으로 속인 사건과 규제위원회 조사</t>
        </is>
      </c>
      <c r="I22" s="14" t="n"/>
    </row>
    <row r="23" ht="28.35" customHeight="1" s="11">
      <c r="A23" s="13" t="n">
        <v>22</v>
      </c>
      <c r="B23" s="14" t="inlineStr">
        <is>
          <t>B 카를로스 사건집</t>
        </is>
      </c>
      <c r="C23" s="15" t="inlineStr">
        <is>
          <t>역외 페이퍼컴퍼니 탈세 네트워크</t>
        </is>
      </c>
      <c r="D23" s="16" t="n">
        <v>230</v>
      </c>
      <c r="E23" s="16" t="n">
        <v>246</v>
      </c>
      <c r="F23" s="13">
        <f>COUNTIF('화 목록'!$B$2:$B$1178,A23)</f>
        <v/>
      </c>
      <c r="G23" s="13">
        <f>SUMIF('화 목록'!$B$2:$B$1178,A23,'화 목록'!$F$2:$F$1178)</f>
        <v/>
      </c>
      <c r="H23" s="15" t="inlineStr">
        <is>
          <t>알레한드로 푸익 신분으로 페란 사무실 잠입, 제네바 은행 정보, 압수수색</t>
        </is>
      </c>
      <c r="I23" s="14" t="n"/>
    </row>
    <row r="24" ht="15" customHeight="1" s="11">
      <c r="A24" s="13" t="n">
        <v>23</v>
      </c>
      <c r="B24" s="14" t="inlineStr">
        <is>
          <t>B 카를로스 사건집</t>
        </is>
      </c>
      <c r="C24" s="15" t="inlineStr">
        <is>
          <t>에스키벨 전 장관 협박과 후속 보도</t>
        </is>
      </c>
      <c r="D24" s="16" t="n">
        <v>247</v>
      </c>
      <c r="E24" s="16" t="n">
        <v>272</v>
      </c>
      <c r="F24" s="13">
        <f>COUNTIF('화 목록'!$B$2:$B$1178,A24)</f>
        <v/>
      </c>
      <c r="G24" s="13">
        <f>SUMIF('화 목록'!$B$2:$B$1178,A24,'화 목록'!$F$2:$F$1178)</f>
        <v/>
      </c>
      <c r="H24" s="15" t="inlineStr">
        <is>
          <t>특종 이후 협박 전화, 리히텐슈타인 신탁, 제보자 펠리시아노, 스위스 공조, 입건</t>
        </is>
      </c>
      <c r="I24" s="14" t="n"/>
    </row>
    <row r="25" ht="15" customHeight="1" s="11">
      <c r="A25" s="13" t="n">
        <v>24</v>
      </c>
      <c r="B25" s="14" t="inlineStr">
        <is>
          <t>B 카를로스 사건집</t>
        </is>
      </c>
      <c r="C25" s="15" t="inlineStr">
        <is>
          <t>가짜 주권 클라우드</t>
        </is>
      </c>
      <c r="D25" s="16" t="n">
        <v>273</v>
      </c>
      <c r="E25" s="16" t="n">
        <v>298</v>
      </c>
      <c r="F25" s="13">
        <f>COUNTIF('화 목록'!$B$2:$B$1178,A25)</f>
        <v/>
      </c>
      <c r="G25" s="13">
        <f>SUMIF('화 목록'!$B$2:$B$1178,A25,'화 목록'!$F$2:$F$1178)</f>
        <v/>
      </c>
      <c r="H25" s="17" t="inlineStr">
        <is>
          <t>EU 역내 저장을 내세운 클라우드 기업 잠입, 누베 이베리카 급습, 3국 공조 수사</t>
        </is>
      </c>
      <c r="I25" s="14" t="n"/>
    </row>
    <row r="26" ht="15" customHeight="1" s="11">
      <c r="A26" s="13" t="n">
        <v>25</v>
      </c>
      <c r="B26" s="14" t="inlineStr">
        <is>
          <t>B 카를로스 사건집</t>
        </is>
      </c>
      <c r="C26" s="15" t="inlineStr">
        <is>
          <t>농장 이주노동자 강제노동</t>
        </is>
      </c>
      <c r="D26" s="16" t="n">
        <v>299</v>
      </c>
      <c r="E26" s="16" t="n">
        <v>326</v>
      </c>
      <c r="F26" s="13">
        <f>COUNTIF('화 목록'!$B$2:$B$1178,A26)</f>
        <v/>
      </c>
      <c r="G26" s="13">
        <f>SUMIF('화 목록'!$B$2:$B$1178,A26,'화 목록'!$F$2:$F$1178)</f>
        <v/>
      </c>
      <c r="H26" s="15" t="inlineStr">
        <is>
          <t>마놀로 이바라 신분으로 농장에 잠입, 부상자 병원 이송, 급습, 재판</t>
        </is>
      </c>
      <c r="I26" s="14" t="n"/>
    </row>
    <row r="27" ht="15" customHeight="1" s="11">
      <c r="A27" s="13" t="n">
        <v>26</v>
      </c>
      <c r="B27" s="14" t="inlineStr">
        <is>
          <t>B 카를로스 사건집</t>
        </is>
      </c>
      <c r="C27" s="15" t="inlineStr">
        <is>
          <t>콜롬비아-스페인 마약 조직 잠입</t>
        </is>
      </c>
      <c r="D27" s="16" t="n">
        <v>327</v>
      </c>
      <c r="E27" s="16" t="n">
        <v>359</v>
      </c>
      <c r="F27" s="13">
        <f>COUNTIF('화 목록'!$B$2:$B$1178,A27)</f>
        <v/>
      </c>
      <c r="G27" s="13">
        <f>SUMIF('화 목록'!$B$2:$B$1178,A27,'화 목록'!$F$2:$F$1178)</f>
        <v/>
      </c>
      <c r="H27" s="15" t="inlineStr">
        <is>
          <t>리고베르토 조직 잠입, 카밀라와의 협력, 탈출, 재판과 판결</t>
        </is>
      </c>
      <c r="I27" s="14" t="inlineStr">
        <is>
          <t>S2-마약조직</t>
        </is>
      </c>
    </row>
    <row r="28" ht="15" customHeight="1" s="11">
      <c r="A28" s="13" t="n">
        <v>27</v>
      </c>
      <c r="B28" s="14" t="inlineStr">
        <is>
          <t>C EU 로비</t>
        </is>
      </c>
      <c r="C28" s="17" t="inlineStr">
        <is>
          <t>EU 브뤼셀 로비 네트워크</t>
        </is>
      </c>
      <c r="D28" s="16" t="n">
        <v>360</v>
      </c>
      <c r="E28" s="16" t="n">
        <v>443</v>
      </c>
      <c r="F28" s="13">
        <f>COUNTIF('화 목록'!$B$2:$B$1178,A28)</f>
        <v/>
      </c>
      <c r="G28" s="13">
        <f>SUMIF('화 목록'!$B$2:$B$1178,A28,'화 목록'!$F$2:$F$1178)</f>
        <v/>
      </c>
      <c r="H28" s="15" t="inlineStr">
        <is>
          <t>카밀라 위장 접근, 로셀요 도주·카살스 체포, 재판·후일담, 제보자 마르턴, 제네바 잠입, 아일랜드·니스 추적, 독일 확대 예고</t>
        </is>
      </c>
      <c r="I28" s="14" t="inlineStr">
        <is>
          <t>S2-EU로비</t>
        </is>
      </c>
    </row>
    <row r="29" ht="28.35" customHeight="1" s="11">
      <c r="A29" s="13" t="n">
        <v>28</v>
      </c>
      <c r="B29" s="14" t="inlineStr">
        <is>
          <t>D 엘 아르키텍토 추적</t>
        </is>
      </c>
      <c r="C29" s="15" t="inlineStr">
        <is>
          <t>스페인 중앙은행 공작</t>
        </is>
      </c>
      <c r="D29" s="16" t="n">
        <v>444</v>
      </c>
      <c r="E29" s="16" t="n">
        <v>468</v>
      </c>
      <c r="F29" s="13">
        <f>COUNTIF('화 목록'!$B$2:$B$1178,A29)</f>
        <v/>
      </c>
      <c r="G29" s="13">
        <f>SUMIF('화 목록'!$B$2:$B$1178,A29,'화 목록'!$F$2:$F$1178)</f>
        <v/>
      </c>
      <c r="H29" s="15" t="inlineStr">
        <is>
          <t>알바로 단독 작전, 토마스 브라보 신분으로 은행 잠입, 이사회 투표일 대응</t>
        </is>
      </c>
      <c r="I29" s="14" t="n"/>
    </row>
    <row r="30" ht="28.35" customHeight="1" s="11">
      <c r="A30" s="13" t="n">
        <v>29</v>
      </c>
      <c r="B30" s="14" t="inlineStr">
        <is>
          <t>D 엘 아르키텍토 추적</t>
        </is>
      </c>
      <c r="C30" s="15" t="inlineStr">
        <is>
          <t>로셀요의 만찬 회유</t>
        </is>
      </c>
      <c r="D30" s="16" t="n">
        <v>469</v>
      </c>
      <c r="E30" s="16" t="n">
        <v>478</v>
      </c>
      <c r="F30" s="13">
        <f>COUNTIF('화 목록'!$B$2:$B$1178,A30)</f>
        <v/>
      </c>
      <c r="G30" s="13">
        <f>SUMIF('화 목록'!$B$2:$B$1178,A30,'화 목록'!$F$2:$F$1178)</f>
        <v/>
      </c>
      <c r="H30" s="15" t="inlineStr">
        <is>
          <t>로셀요가 직접 전화해 만찬 제안, 회유·협박, 보안 강화</t>
        </is>
      </c>
      <c r="I30" s="14" t="n"/>
    </row>
    <row r="31" ht="15" customHeight="1" s="11">
      <c r="A31" s="13" t="n">
        <v>30</v>
      </c>
      <c r="B31" s="14" t="inlineStr">
        <is>
          <t>D 엘 아르키텍토 추적</t>
        </is>
      </c>
      <c r="C31" s="15" t="inlineStr">
        <is>
          <t>사프란 원산지 사기</t>
        </is>
      </c>
      <c r="D31" s="16" t="n">
        <v>479</v>
      </c>
      <c r="E31" s="16" t="n">
        <v>487</v>
      </c>
      <c r="F31" s="13">
        <f>COUNTIF('화 목록'!$B$2:$B$1178,A31)</f>
        <v/>
      </c>
      <c r="G31" s="13">
        <f>SUMIF('화 목록'!$B$2:$B$1178,A31,'화 목록'!$F$2:$F$1178)</f>
        <v/>
      </c>
      <c r="H31" s="15" t="inlineStr">
        <is>
          <t>라만차 사프란 위조 유통업체 취재와 보도</t>
        </is>
      </c>
      <c r="I31" s="14" t="n"/>
    </row>
    <row r="32" ht="15" customHeight="1" s="11">
      <c r="A32" s="13" t="n">
        <v>31</v>
      </c>
      <c r="B32" s="14" t="inlineStr">
        <is>
          <t>D 엘 아르키텍토 추적</t>
        </is>
      </c>
      <c r="C32" s="15" t="inlineStr">
        <is>
          <t>루카와의 재회</t>
        </is>
      </c>
      <c r="D32" s="16" t="n">
        <v>488</v>
      </c>
      <c r="E32" s="16" t="n">
        <v>492</v>
      </c>
      <c r="F32" s="13">
        <f>COUNTIF('화 목록'!$B$2:$B$1178,A32)</f>
        <v/>
      </c>
      <c r="G32" s="13">
        <f>SUMIF('화 목록'!$B$2:$B$1178,A32,'화 목록'!$F$2:$F$1178)</f>
        <v/>
      </c>
      <c r="H32" s="15" t="inlineStr">
        <is>
          <t>사건 없는 우정 에피소드</t>
        </is>
      </c>
      <c r="I32" s="14" t="n"/>
    </row>
    <row r="33" ht="28.35" customHeight="1" s="11">
      <c r="A33" s="13" t="n">
        <v>32</v>
      </c>
      <c r="B33" s="14" t="inlineStr">
        <is>
          <t>D 엘 아르키텍토 추적</t>
        </is>
      </c>
      <c r="C33" s="15" t="inlineStr">
        <is>
          <t>무기 밀매와 자금세탁 설계자 로셀요</t>
        </is>
      </c>
      <c r="D33" s="16" t="n">
        <v>493</v>
      </c>
      <c r="E33" s="16" t="n">
        <v>506</v>
      </c>
      <c r="F33" s="13">
        <f>COUNTIF('화 목록'!$B$2:$B$1178,A33)</f>
        <v/>
      </c>
      <c r="G33" s="13">
        <f>SUMIF('화 목록'!$B$2:$B$1178,A33,'화 목록'!$F$2:$F$1178)</f>
        <v/>
      </c>
      <c r="H33" s="15" t="inlineStr">
        <is>
          <t>브루노 베테르그렌 신분 잠입, 발렌시아·카르타헤나 항구 급습</t>
        </is>
      </c>
      <c r="I33" s="14" t="n"/>
    </row>
    <row r="34" ht="15" customHeight="1" s="11">
      <c r="A34" s="13" t="n">
        <v>33</v>
      </c>
      <c r="B34" s="14" t="inlineStr">
        <is>
          <t>D 엘 아르키텍토 추적</t>
        </is>
      </c>
      <c r="C34" s="15" t="inlineStr">
        <is>
          <t>칸타브리아 저택 취재와 출판 계약</t>
        </is>
      </c>
      <c r="D34" s="16" t="n">
        <v>507</v>
      </c>
      <c r="E34" s="16" t="n">
        <v>532</v>
      </c>
      <c r="F34" s="13">
        <f>COUNTIF('화 목록'!$B$2:$B$1178,A34)</f>
        <v/>
      </c>
      <c r="G34" s="13">
        <f>SUMIF('화 목록'!$B$2:$B$1178,A34,'화 목록'!$F$2:$F$1178)</f>
        <v/>
      </c>
      <c r="H34" s="15" t="inlineStr">
        <is>
          <t>로셀요 연결 부동산 단독 취재, 도밍고·안셀모, 출판 계약</t>
        </is>
      </c>
      <c r="I34" s="14" t="n"/>
    </row>
    <row r="35" ht="15" customHeight="1" s="11">
      <c r="A35" s="13" t="n">
        <v>34</v>
      </c>
      <c r="B35" s="14" t="inlineStr">
        <is>
          <t>E 빅토르 안전가옥 세션</t>
        </is>
      </c>
      <c r="C35" s="15" t="inlineStr">
        <is>
          <t>빅토르의 접선과 망명</t>
        </is>
      </c>
      <c r="D35" s="16" t="n">
        <v>533</v>
      </c>
      <c r="E35" s="16" t="n">
        <v>542</v>
      </c>
      <c r="F35" s="13">
        <f>COUNTIF('화 목록'!$B$2:$B$1178,A35)</f>
        <v/>
      </c>
      <c r="G35" s="13">
        <f>SUMIF('화 목록'!$B$2:$B$1178,A35,'화 목록'!$F$2:$F$1178)</f>
        <v/>
      </c>
      <c r="H35" s="15" t="inlineStr">
        <is>
          <t>해외 정보기관 요원 빅토르의 암호화 메시지, 정황 검증, CNI 보호</t>
        </is>
      </c>
      <c r="I35" s="14" t="n"/>
    </row>
    <row r="36" ht="15" customHeight="1" s="11">
      <c r="A36" s="13" t="n">
        <v>35</v>
      </c>
      <c r="B36" s="14" t="inlineStr">
        <is>
          <t>E 빅토르 안전가옥 세션</t>
        </is>
      </c>
      <c r="C36" s="15" t="inlineStr">
        <is>
          <t>신빙성 검증: 임플란트와 산타클로스 작전</t>
        </is>
      </c>
      <c r="D36" s="16" t="n">
        <v>543</v>
      </c>
      <c r="E36" s="16" t="n">
        <v>569</v>
      </c>
      <c r="F36" s="13">
        <f>COUNTIF('화 목록'!$B$2:$B$1178,A36)</f>
        <v/>
      </c>
      <c r="G36" s="13">
        <f>SUMIF('화 목록'!$B$2:$B$1178,A36,'화 목록'!$F$2:$F$1178)</f>
        <v/>
      </c>
      <c r="H36" s="15" t="inlineStr">
        <is>
          <t>종결 작전부터 검증, 하드웨어 임플란트, 산타클로스 작전</t>
        </is>
      </c>
      <c r="I36" s="14" t="n"/>
    </row>
    <row r="37" ht="15" customHeight="1" s="11">
      <c r="A37" s="13" t="n">
        <v>36</v>
      </c>
      <c r="B37" s="14" t="inlineStr">
        <is>
          <t>E 빅토르 안전가옥 세션</t>
        </is>
      </c>
      <c r="C37" s="15" t="inlineStr">
        <is>
          <t>아담과 이브 작전</t>
        </is>
      </c>
      <c r="D37" s="16" t="n">
        <v>570</v>
      </c>
      <c r="E37" s="16" t="n">
        <v>580</v>
      </c>
      <c r="F37" s="13">
        <f>COUNTIF('화 목록'!$B$2:$B$1178,A37)</f>
        <v/>
      </c>
      <c r="G37" s="13">
        <f>SUMIF('화 목록'!$B$2:$B$1178,A37,'화 목록'!$F$2:$F$1178)</f>
        <v/>
      </c>
      <c r="H37" s="15" t="inlineStr">
        <is>
          <t>위장 신원 구축, 요원 훈련과 이탈 과정</t>
        </is>
      </c>
      <c r="I37" s="14" t="n"/>
    </row>
    <row r="38" ht="15" customHeight="1" s="11">
      <c r="A38" s="13" t="n">
        <v>37</v>
      </c>
      <c r="B38" s="14" t="inlineStr">
        <is>
          <t>E 빅토르 안전가옥 세션</t>
        </is>
      </c>
      <c r="C38" s="15" t="inlineStr">
        <is>
          <t>알시온 작전: 로셀요의 기원</t>
        </is>
      </c>
      <c r="D38" s="16" t="n">
        <v>581</v>
      </c>
      <c r="E38" s="16" t="n">
        <v>597</v>
      </c>
      <c r="F38" s="13">
        <f>COUNTIF('화 목록'!$B$2:$B$1178,A38)</f>
        <v/>
      </c>
      <c r="G38" s="13">
        <f>SUMIF('화 목록'!$B$2:$B$1178,A38,'화 목록'!$F$2:$F$1178)</f>
        <v/>
      </c>
      <c r="H38" s="15" t="inlineStr">
        <is>
          <t>로셀요의 기원과 후보 6명의 운명</t>
        </is>
      </c>
      <c r="I38" s="14" t="n"/>
    </row>
    <row r="39" ht="15" customHeight="1" s="11">
      <c r="A39" s="13" t="n">
        <v>38</v>
      </c>
      <c r="B39" s="14" t="inlineStr">
        <is>
          <t>E 빅토르 안전가옥 세션</t>
        </is>
      </c>
      <c r="C39" s="15" t="inlineStr">
        <is>
          <t>엘 아르키텍토 프로그램</t>
        </is>
      </c>
      <c r="D39" s="16" t="n">
        <v>598</v>
      </c>
      <c r="E39" s="16" t="n">
        <v>636</v>
      </c>
      <c r="F39" s="13">
        <f>COUNTIF('화 목록'!$B$2:$B$1178,A39)</f>
        <v/>
      </c>
      <c r="G39" s="13">
        <f>SUMIF('화 목록'!$B$2:$B$1178,A39,'화 목록'!$F$2:$F$1178)</f>
        <v/>
      </c>
      <c r="H39" s="15" t="inlineStr">
        <is>
          <t>후계자 양성 프로그램의 구조와 실패, 로셀요 인물 분석</t>
        </is>
      </c>
      <c r="I39" s="14" t="n"/>
    </row>
    <row r="40" ht="15" customHeight="1" s="11">
      <c r="A40" s="13" t="n">
        <v>39</v>
      </c>
      <c r="B40" s="14" t="inlineStr">
        <is>
          <t>E 빅토르 안전가옥 세션</t>
        </is>
      </c>
      <c r="C40" s="15" t="inlineStr">
        <is>
          <t>크리스탈·코리엔테 수르·영원의 도서관</t>
        </is>
      </c>
      <c r="D40" s="16" t="n">
        <v>637</v>
      </c>
      <c r="E40" s="16" t="n">
        <v>640</v>
      </c>
      <c r="F40" s="13">
        <f>COUNTIF('화 목록'!$B$2:$B$1178,A40)</f>
        <v/>
      </c>
      <c r="G40" s="13">
        <f>SUMIF('화 목록'!$B$2:$B$1178,A40,'화 목록'!$F$2:$F$1178)</f>
        <v/>
      </c>
      <c r="H40" s="15" t="inlineStr">
        <is>
          <t>활성 작전과 빅토르의 옛 기관이 직접 설계한 작전들</t>
        </is>
      </c>
      <c r="I40" s="14" t="n"/>
    </row>
    <row r="41" ht="28.35" customHeight="1" s="11">
      <c r="A41" s="13" t="n">
        <v>40</v>
      </c>
      <c r="B41" s="14" t="inlineStr">
        <is>
          <t>E 빅토르 안전가옥 세션</t>
        </is>
      </c>
      <c r="C41" s="15" t="inlineStr">
        <is>
          <t>로셀요의 점심 회유</t>
        </is>
      </c>
      <c r="D41" s="16" t="n">
        <v>641</v>
      </c>
      <c r="E41" s="16" t="n">
        <v>643</v>
      </c>
      <c r="F41" s="13">
        <f>COUNTIF('화 목록'!$B$2:$B$1178,A41)</f>
        <v/>
      </c>
      <c r="G41" s="13">
        <f>SUMIF('화 목록'!$B$2:$B$1178,A41,'화 목록'!$F$2:$F$1178)</f>
        <v/>
      </c>
      <c r="H41" s="15" t="inlineStr">
        <is>
          <t>카밀라와 함께한 로셀요와의 점심, 2인자 제안 거절, CNI 미행 실패</t>
        </is>
      </c>
      <c r="I41" s="14" t="n"/>
    </row>
    <row r="42" ht="15" customHeight="1" s="11">
      <c r="A42" s="13" t="n">
        <v>41</v>
      </c>
      <c r="B42" s="14" t="inlineStr">
        <is>
          <t>E 빅토르 안전가옥 세션</t>
        </is>
      </c>
      <c r="C42" s="15" t="inlineStr">
        <is>
          <t>둠루프 작전</t>
        </is>
      </c>
      <c r="D42" s="16" t="n">
        <v>644</v>
      </c>
      <c r="E42" s="16" t="n">
        <v>653</v>
      </c>
      <c r="F42" s="13">
        <f>COUNTIF('화 목록'!$B$2:$B$1178,A42)</f>
        <v/>
      </c>
      <c r="G42" s="13">
        <f>SUMIF('화 목록'!$B$2:$B$1178,A42,'화 목록'!$F$2:$F$1178)</f>
        <v/>
      </c>
      <c r="H42" s="15" t="inlineStr">
        <is>
          <t>금융시장 공황 유발 작전과 은행 감독 대응</t>
        </is>
      </c>
      <c r="I42" s="14" t="n"/>
    </row>
    <row r="43" ht="15" customHeight="1" s="11">
      <c r="A43" s="13" t="n">
        <v>42</v>
      </c>
      <c r="B43" s="14" t="inlineStr">
        <is>
          <t>E 빅토르 안전가옥 세션</t>
        </is>
      </c>
      <c r="C43" s="15" t="inlineStr">
        <is>
          <t>미네르바 작전</t>
        </is>
      </c>
      <c r="D43" s="16" t="n">
        <v>654</v>
      </c>
      <c r="E43" s="16" t="n">
        <v>655</v>
      </c>
      <c r="F43" s="13">
        <f>COUNTIF('화 목록'!$B$2:$B$1178,A43)</f>
        <v/>
      </c>
      <c r="G43" s="13">
        <f>SUMIF('화 목록'!$B$2:$B$1178,A43,'화 목록'!$F$2:$F$1178)</f>
        <v/>
      </c>
      <c r="H43" s="15" t="inlineStr">
        <is>
          <t>대학·국방연구소 장기 침투 첩보 프로그램</t>
        </is>
      </c>
      <c r="I43" s="14" t="n"/>
    </row>
    <row r="44" ht="15" customHeight="1" s="11">
      <c r="A44" s="13" t="n">
        <v>43</v>
      </c>
      <c r="B44" s="14" t="inlineStr">
        <is>
          <t>E 빅토르 안전가옥 세션</t>
        </is>
      </c>
      <c r="C44" s="15" t="inlineStr">
        <is>
          <t>북방의 교향곡</t>
        </is>
      </c>
      <c r="D44" s="16" t="n">
        <v>656</v>
      </c>
      <c r="E44" s="16" t="n">
        <v>661</v>
      </c>
      <c r="F44" s="13">
        <f>COUNTIF('화 목록'!$B$2:$B$1178,A44)</f>
        <v/>
      </c>
      <c r="G44" s="13">
        <f>SUMIF('화 목록'!$B$2:$B$1178,A44,'화 목록'!$F$2:$F$1178)</f>
        <v/>
      </c>
      <c r="H44" s="15" t="inlineStr">
        <is>
          <t>의회 표결 시점 봇 계정 물결의 정체와 대응</t>
        </is>
      </c>
      <c r="I44" s="14" t="n"/>
    </row>
    <row r="45" ht="28.35" customHeight="1" s="11">
      <c r="A45" s="13" t="n">
        <v>44</v>
      </c>
      <c r="B45" s="14" t="inlineStr">
        <is>
          <t>E 빅토르 안전가옥 세션</t>
        </is>
      </c>
      <c r="C45" s="15" t="inlineStr">
        <is>
          <t>바벨탑 작전</t>
        </is>
      </c>
      <c r="D45" s="16" t="n">
        <v>662</v>
      </c>
      <c r="E45" s="16" t="n">
        <v>672</v>
      </c>
      <c r="F45" s="13">
        <f>COUNTIF('화 목록'!$B$2:$B$1178,A45)</f>
        <v/>
      </c>
      <c r="G45" s="13">
        <f>SUMIF('화 목록'!$B$2:$B$1178,A45,'화 목록'!$F$2:$F$1178)</f>
        <v/>
      </c>
      <c r="H45" s="15" t="inlineStr">
        <is>
          <t>북방의 교향곡의 유럽 각국 언어 확장판, 폴란드·발트해</t>
        </is>
      </c>
      <c r="I45" s="14" t="n"/>
    </row>
    <row r="46" ht="15" customHeight="1" s="11">
      <c r="A46" s="13" t="n">
        <v>45</v>
      </c>
      <c r="B46" s="14" t="inlineStr">
        <is>
          <t>E 빅토르 안전가옥 세션</t>
        </is>
      </c>
      <c r="C46" s="15" t="inlineStr">
        <is>
          <t>마레아 작전</t>
        </is>
      </c>
      <c r="D46" s="16" t="n">
        <v>673</v>
      </c>
      <c r="E46" s="16" t="n">
        <v>683</v>
      </c>
      <c r="F46" s="13">
        <f>COUNTIF('화 목록'!$B$2:$B$1178,A46)</f>
        <v/>
      </c>
      <c r="G46" s="13">
        <f>SUMIF('화 목록'!$B$2:$B$1178,A46,'화 목록'!$F$2:$F$1178)</f>
        <v/>
      </c>
      <c r="H46" s="15" t="inlineStr">
        <is>
          <t>선거를 겨냥한 인프라 활용 작전과 조기경보 시스템, 의회 표결일 대응</t>
        </is>
      </c>
      <c r="I46" s="14" t="n"/>
    </row>
    <row r="47" ht="15" customHeight="1" s="11">
      <c r="A47" s="13" t="n">
        <v>46</v>
      </c>
      <c r="B47" s="14" t="inlineStr">
        <is>
          <t>E 빅토르 안전가옥 세션</t>
        </is>
      </c>
      <c r="C47" s="15" t="inlineStr">
        <is>
          <t>돈키호테 작전</t>
        </is>
      </c>
      <c r="D47" s="16" t="n">
        <v>684</v>
      </c>
      <c r="E47" s="16" t="n">
        <v>693</v>
      </c>
      <c r="F47" s="13">
        <f>COUNTIF('화 목록'!$B$2:$B$1178,A47)</f>
        <v/>
      </c>
      <c r="G47" s="13">
        <f>SUMIF('화 목록'!$B$2:$B$1178,A47,'화 목록'!$F$2:$F$1178)</f>
        <v/>
      </c>
      <c r="H47" s="15" t="inlineStr">
        <is>
          <t>알바로의 추적들이 의도된 기만이었다는 폭로</t>
        </is>
      </c>
      <c r="I47" s="14" t="n"/>
    </row>
    <row r="48" ht="15" customHeight="1" s="11">
      <c r="A48" s="13" t="n">
        <v>47</v>
      </c>
      <c r="B48" s="14" t="inlineStr">
        <is>
          <t>E 빅토르 안전가옥 세션</t>
        </is>
      </c>
      <c r="C48" s="15" t="inlineStr">
        <is>
          <t>자칼 작전</t>
        </is>
      </c>
      <c r="D48" s="16" t="n">
        <v>694</v>
      </c>
      <c r="E48" s="16" t="n">
        <v>704</v>
      </c>
      <c r="F48" s="13">
        <f>COUNTIF('화 목록'!$B$2:$B$1178,A48)</f>
        <v/>
      </c>
      <c r="G48" s="13">
        <f>SUMIF('화 목록'!$B$2:$B$1178,A48,'화 목록'!$F$2:$F$1178)</f>
        <v/>
      </c>
      <c r="H48" s="15" t="inlineStr">
        <is>
          <t>제거 전담팀, 라 세르피엔테, 미행과 역정찰</t>
        </is>
      </c>
      <c r="I48" s="14" t="n"/>
    </row>
    <row r="49" ht="15" customHeight="1" s="11">
      <c r="A49" s="13" t="n">
        <v>48</v>
      </c>
      <c r="B49" s="14" t="inlineStr">
        <is>
          <t>E 빅토르 안전가옥 세션</t>
        </is>
      </c>
      <c r="C49" s="15" t="inlineStr">
        <is>
          <t>파로 작전</t>
        </is>
      </c>
      <c r="D49" s="16" t="n">
        <v>705</v>
      </c>
      <c r="E49" s="16" t="n">
        <v>720</v>
      </c>
      <c r="F49" s="13">
        <f>COUNTIF('화 목록'!$B$2:$B$1178,A49)</f>
        <v/>
      </c>
      <c r="G49" s="13">
        <f>SUMIF('화 목록'!$B$2:$B$1178,A49,'화 목록'!$F$2:$F$1178)</f>
        <v/>
      </c>
      <c r="H49" s="15" t="inlineStr">
        <is>
          <t>문서로만 존재하는 재생에너지 인프라 장악 계획 저지</t>
        </is>
      </c>
      <c r="I49" s="14" t="n"/>
    </row>
    <row r="50" ht="15" customHeight="1" s="11">
      <c r="A50" s="13" t="n">
        <v>49</v>
      </c>
      <c r="B50" s="14" t="inlineStr">
        <is>
          <t>E 빅토르 안전가옥 세션</t>
        </is>
      </c>
      <c r="C50" s="15" t="inlineStr">
        <is>
          <t>불꽃 작전</t>
        </is>
      </c>
      <c r="D50" s="16" t="n">
        <v>721</v>
      </c>
      <c r="E50" s="16" t="n">
        <v>734</v>
      </c>
      <c r="F50" s="13">
        <f>COUNTIF('화 목록'!$B$2:$B$1178,A50)</f>
        <v/>
      </c>
      <c r="G50" s="13">
        <f>SUMIF('화 목록'!$B$2:$B$1178,A50,'화 목록'!$F$2:$F$1178)</f>
        <v/>
      </c>
      <c r="H50" s="15" t="inlineStr">
        <is>
          <t>증거·증인 소각 프로토콜 발동과 협력자 보호</t>
        </is>
      </c>
      <c r="I50" s="14" t="n"/>
    </row>
    <row r="51" ht="15" customHeight="1" s="11">
      <c r="A51" s="13" t="n">
        <v>50</v>
      </c>
      <c r="B51" s="14" t="inlineStr">
        <is>
          <t>E 빅토르 안전가옥 세션</t>
        </is>
      </c>
      <c r="C51" s="15" t="inlineStr">
        <is>
          <t>온라인 투자사기 리딩방</t>
        </is>
      </c>
      <c r="D51" s="16" t="n">
        <v>735</v>
      </c>
      <c r="E51" s="16" t="n">
        <v>759</v>
      </c>
      <c r="F51" s="13">
        <f>COUNTIF('화 목록'!$B$2:$B$1178,A51)</f>
        <v/>
      </c>
      <c r="G51" s="13">
        <f>SUMIF('화 목록'!$B$2:$B$1178,A51,'화 목록'!$F$2:$F$1178)</f>
        <v/>
      </c>
      <c r="H51" s="15" t="inlineStr">
        <is>
          <t>텔레그램 리딩방 사기, 필리핀 클리닉, 국제 재판, 피해자 지원기금</t>
        </is>
      </c>
      <c r="I51" s="14" t="n"/>
    </row>
    <row r="52" ht="15" customHeight="1" s="11">
      <c r="A52" s="13" t="n">
        <v>51</v>
      </c>
      <c r="B52" s="14" t="inlineStr">
        <is>
          <t>E 빅토르 안전가옥 세션</t>
        </is>
      </c>
      <c r="C52" s="15" t="inlineStr">
        <is>
          <t>제약회사 임상시험 조작</t>
        </is>
      </c>
      <c r="D52" s="16" t="n">
        <v>760</v>
      </c>
      <c r="E52" s="16" t="n">
        <v>784</v>
      </c>
      <c r="F52" s="13">
        <f>COUNTIF('화 목록'!$B$2:$B$1178,A52)</f>
        <v/>
      </c>
      <c r="G52" s="13">
        <f>SUMIF('화 목록'!$B$2:$B$1178,A52,'화 목록'!$F$2:$F$1178)</f>
        <v/>
      </c>
      <c r="H52" s="15" t="inlineStr">
        <is>
          <t>자금세탁 제약회사의 데이터 조작, 환자 피해, 재판</t>
        </is>
      </c>
      <c r="I52" s="14" t="n"/>
    </row>
    <row r="53" ht="15" customHeight="1" s="11">
      <c r="A53" s="13" t="n">
        <v>52</v>
      </c>
      <c r="B53" s="14" t="inlineStr">
        <is>
          <t>E 빅토르 안전가옥 세션</t>
        </is>
      </c>
      <c r="C53" s="15" t="inlineStr">
        <is>
          <t>예술품 위조 공방</t>
        </is>
      </c>
      <c r="D53" s="16" t="n">
        <v>785</v>
      </c>
      <c r="E53" s="16" t="n">
        <v>806</v>
      </c>
      <c r="F53" s="13">
        <f>COUNTIF('화 목록'!$B$2:$B$1178,A53)</f>
        <v/>
      </c>
      <c r="G53" s="13">
        <f>SUMIF('화 목록'!$B$2:$B$1178,A53,'화 목록'!$F$2:$F$1178)</f>
        <v/>
      </c>
      <c r="H53" s="15" t="inlineStr">
        <is>
          <t>론다 인근 위조 공방 급습, 에밀리오 면회와 재판</t>
        </is>
      </c>
      <c r="I53" s="14" t="n"/>
    </row>
    <row r="54" ht="15" customHeight="1" s="11">
      <c r="A54" s="13" t="n">
        <v>53</v>
      </c>
      <c r="B54" s="14" t="inlineStr">
        <is>
          <t>E 빅토르 안전가옥 세션</t>
        </is>
      </c>
      <c r="C54" s="15" t="inlineStr">
        <is>
          <t>푸른 열차 작전</t>
        </is>
      </c>
      <c r="D54" s="16" t="n">
        <v>807</v>
      </c>
      <c r="E54" s="16" t="n">
        <v>826</v>
      </c>
      <c r="F54" s="13">
        <f>COUNTIF('화 목록'!$B$2:$B$1178,A54)</f>
        <v/>
      </c>
      <c r="G54" s="13">
        <f>SUMIF('화 목록'!$B$2:$B$1178,A54,'화 목록'!$F$2:$F$1178)</f>
        <v/>
      </c>
      <c r="H54" s="15" t="inlineStr">
        <is>
          <t>로셀요 이동 패턴 추적, 밀라노역 목격, 감시 사이클</t>
        </is>
      </c>
      <c r="I54" s="14" t="n"/>
    </row>
    <row r="55" ht="15" customHeight="1" s="11">
      <c r="A55" s="13" t="n">
        <v>54</v>
      </c>
      <c r="B55" s="14" t="inlineStr">
        <is>
          <t>E 빅토르 안전가옥 세션</t>
        </is>
      </c>
      <c r="C55" s="15" t="inlineStr">
        <is>
          <t>묘지 작전</t>
        </is>
      </c>
      <c r="D55" s="16" t="n">
        <v>827</v>
      </c>
      <c r="E55" s="16" t="n">
        <v>846</v>
      </c>
      <c r="F55" s="13">
        <f>COUNTIF('화 목록'!$B$2:$B$1178,A55)</f>
        <v/>
      </c>
      <c r="G55" s="13">
        <f>SUMIF('화 목록'!$B$2:$B$1178,A55,'화 목록'!$F$2:$F$1178)</f>
        <v/>
      </c>
      <c r="H55" s="15" t="inlineStr">
        <is>
          <t>니스·제네바·루체른·칸타브리아 단서 재조사, 저택 금고 개봉</t>
        </is>
      </c>
      <c r="I55" s="14" t="n"/>
    </row>
    <row r="56" ht="15" customHeight="1" s="11">
      <c r="A56" s="13" t="n">
        <v>55</v>
      </c>
      <c r="B56" s="14" t="inlineStr">
        <is>
          <t>E 빅토르 안전가옥 세션</t>
        </is>
      </c>
      <c r="C56" s="15" t="inlineStr">
        <is>
          <t>바위 작전</t>
        </is>
      </c>
      <c r="D56" s="16" t="n">
        <v>847</v>
      </c>
      <c r="E56" s="16" t="n">
        <v>871</v>
      </c>
      <c r="F56" s="13">
        <f>COUNTIF('화 목록'!$B$2:$B$1178,A56)</f>
        <v/>
      </c>
      <c r="G56" s="13">
        <f>SUMIF('화 목록'!$B$2:$B$1178,A56,'화 목록'!$F$2:$F$1178)</f>
        <v/>
      </c>
      <c r="H56" s="15" t="inlineStr">
        <is>
          <t>루체른 인근 고정 거점 탐색, 교사 슈미트, 드론 정찰</t>
        </is>
      </c>
      <c r="I56" s="14" t="n"/>
    </row>
    <row r="57" ht="15" customHeight="1" s="11">
      <c r="A57" s="13" t="n">
        <v>56</v>
      </c>
      <c r="B57" s="14" t="inlineStr">
        <is>
          <t>E 빅토르 안전가옥 세션</t>
        </is>
      </c>
      <c r="C57" s="15" t="inlineStr">
        <is>
          <t>북극성 작전</t>
        </is>
      </c>
      <c r="D57" s="16" t="n">
        <v>872</v>
      </c>
      <c r="E57" s="16" t="n">
        <v>894</v>
      </c>
      <c r="F57" s="13">
        <f>COUNTIF('화 목록'!$B$2:$B$1178,A57)</f>
        <v/>
      </c>
      <c r="G57" s="13">
        <f>SUMIF('화 목록'!$B$2:$B$1178,A57,'화 목록'!$F$2:$F$1178)</f>
        <v/>
      </c>
      <c r="H57" s="15" t="inlineStr">
        <is>
          <t>검거 시점·방법 확정, 스위스·이탈리아 협조, 훈련</t>
        </is>
      </c>
      <c r="I57" s="14" t="n"/>
    </row>
    <row r="58" ht="15" customHeight="1" s="11">
      <c r="A58" s="13" t="n">
        <v>57</v>
      </c>
      <c r="B58" s="14" t="inlineStr">
        <is>
          <t>E 빅토르 안전가옥 세션</t>
        </is>
      </c>
      <c r="C58" s="15" t="inlineStr">
        <is>
          <t>성채 작전: 로셀요 검거</t>
        </is>
      </c>
      <c r="D58" s="16" t="n">
        <v>895</v>
      </c>
      <c r="E58" s="16" t="n">
        <v>932</v>
      </c>
      <c r="F58" s="13">
        <f>COUNTIF('화 목록'!$B$2:$B$1178,A58)</f>
        <v/>
      </c>
      <c r="G58" s="13">
        <f>SUMIF('화 목록'!$B$2:$B$1178,A58,'화 목록'!$F$2:$F$1178)</f>
        <v/>
      </c>
      <c r="H58" s="15" t="inlineStr">
        <is>
          <t>밀라노 포위 작전, 첫 실행 보류, 재실행 끝에 검거</t>
        </is>
      </c>
      <c r="I58" s="14" t="n"/>
    </row>
    <row r="59" ht="15" customHeight="1" s="11">
      <c r="A59" s="13" t="n">
        <v>58</v>
      </c>
      <c r="B59" s="14" t="inlineStr">
        <is>
          <t>E 빅토르 안전가옥 세션</t>
        </is>
      </c>
      <c r="C59" s="15" t="inlineStr">
        <is>
          <t>검거 이후</t>
        </is>
      </c>
      <c r="D59" s="16" t="n">
        <v>933</v>
      </c>
      <c r="E59" s="16" t="n">
        <v>949</v>
      </c>
      <c r="F59" s="13">
        <f>COUNTIF('화 목록'!$B$2:$B$1178,A59)</f>
        <v/>
      </c>
      <c r="G59" s="13">
        <f>SUMIF('화 목록'!$B$2:$B$1178,A59,'화 목록'!$F$2:$F$1178)</f>
        <v/>
      </c>
      <c r="H59" s="15" t="inlineStr">
        <is>
          <t>취리히 구금시설 면담, 협조 조건, 재판과 판결, 빅토르의 새 삶</t>
        </is>
      </c>
      <c r="I59" s="14" t="n"/>
    </row>
    <row r="60" ht="15" customHeight="1" s="11">
      <c r="A60" s="13" t="n">
        <v>59</v>
      </c>
      <c r="B60" s="14" t="inlineStr">
        <is>
          <t>E 빅토르 안전가옥 세션</t>
        </is>
      </c>
      <c r="C60" s="15" t="inlineStr">
        <is>
          <t>에필로그</t>
        </is>
      </c>
      <c r="D60" s="16" t="n">
        <v>950</v>
      </c>
      <c r="E60" s="16" t="n">
        <v>961</v>
      </c>
      <c r="F60" s="13">
        <f>COUNTIF('화 목록'!$B$2:$B$1178,A60)</f>
        <v/>
      </c>
      <c r="G60" s="13">
        <f>SUMIF('화 목록'!$B$2:$B$1178,A60,'화 목록'!$F$2:$F$1178)</f>
        <v/>
      </c>
      <c r="H60" s="15" t="inlineStr">
        <is>
          <t>최종 기사, 알바로와 카밀라의 미래, 보상기금, 시리즈 회고</t>
        </is>
      </c>
      <c r="I60" s="14" t="n"/>
    </row>
    <row r="61" ht="15" customHeight="1" s="11">
      <c r="A61" s="13" t="n">
        <v>60</v>
      </c>
      <c r="B61" s="14" t="inlineStr">
        <is>
          <t>E 빅토르 안전가옥 세션</t>
        </is>
      </c>
      <c r="C61" s="15" t="inlineStr">
        <is>
          <t>면회 시리즈</t>
        </is>
      </c>
      <c r="D61" s="16" t="n">
        <v>962</v>
      </c>
      <c r="E61" s="16" t="n">
        <v>985</v>
      </c>
      <c r="F61" s="13">
        <f>COUNTIF('화 목록'!$B$2:$B$1178,A61)</f>
        <v/>
      </c>
      <c r="G61" s="13">
        <f>SUMIF('화 목록'!$B$2:$B$1178,A61,'화 목록'!$F$2:$F$1178)</f>
        <v/>
      </c>
      <c r="H61" s="15" t="inlineStr">
        <is>
          <t>수감된 로셀요를 정기 면회하며 신문 기사를 화제로 나누는 대화</t>
        </is>
      </c>
      <c r="I61" s="14" t="n"/>
    </row>
    <row r="62" ht="15" customHeight="1" s="11">
      <c r="A62" s="10" t="n">
        <v>61</v>
      </c>
      <c r="B62" s="10" t="inlineStr">
        <is>
          <t>F 시즌2 라 세르피엔테</t>
        </is>
      </c>
      <c r="C62" s="10" t="inlineStr">
        <is>
          <t>라 세르피엔테 추적</t>
        </is>
      </c>
      <c r="D62" s="10" t="n">
        <v>986</v>
      </c>
      <c r="E62" s="10" t="n">
        <v>1005</v>
      </c>
      <c r="F62" s="10">
        <f>COUNTIF('화 목록'!$B$2:$B$1178,A62)</f>
        <v/>
      </c>
      <c r="G62" s="10">
        <f>SUMIF('화 목록'!$B$2:$B$1178,A62,'화 목록'!$F$2:$F$1178)</f>
        <v/>
      </c>
      <c r="H62" s="10" t="inlineStr">
        <is>
          <t>로셀요가 흘린 이름에서 시작해 빌린 이름·위조 여권 공방·리스본 페이퍼컴퍼니·티치노 등기로 라 세르피엔테의 정체에 다가가지만, 국제 동시 보도 끝에 그는 사라지고 '무력화, 검거 아님'으로 끝남</t>
        </is>
      </c>
    </row>
    <row r="63" ht="15" customHeight="1" s="11">
      <c r="A63" s="10" t="n">
        <v>62</v>
      </c>
      <c r="B63" s="10" t="inlineStr">
        <is>
          <t>G 시즌2 독립 취재</t>
        </is>
      </c>
      <c r="C63" s="10" t="inlineStr">
        <is>
          <t>딥페이크 CEO 송금 사기</t>
        </is>
      </c>
      <c r="D63" s="10" t="n">
        <v>1006</v>
      </c>
      <c r="E63" s="10" t="n">
        <v>1013</v>
      </c>
      <c r="F63" s="10">
        <f>COUNTIF('화 목록'!$B$2:$B$1178,A63)</f>
        <v/>
      </c>
      <c r="G63" s="10">
        <f>SUMIF('화 목록'!$B$2:$B$1178,A63,'화 목록'!$F$2:$F$1178)</f>
        <v/>
      </c>
      <c r="H63" s="10" t="inlineStr">
        <is>
          <t>가짜 화상회의로 380만 유로를 송금하게 한 딥페이크 CEO 사기, 회사의 은폐와 피해 직원 보호</t>
        </is>
      </c>
    </row>
    <row r="64" ht="15" customHeight="1" s="11">
      <c r="A64" s="10" t="n">
        <v>63</v>
      </c>
      <c r="B64" s="10" t="inlineStr">
        <is>
          <t>G 시즌2 독립 취재</t>
        </is>
      </c>
      <c r="C64" s="10" t="inlineStr">
        <is>
          <t>일상: 필라르 이모와 시장</t>
        </is>
      </c>
      <c r="D64" s="10" t="n">
        <v>1014</v>
      </c>
      <c r="E64" s="10" t="n">
        <v>1014</v>
      </c>
      <c r="F64" s="10">
        <f>COUNTIF('화 목록'!$B$2:$B$1178,A64)</f>
        <v/>
      </c>
      <c r="G64" s="10">
        <f>SUMIF('화 목록'!$B$2:$B$1178,A64,'화 목록'!$F$2:$F$1178)</f>
        <v/>
      </c>
      <c r="H64" s="10" t="inlineStr">
        <is>
          <t>토요일 아침 이모와 동네 시장 장보기, 흥정과 축소사 표현</t>
        </is>
      </c>
    </row>
    <row r="65" ht="15" customHeight="1" s="11">
      <c r="A65" s="10" t="n">
        <v>64</v>
      </c>
      <c r="B65" s="10" t="inlineStr">
        <is>
          <t>G 시즌2 독립 취재</t>
        </is>
      </c>
      <c r="C65" s="10" t="inlineStr">
        <is>
          <t>유학생 임대 사기</t>
        </is>
      </c>
      <c r="D65" s="10" t="n">
        <v>1015</v>
      </c>
      <c r="E65" s="10" t="n">
        <v>1022</v>
      </c>
      <c r="F65" s="10">
        <f>COUNTIF('화 목록'!$B$2:$B$1178,A65)</f>
        <v/>
      </c>
      <c r="G65" s="10">
        <f>SUMIF('화 목록'!$B$2:$B$1178,A65,'화 목록'!$F$2:$F$1178)</f>
        <v/>
      </c>
      <c r="H65" s="10" t="inlineStr">
        <is>
          <t>존재하지 않는 방을 선금으로 판 학생 임대 사기 네트워크와 에라스무스 피해자들</t>
        </is>
      </c>
    </row>
    <row r="66" ht="15" customHeight="1" s="11">
      <c r="A66" s="10" t="n">
        <v>65</v>
      </c>
      <c r="B66" s="10" t="inlineStr">
        <is>
          <t>G 시즌2 독립 취재</t>
        </is>
      </c>
      <c r="C66" s="10" t="inlineStr">
        <is>
          <t>고의 교통사고 보험사기</t>
        </is>
      </c>
      <c r="D66" s="10" t="n">
        <v>1023</v>
      </c>
      <c r="E66" s="10" t="n">
        <v>1030</v>
      </c>
      <c r="F66" s="10">
        <f>COUNTIF('화 목록'!$B$2:$B$1178,A66)</f>
        <v/>
      </c>
      <c r="G66" s="10">
        <f>SUMIF('화 목록'!$B$2:$B$1178,A66,'화 목록'!$F$2:$F$1178)</f>
        <v/>
      </c>
      <c r="H66" s="10" t="inlineStr">
        <is>
          <t>안달루시아 고의 추돌 보험사기 조직, 피해 운전자의 보험료 폭등과 공모한 정비소·클리닉</t>
        </is>
      </c>
    </row>
    <row r="67" ht="15" customHeight="1" s="11">
      <c r="A67" s="10" t="n">
        <v>66</v>
      </c>
      <c r="B67" s="10" t="inlineStr">
        <is>
          <t>G 시즌2 독립 취재</t>
        </is>
      </c>
      <c r="C67" s="10" t="inlineStr">
        <is>
          <t>하부 리그 승부 조작</t>
        </is>
      </c>
      <c r="D67" s="10" t="n">
        <v>1031</v>
      </c>
      <c r="E67" s="10" t="n">
        <v>1038</v>
      </c>
      <c r="F67" s="10">
        <f>COUNTIF('화 목록'!$B$2:$B$1178,A67)</f>
        <v/>
      </c>
      <c r="G67" s="10">
        <f>SUMIF('화 목록'!$B$2:$B$1178,A67,'화 목록'!$F$2:$F$1178)</f>
        <v/>
      </c>
      <c r="H67" s="10" t="inlineStr">
        <is>
          <t>3부 리그 CD 토레알바의 수상한 실점, 아시아 베팅 시장과 선수 매수</t>
        </is>
      </c>
    </row>
    <row r="68">
      <c r="A68" s="10" t="n">
        <v>67</v>
      </c>
      <c r="B68" s="10" t="inlineStr">
        <is>
          <t>G 시즌2 독립 취재</t>
        </is>
      </c>
      <c r="C68" s="10" t="inlineStr">
        <is>
          <t>일상: 임대 계약 갱신</t>
        </is>
      </c>
      <c r="D68" s="10" t="n">
        <v>1039</v>
      </c>
      <c r="E68" s="10" t="n">
        <v>1039</v>
      </c>
      <c r="F68" s="10">
        <f>COUNTIF('화 목록'!$B$2:$B$1178,A68)</f>
        <v/>
      </c>
      <c r="G68" s="10">
        <f>SUMIF('화 목록'!$B$2:$B$1178,A68,'화 목록'!$F$2:$F$1178)</f>
        <v/>
      </c>
      <c r="H68" s="10" t="inlineStr">
        <is>
          <t>알바로와 카밀라가 집주인과 집세 인상·계약 조건을 정중하게 협상</t>
        </is>
      </c>
    </row>
    <row r="69">
      <c r="A69" s="10" t="n">
        <v>68</v>
      </c>
      <c r="B69" s="10" t="inlineStr">
        <is>
          <t>G 시즌2 독립 취재</t>
        </is>
      </c>
      <c r="C69" s="10" t="inlineStr">
        <is>
          <t>세르반테스 위조 편지</t>
        </is>
      </c>
      <c r="D69" s="10" t="n">
        <v>1040</v>
      </c>
      <c r="E69" s="10" t="n">
        <v>1047</v>
      </c>
      <c r="F69" s="10">
        <f>COUNTIF('화 목록'!$B$2:$B$1178,A69)</f>
        <v/>
      </c>
      <c r="G69" s="10">
        <f>SUMIF('화 목록'!$B$2:$B$1178,A69,'화 목록'!$F$2:$F$1178)</f>
        <v/>
      </c>
      <c r="H69" s="10" t="inlineStr">
        <is>
          <t>고서 경매에 나온 세르반테스 미공개 자필 편지의 진위 검증과 위조 공방 추적</t>
        </is>
      </c>
    </row>
    <row r="70">
      <c r="A70" s="10" t="n">
        <v>69</v>
      </c>
      <c r="B70" s="10" t="inlineStr">
        <is>
          <t>G 시즌2 독립 취재</t>
        </is>
      </c>
      <c r="C70" s="10" t="inlineStr">
        <is>
          <t>위조 유로 지폐</t>
        </is>
      </c>
      <c r="D70" s="10" t="n">
        <v>1048</v>
      </c>
      <c r="E70" s="10" t="n">
        <v>1055</v>
      </c>
      <c r="F70" s="10">
        <f>COUNTIF('화 목록'!$B$2:$B$1178,A70)</f>
        <v/>
      </c>
      <c r="G70" s="10">
        <f>SUMIF('화 목록'!$B$2:$B$1178,A70,'화 목록'!$F$2:$F$1178)</f>
        <v/>
      </c>
      <c r="H70" s="10" t="inlineStr">
        <is>
          <t>베니도름 상점에 흘러든 위조 50유로 지폐의 유통 경로와 제조 조직</t>
        </is>
      </c>
    </row>
    <row r="71">
      <c r="A71" s="10" t="n">
        <v>70</v>
      </c>
      <c r="B71" s="10" t="inlineStr">
        <is>
          <t>G 시즌2 독립 취재</t>
        </is>
      </c>
      <c r="C71" s="10" t="inlineStr">
        <is>
          <t>응급실 대기 시간의 진실</t>
        </is>
      </c>
      <c r="D71" s="10" t="n">
        <v>1056</v>
      </c>
      <c r="E71" s="10" t="n">
        <v>1060</v>
      </c>
      <c r="F71" s="10">
        <f>COUNTIF('화 목록'!$B$2:$B$1178,A71)</f>
        <v/>
      </c>
      <c r="G71" s="10">
        <f>SUMIF('화 목록'!$B$2:$B$1178,A71,'화 목록'!$F$2:$F$1178)</f>
        <v/>
      </c>
      <c r="H71" s="10" t="inlineStr">
        <is>
          <t>공립병원 응급실 대기 시간 통계 조작과 환자 사망, 데이터 저널리즘</t>
        </is>
      </c>
    </row>
    <row r="72">
      <c r="A72" s="10" t="n">
        <v>71</v>
      </c>
      <c r="B72" s="10" t="inlineStr">
        <is>
          <t>G 시즌2 독립 취재</t>
        </is>
      </c>
      <c r="C72" s="10" t="inlineStr">
        <is>
          <t>팔려나간 공공임대주택</t>
        </is>
      </c>
      <c r="D72" s="10" t="n">
        <v>1061</v>
      </c>
      <c r="E72" s="10" t="n">
        <v>1065</v>
      </c>
      <c r="F72" s="10">
        <f>COUNTIF('화 목록'!$B$2:$B$1178,A72)</f>
        <v/>
      </c>
      <c r="G72" s="10">
        <f>SUMIF('화 목록'!$B$2:$B$1178,A72,'화 목록'!$F$2:$F$1178)</f>
        <v/>
      </c>
      <c r="H72" s="10" t="inlineStr">
        <is>
          <t>시가 지은 공공임대 312세대가 투자펀드에 매각된 뒤의 퇴거 압박과 행정 책임</t>
        </is>
      </c>
    </row>
    <row r="73">
      <c r="A73" s="10" t="n">
        <v>72</v>
      </c>
      <c r="B73" s="10" t="inlineStr">
        <is>
          <t>G 시즌2 독립 취재</t>
        </is>
      </c>
      <c r="C73" s="10" t="inlineStr">
        <is>
          <t>관광 아파트와 사라지는 동네</t>
        </is>
      </c>
      <c r="D73" s="10" t="n">
        <v>1066</v>
      </c>
      <c r="E73" s="10" t="n">
        <v>1070</v>
      </c>
      <c r="F73" s="10">
        <f>COUNTIF('화 목록'!$B$2:$B$1178,A73)</f>
        <v/>
      </c>
      <c r="G73" s="10">
        <f>SUMIF('화 목록'!$B$2:$B$1178,A73,'화 목록'!$F$2:$F$1178)</f>
        <v/>
      </c>
      <c r="H73" s="10" t="inlineStr">
        <is>
          <t>단기 관광 임대가 도심 주민을 밀어내는 구조, 불법 영업 데이터 분석</t>
        </is>
      </c>
    </row>
    <row r="74">
      <c r="A74" s="10" t="n">
        <v>73</v>
      </c>
      <c r="B74" s="10" t="inlineStr">
        <is>
          <t>G 시즌2 독립 취재</t>
        </is>
      </c>
      <c r="C74" s="10" t="inlineStr">
        <is>
          <t>도둑맞은 아기들</t>
        </is>
      </c>
      <c r="D74" s="10" t="n">
        <v>1071</v>
      </c>
      <c r="E74" s="10" t="n">
        <v>1075</v>
      </c>
      <c r="F74" s="10">
        <f>COUNTIF('화 목록'!$B$2:$B$1178,A74)</f>
        <v/>
      </c>
      <c r="G74" s="10">
        <f>SUMIF('화 목록'!$B$2:$B$1178,A74,'화 목록'!$F$2:$F$1178)</f>
        <v/>
      </c>
      <c r="H74" s="10" t="inlineStr">
        <is>
          <t>1971년 산 마카리오 병원에서 사망 통보된 딸을 찾는 어머니, 아기 도둑질 의혹 추적</t>
        </is>
      </c>
    </row>
    <row r="75">
      <c r="A75" s="10" t="n">
        <v>74</v>
      </c>
      <c r="B75" s="10" t="inlineStr">
        <is>
          <t>G 시즌2 독립 취재</t>
        </is>
      </c>
      <c r="C75" s="10" t="inlineStr">
        <is>
          <t>발데시에르소의 무덤</t>
        </is>
      </c>
      <c r="D75" s="10" t="n">
        <v>1076</v>
      </c>
      <c r="E75" s="10" t="n">
        <v>1080</v>
      </c>
      <c r="F75" s="10">
        <f>COUNTIF('화 목록'!$B$2:$B$1178,A75)</f>
        <v/>
      </c>
      <c r="G75" s="10">
        <f>SUMIF('화 목록'!$B$2:$B$1178,A75,'화 목록'!$F$2:$F$1178)</f>
        <v/>
      </c>
      <c r="H75" s="10" t="inlineStr">
        <is>
          <t>1936년 사라진 일곱 남자의 공동 묘지, 역사기억법과 발굴, 마을의 침묵</t>
        </is>
      </c>
    </row>
    <row r="76">
      <c r="A76" s="10" t="n">
        <v>75</v>
      </c>
      <c r="B76" s="10" t="inlineStr">
        <is>
          <t>G 시즌2 독립 취재</t>
        </is>
      </c>
      <c r="C76" s="10" t="inlineStr">
        <is>
          <t>배달 앱 알고리즘</t>
        </is>
      </c>
      <c r="D76" s="10" t="n">
        <v>1081</v>
      </c>
      <c r="E76" s="10" t="n">
        <v>1085</v>
      </c>
      <c r="F76" s="10">
        <f>COUNTIF('화 목록'!$B$2:$B$1178,A76)</f>
        <v/>
      </c>
      <c r="G76" s="10">
        <f>SUMIF('화 목록'!$B$2:$B$1178,A76,'화 목록'!$F$2:$F$1178)</f>
        <v/>
      </c>
      <c r="H76" s="10" t="inlineStr">
        <is>
          <t>사고 당한 라이더들의 연쇄 계정 정지, 플랫폼 알고리즘과 라이더 법</t>
        </is>
      </c>
    </row>
    <row r="77">
      <c r="A77" s="10" t="n">
        <v>76</v>
      </c>
      <c r="B77" s="10" t="inlineStr">
        <is>
          <t>G 시즌2 독립 취재</t>
        </is>
      </c>
      <c r="C77" s="10" t="inlineStr">
        <is>
          <t>공립학교 폐교 결정</t>
        </is>
      </c>
      <c r="D77" s="10" t="n">
        <v>1086</v>
      </c>
      <c r="E77" s="10" t="n">
        <v>1090</v>
      </c>
      <c r="F77" s="10">
        <f>COUNTIF('화 목록'!$B$2:$B$1178,A77)</f>
        <v/>
      </c>
      <c r="G77" s="10">
        <f>SUMIF('화 목록'!$B$2:$B$1178,A77,'화 목록'!$F$2:$F$1178)</f>
        <v/>
      </c>
      <c r="H77" s="10" t="inlineStr">
        <is>
          <t>교육청의 고등학교 폐교·통합 결정 뒤에 숨은 부지 거래와 학부모회의 싸움</t>
        </is>
      </c>
    </row>
    <row r="78">
      <c r="A78" s="10" t="n">
        <v>77</v>
      </c>
      <c r="B78" s="10" t="inlineStr">
        <is>
          <t>G 시즌2 독립 취재</t>
        </is>
      </c>
      <c r="C78" s="10" t="inlineStr">
        <is>
          <t>강과 소아암: 검증 보도</t>
        </is>
      </c>
      <c r="D78" s="10" t="n">
        <v>1091</v>
      </c>
      <c r="E78" s="10" t="n">
        <v>1095</v>
      </c>
      <c r="F78" s="10">
        <f>COUNTIF('화 목록'!$B$2:$B$1178,A78)</f>
        <v/>
      </c>
      <c r="G78" s="10">
        <f>SUMIF('화 목록'!$B$2:$B$1178,A78,'화 목록'!$F$2:$F$1178)</f>
        <v/>
      </c>
      <c r="H78" s="10" t="inlineStr">
        <is>
          <t>화학공장 하류 마을 소아암 군집 주장을 데이터로 검증, 공포와 과학 사이</t>
        </is>
      </c>
    </row>
    <row r="79">
      <c r="A79" s="10" t="n">
        <v>78</v>
      </c>
      <c r="B79" s="10" t="inlineStr">
        <is>
          <t>G 시즌2 독립 취재</t>
        </is>
      </c>
      <c r="C79" s="10" t="inlineStr">
        <is>
          <t>말라가는 습지와 불법 우물</t>
        </is>
      </c>
      <c r="D79" s="10" t="n">
        <v>1096</v>
      </c>
      <c r="E79" s="10" t="n">
        <v>1100</v>
      </c>
      <c r="F79" s="10">
        <f>COUNTIF('화 목록'!$B$2:$B$1178,A79)</f>
        <v/>
      </c>
      <c r="G79" s="10">
        <f>SUMIF('화 목록'!$B$2:$B$1178,A79,'화 목록'!$F$2:$F$1178)</f>
        <v/>
      </c>
      <c r="H79" s="10" t="inlineStr">
        <is>
          <t>가뭄 속 보호 습지 옆 불법 관정과 대규모 딸기 농장, 소농의 고발</t>
        </is>
      </c>
    </row>
    <row r="80">
      <c r="A80" s="10" t="n">
        <v>79</v>
      </c>
      <c r="B80" s="10" t="inlineStr">
        <is>
          <t>G 시즌2 독립 취재</t>
        </is>
      </c>
      <c r="C80" s="10" t="inlineStr">
        <is>
          <t>오보, 그리고 정정</t>
        </is>
      </c>
      <c r="D80" s="10" t="n">
        <v>1101</v>
      </c>
      <c r="E80" s="10" t="n">
        <v>1105</v>
      </c>
      <c r="F80" s="10">
        <f>COUNTIF('화 목록'!$B$2:$B$1178,A80)</f>
        <v/>
      </c>
      <c r="G80" s="10">
        <f>SUMIF('화 목록'!$B$2:$B$1178,A80,'화 목록'!$F$2:$F$1178)</f>
        <v/>
      </c>
      <c r="H80" s="10" t="inlineStr">
        <is>
          <t>핵심 증거가 위조로 드러난 오보에서 출발해 정정과 재취재로 진짜 비리를 밝히는 이야기</t>
        </is>
      </c>
    </row>
    <row r="81">
      <c r="A81" s="10" t="n">
        <v>80</v>
      </c>
      <c r="B81" s="10" t="inlineStr">
        <is>
          <t>G 시즌2 독립 취재</t>
        </is>
      </c>
      <c r="C81" s="10" t="inlineStr">
        <is>
          <t>투자펀드 요양원</t>
        </is>
      </c>
      <c r="D81" s="10" t="n">
        <v>1106</v>
      </c>
      <c r="E81" s="10" t="n">
        <v>1110</v>
      </c>
      <c r="F81" s="10">
        <f>COUNTIF('화 목록'!$B$2:$B$1178,A81)</f>
        <v/>
      </c>
      <c r="G81" s="10">
        <f>SUMIF('화 목록'!$B$2:$B$1178,A81,'화 목록'!$F$2:$F$1178)</f>
        <v/>
      </c>
      <c r="H81" s="10" t="inlineStr">
        <is>
          <t>펀드에 인수된 요양원 체인의 인력 감축과 학대 의혹, 하비에르 어머니의 멍</t>
        </is>
      </c>
    </row>
    <row r="82">
      <c r="A82" s="10" t="n">
        <v>81</v>
      </c>
      <c r="B82" s="10" t="inlineStr">
        <is>
          <t>G 시즌2 독립 취재</t>
        </is>
      </c>
      <c r="C82" s="10" t="inlineStr">
        <is>
          <t>난자 기증 보상금</t>
        </is>
      </c>
      <c r="D82" s="10" t="n">
        <v>1111</v>
      </c>
      <c r="E82" s="10" t="n">
        <v>1115</v>
      </c>
      <c r="F82" s="10">
        <f>COUNTIF('화 목록'!$B$2:$B$1178,A82)</f>
        <v/>
      </c>
      <c r="G82" s="10">
        <f>SUMIF('화 목록'!$B$2:$B$1178,A82,'화 목록'!$F$2:$F$1178)</f>
        <v/>
      </c>
      <c r="H82" s="10" t="inlineStr">
        <is>
          <t>대학가 난자 기증 광고와 불임클리닉의 반복 기증, 미비한 국가 등록 제도</t>
        </is>
      </c>
    </row>
    <row r="83">
      <c r="A83" s="10" t="n">
        <v>82</v>
      </c>
      <c r="B83" s="10" t="inlineStr">
        <is>
          <t>G 시즌2 독립 취재</t>
        </is>
      </c>
      <c r="C83" s="10" t="inlineStr">
        <is>
          <t>청소년 온라인 도박</t>
        </is>
      </c>
      <c r="D83" s="10" t="n">
        <v>1116</v>
      </c>
      <c r="E83" s="10" t="n">
        <v>1120</v>
      </c>
      <c r="F83" s="10">
        <f>COUNTIF('화 목록'!$B$2:$B$1178,A83)</f>
        <v/>
      </c>
      <c r="G83" s="10">
        <f>SUMIF('화 목록'!$B$2:$B$1178,A83,'화 목록'!$F$2:$F$1178)</f>
        <v/>
      </c>
      <c r="H83" s="10" t="inlineStr">
        <is>
          <t>미성년자 스포츠 도박 계정과 광고 규제, 도박 중독 가족들</t>
        </is>
      </c>
    </row>
    <row r="84">
      <c r="A84" s="10" t="n">
        <v>83</v>
      </c>
      <c r="B84" s="10" t="inlineStr">
        <is>
          <t>G 시즌2 독립 취재</t>
        </is>
      </c>
      <c r="C84" s="10" t="inlineStr">
        <is>
          <t>발데카스트로 탈선 사고 6년 후</t>
        </is>
      </c>
      <c r="D84" s="10" t="n">
        <v>1121</v>
      </c>
      <c r="E84" s="10" t="n">
        <v>1125</v>
      </c>
      <c r="F84" s="10">
        <f>COUNTIF('화 목록'!$B$2:$B$1178,A84)</f>
        <v/>
      </c>
      <c r="G84" s="10">
        <f>SUMIF('화 목록'!$B$2:$B$1178,A84,'화 목록'!$F$2:$F$1178)</f>
        <v/>
      </c>
      <c r="H84" s="10" t="inlineStr">
        <is>
          <t>87명이 숨진 탈선 사고의 공식 원인 '기관사 과실' 뒤에 묻힌 신호 시스템 결함</t>
        </is>
      </c>
    </row>
    <row r="85">
      <c r="A85" s="10" t="n">
        <v>84</v>
      </c>
      <c r="B85" s="10" t="inlineStr">
        <is>
          <t>G 시즌2 독립 취재</t>
        </is>
      </c>
      <c r="C85" s="10" t="inlineStr">
        <is>
          <t>반복되는 산불</t>
        </is>
      </c>
      <c r="D85" s="10" t="n">
        <v>1126</v>
      </c>
      <c r="E85" s="10" t="n">
        <v>1130</v>
      </c>
      <c r="F85" s="10">
        <f>COUNTIF('화 목록'!$B$2:$B$1178,A85)</f>
        <v/>
      </c>
      <c r="G85" s="10">
        <f>SUMIF('화 목록'!$B$2:$B$1178,A85,'화 목록'!$F$2:$F$1178)</f>
        <v/>
      </c>
      <c r="H85" s="10" t="inlineStr">
        <is>
          <t>두세 해마다 같은 비탈이 타는 산불, 방치된 숲과 개발 이해관계</t>
        </is>
      </c>
    </row>
    <row r="86">
      <c r="A86" s="10" t="n">
        <v>85</v>
      </c>
      <c r="B86" s="10" t="inlineStr">
        <is>
          <t>G 시즌2 독립 취재</t>
        </is>
      </c>
      <c r="C86" s="10" t="inlineStr">
        <is>
          <t>석면 학교</t>
        </is>
      </c>
      <c r="D86" s="10" t="n">
        <v>1131</v>
      </c>
      <c r="E86" s="10" t="n">
        <v>1135</v>
      </c>
      <c r="F86" s="10">
        <f>COUNTIF('화 목록'!$B$2:$B$1178,A86)</f>
        <v/>
      </c>
      <c r="G86" s="10">
        <f>SUMIF('화 목록'!$B$2:$B$1178,A86,'화 목록'!$F$2:$F$1178)</f>
        <v/>
      </c>
      <c r="H86" s="10" t="inlineStr">
        <is>
          <t>31년간 교단에 선 교사의 편지로 시작된 공립학교 석면 노출과 은폐</t>
        </is>
      </c>
    </row>
    <row r="87">
      <c r="A87" s="10" t="n">
        <v>86</v>
      </c>
      <c r="B87" s="10" t="inlineStr">
        <is>
          <t>G 시즌2 독립 취재</t>
        </is>
      </c>
      <c r="C87" s="10" t="inlineStr">
        <is>
          <t>가짜 석사 학위</t>
        </is>
      </c>
      <c r="D87" s="10" t="n">
        <v>1136</v>
      </c>
      <c r="E87" s="10" t="n">
        <v>1140</v>
      </c>
      <c r="F87" s="10">
        <f>COUNTIF('화 목록'!$B$2:$B$1178,A87)</f>
        <v/>
      </c>
      <c r="G87" s="10">
        <f>SUMIF('화 목록'!$B$2:$B$1178,A87,'화 목록'!$F$2:$F$1178)</f>
        <v/>
      </c>
      <c r="H87" s="10" t="inlineStr">
        <is>
          <t>차기 지사 후보 정치인의 석사 학위 의혹, 대학의 서류 조작</t>
        </is>
      </c>
    </row>
    <row r="88">
      <c r="A88" s="10" t="n">
        <v>87</v>
      </c>
      <c r="B88" s="10" t="inlineStr">
        <is>
          <t>G 시즌2 독립 취재</t>
        </is>
      </c>
      <c r="C88" s="10" t="inlineStr">
        <is>
          <t>일상: 편집 회의</t>
        </is>
      </c>
      <c r="D88" s="10" t="n">
        <v>1141</v>
      </c>
      <c r="E88" s="10" t="n">
        <v>1141</v>
      </c>
      <c r="F88" s="10">
        <f>COUNTIF('화 목록'!$B$2:$B$1178,A88)</f>
        <v/>
      </c>
      <c r="G88" s="10">
        <f>SUMIF('화 목록'!$B$2:$B$1178,A88,'화 목록'!$F$2:$F$1178)</f>
        <v/>
      </c>
      <c r="H88" s="10" t="inlineStr">
        <is>
          <t>다음 날 지면을 정하는 월요일 편집 회의, 1면 자리를 둔 토론</t>
        </is>
      </c>
    </row>
    <row r="89">
      <c r="A89" s="10" t="n">
        <v>88</v>
      </c>
      <c r="B89" s="10" t="inlineStr">
        <is>
          <t>G 시즌2 독립 취재</t>
        </is>
      </c>
      <c r="C89" s="10" t="inlineStr">
        <is>
          <t>열두 번 당첨된 복권</t>
        </is>
      </c>
      <c r="D89" s="10" t="n">
        <v>1142</v>
      </c>
      <c r="E89" s="10" t="n">
        <v>1146</v>
      </c>
      <c r="F89" s="10">
        <f>COUNTIF('화 목록'!$B$2:$B$1178,A89)</f>
        <v/>
      </c>
      <c r="G89" s="10">
        <f>SUMIF('화 목록'!$B$2:$B$1178,A89,'화 목록'!$F$2:$F$1178)</f>
        <v/>
      </c>
      <c r="H89" s="10" t="inlineStr">
        <is>
          <t>4년 사이 복권에 열두 번 당첨된 사업가, 당첨권 매입을 통한 자금세탁</t>
        </is>
      </c>
    </row>
    <row r="90">
      <c r="A90" s="10" t="n">
        <v>89</v>
      </c>
      <c r="B90" s="10" t="inlineStr">
        <is>
          <t>G 시즌2 독립 취재</t>
        </is>
      </c>
      <c r="C90" s="10" t="inlineStr">
        <is>
          <t>보호시설 아이들의 밤</t>
        </is>
      </c>
      <c r="D90" s="10" t="n">
        <v>1147</v>
      </c>
      <c r="E90" s="10" t="n">
        <v>1151</v>
      </c>
      <c r="F90" s="10">
        <f>COUNTIF('화 목록'!$B$2:$B$1178,A90)</f>
        <v/>
      </c>
      <c r="G90" s="10">
        <f>SUMIF('화 목록'!$B$2:$B$1178,A90,'화 목록'!$F$2:$F$1178)</f>
        <v/>
      </c>
      <c r="H90" s="10" t="inlineStr">
        <is>
          <t>공립 아동보호센터 십대들의 '무단 외출' 뒤의 성착취 네트워크와 행정 방치</t>
        </is>
      </c>
    </row>
    <row r="91">
      <c r="A91" s="10" t="n">
        <v>90</v>
      </c>
      <c r="B91" s="10" t="inlineStr">
        <is>
          <t>G 시즌2 독립 취재</t>
        </is>
      </c>
      <c r="C91" s="10" t="inlineStr">
        <is>
          <t>분쟁 지역으로 간 스페인 무기</t>
        </is>
      </c>
      <c r="D91" s="10" t="n">
        <v>1152</v>
      </c>
      <c r="E91" s="10" t="n">
        <v>1156</v>
      </c>
      <c r="F91" s="10">
        <f>COUNTIF('화 목록'!$B$2:$B$1178,A91)</f>
        <v/>
      </c>
      <c r="G91" s="10">
        <f>SUMIF('화 목록'!$B$2:$B$1178,A91,'화 목록'!$F$2:$F$1178)</f>
        <v/>
      </c>
      <c r="H91" s="10" t="inlineStr">
        <is>
          <t>합법 수출 박격포탄 부품이 금수국 영상에 등장, 오픈소스 검증과 수출 통제의 허점</t>
        </is>
      </c>
    </row>
    <row r="92">
      <c r="A92" s="10" t="n">
        <v>91</v>
      </c>
      <c r="B92" s="10" t="inlineStr">
        <is>
          <t>G 시즌2 독립 취재</t>
        </is>
      </c>
      <c r="C92" s="10" t="inlineStr">
        <is>
          <t>군 장비 조달 비리</t>
        </is>
      </c>
      <c r="D92" s="10" t="n">
        <v>1157</v>
      </c>
      <c r="E92" s="10" t="n">
        <v>1161</v>
      </c>
      <c r="F92" s="10">
        <f>COUNTIF('화 목록'!$B$2:$B$1178,A92)</f>
        <v/>
      </c>
      <c r="G92" s="10">
        <f>SUMIF('화 목록'!$B$2:$B$1178,A92,'화 목록'!$F$2:$F$1178)</f>
        <v/>
      </c>
      <c r="H92" s="10" t="inlineStr">
        <is>
          <t>불량 방탄판 납품과 퇴역 장성의 회전문 인사, 현역 부사관 내부 고발과 취재원 노출</t>
        </is>
      </c>
    </row>
    <row r="93">
      <c r="A93" s="10" t="n">
        <v>92</v>
      </c>
      <c r="B93" s="10" t="inlineStr">
        <is>
          <t>G 시즌2 독립 취재</t>
        </is>
      </c>
      <c r="C93" s="10" t="inlineStr">
        <is>
          <t>축구 클럽 매각의 이면</t>
        </is>
      </c>
      <c r="D93" s="10" t="n">
        <v>1162</v>
      </c>
      <c r="E93" s="10" t="n">
        <v>1166</v>
      </c>
      <c r="F93" s="10">
        <f>COUNTIF('화 목록'!$B$2:$B$1178,A93)</f>
        <v/>
      </c>
      <c r="G93" s="10">
        <f>SUMIF('화 목록'!$B$2:$B$1178,A93,'화 목록'!$F$2:$F$1178)</f>
        <v/>
      </c>
      <c r="H93" s="10" t="inlineStr">
        <is>
          <t>1유로에 팔린 백 년 클럽, 경기장 부지 재개발과 펀드·시의원·에이전트, 서포터즈 후원금</t>
        </is>
      </c>
    </row>
    <row r="94">
      <c r="A94" s="10" t="n">
        <v>93</v>
      </c>
      <c r="B94" s="10" t="inlineStr">
        <is>
          <t>G 시즌2 독립 취재</t>
        </is>
      </c>
      <c r="C94" s="10" t="inlineStr">
        <is>
          <t>일상: 축구장 나들이</t>
        </is>
      </c>
      <c r="D94" s="10" t="n">
        <v>1167</v>
      </c>
      <c r="E94" s="10" t="n">
        <v>1167</v>
      </c>
      <c r="F94" s="10">
        <f>COUNTIF('화 목록'!$B$2:$B$1178,A94)</f>
        <v/>
      </c>
      <c r="G94" s="10">
        <f>SUMIF('화 목록'!$B$2:$B$1178,A94,'화 목록'!$F$2:$F$1178)</f>
        <v/>
      </c>
      <c r="H94" s="10" t="inlineStr">
        <is>
          <t>카밀라의 오빠 안드레스와 함께 간 축구장, 응원 문화와 축구 표현</t>
        </is>
      </c>
    </row>
    <row r="95">
      <c r="A95" s="10" t="n">
        <v>94</v>
      </c>
      <c r="B95" s="10" t="inlineStr">
        <is>
          <t>G 시즌2 독립 취재</t>
        </is>
      </c>
      <c r="C95" s="10" t="inlineStr">
        <is>
          <t>인플루언서 건강보조제 사기</t>
        </is>
      </c>
      <c r="D95" s="10" t="n">
        <v>1168</v>
      </c>
      <c r="E95" s="10" t="n">
        <v>1172</v>
      </c>
      <c r="F95" s="10">
        <f>COUNTIF('화 목록'!$B$2:$B$1178,A95)</f>
        <v/>
      </c>
      <c r="G95" s="10">
        <f>SUMIF('화 목록'!$B$2:$B$1178,A95,'화 목록'!$F$2:$F$1178)</f>
        <v/>
      </c>
      <c r="H95" s="10" t="inlineStr">
        <is>
          <t>"광고 아님" 카페인 젤리 홍보와 하비에르 조카의 응급실행, 은밀한 광고와 소비자법</t>
        </is>
      </c>
    </row>
    <row r="96">
      <c r="A96" s="10" t="n">
        <v>95</v>
      </c>
      <c r="B96" s="10" t="inlineStr">
        <is>
          <t>G 시즌2 독립 취재</t>
        </is>
      </c>
      <c r="C96" s="10" t="inlineStr">
        <is>
          <t>우리 신문의 광고주</t>
        </is>
      </c>
      <c r="D96" s="10" t="n">
        <v>1173</v>
      </c>
      <c r="E96" s="10" t="n">
        <v>1177</v>
      </c>
      <c r="F96" s="10">
        <f>COUNTIF('화 목록'!$B$2:$B$1178,A96)</f>
        <v/>
      </c>
      <c r="G96" s="10">
        <f>SUMIF('화 목록'!$B$2:$B$1178,A96,'화 목록'!$F$2:$F$1178)</f>
        <v/>
      </c>
      <c r="H96" s="10" t="inlineStr">
        <is>
          <t>고령자 몰래 전력 계약을 바꾼 에너지 회사가 신문 최대 광고주, 보도를 둘러싼 편집국 갈등과 국장 퇴진</t>
        </is>
      </c>
    </row>
    <row r="97">
      <c r="C97" s="18" t="inlineStr">
        <is>
          <t>합계</t>
        </is>
      </c>
      <c r="F97" s="18">
        <f>SUM(F2:F96)</f>
        <v/>
      </c>
      <c r="G97" s="18">
        <f>SUM(G2:G96)</f>
        <v/>
      </c>
    </row>
  </sheetData>
  <autoFilter ref="A1:I6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178"/>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8" customWidth="1" style="10" min="1" max="1"/>
    <col width="9" customWidth="1" style="10" min="2" max="2"/>
    <col width="34" customWidth="1" style="10" min="3" max="3"/>
    <col width="22" customWidth="1" style="10" min="4" max="4"/>
    <col width="12" customWidth="1" style="10" min="5" max="6"/>
    <col width="110" customWidth="1" style="10" min="7" max="7"/>
  </cols>
  <sheetData>
    <row r="1" ht="15" customHeight="1" s="11">
      <c r="A1" s="19" t="inlineStr">
        <is>
          <t>화 번호</t>
        </is>
      </c>
      <c r="B1" s="19" t="inlineStr">
        <is>
          <t>부작 번호</t>
        </is>
      </c>
      <c r="C1" s="19" t="inlineStr">
        <is>
          <t>부작 제목</t>
        </is>
      </c>
      <c r="D1" s="19" t="inlineStr">
        <is>
          <t>파트</t>
        </is>
      </c>
      <c r="E1" s="19" t="inlineStr">
        <is>
          <t>문서 내 문단 위치</t>
        </is>
      </c>
      <c r="F1" s="19" t="inlineStr">
        <is>
          <t>대화 줄 수(근사)</t>
        </is>
      </c>
      <c r="G1" s="19" t="inlineStr">
        <is>
          <t>상황 설명(원문 발췌)</t>
        </is>
      </c>
    </row>
    <row r="2" ht="28.35" customHeight="1" s="11">
      <c r="A2" s="13" t="n">
        <v>1</v>
      </c>
      <c r="B2" s="13" t="n">
        <v>1</v>
      </c>
      <c r="C2" s="14">
        <f>INDEX('부작 목록'!$C$2:$C$96,B2)</f>
        <v/>
      </c>
      <c r="D2" s="14" t="inlineStr">
        <is>
          <t>A 일상 회화</t>
        </is>
      </c>
      <c r="E2" s="13" t="n">
        <v>0</v>
      </c>
      <c r="F2" s="13" t="n">
        <v>55</v>
      </c>
      <c r="G2" s="15" t="inlineStr">
        <is>
          <t>마드리드 중심가, 토요일 점심시간의 활기찬 식당입니다. 40대 마드리드 토박이 기자 친구인 하 비에르(Javier)와 알바로(Álvaro)가 테라스 좌석에 앉아 맥주(Caña)를 곁들인 식사를 하며 나누는 대화입니다.</t>
        </is>
      </c>
    </row>
    <row r="3" ht="28.35" customHeight="1" s="11">
      <c r="A3" s="13" t="n">
        <v>2</v>
      </c>
      <c r="B3" s="13" t="n">
        <v>1</v>
      </c>
      <c r="C3" s="14">
        <f>INDEX('부작 목록'!$C$2:$C$96,B3)</f>
        <v/>
      </c>
      <c r="D3" s="14" t="inlineStr">
        <is>
          <t>A 일상 회화</t>
        </is>
      </c>
      <c r="E3" s="13" t="n">
        <v>59</v>
      </c>
      <c r="F3" s="13" t="n">
        <v>26</v>
      </c>
      <c r="G3" s="15" t="inlineStr">
        <is>
          <t>일주일 후, 다시 마드리드 시내의 같은 식당에서 만난 하비에르와 알바로의 대화입니다. 이번에 는 지난 한 주간의 구체적인 업무 성과와 개인적인 일들에 대해 조금 더 깊은 대화를 나눕니다.</t>
        </is>
      </c>
    </row>
    <row r="4" ht="41.75" customHeight="1" s="11">
      <c r="A4" s="13" t="n">
        <v>3</v>
      </c>
      <c r="B4" s="13" t="n">
        <v>1</v>
      </c>
      <c r="C4" s="14">
        <f>INDEX('부작 목록'!$C$2:$C$96,B4)</f>
        <v/>
      </c>
      <c r="D4" s="14" t="inlineStr">
        <is>
          <t>A 일상 회화</t>
        </is>
      </c>
      <c r="E4" s="13" t="n">
        <v>88</v>
      </c>
      <c r="F4" s="13" t="n">
        <v>47</v>
      </c>
      <c r="G4" s="15" t="inlineStr">
        <is>
          <t>이 대화문은 리 차일드(Lee Child)의 소설 『Zona Peligrosa(영제: Killing Floor)』를 읽은 두 명의 40대 기자, 하비에르와 알바로가 그 내용과 문학적 장치에 대해 깊이 있게 토론하는 상황입니 다. 요청하신 대로 접속법, 대과거, 조건법 등을 집중적으로 배치했습니다.</t>
        </is>
      </c>
    </row>
    <row r="5" ht="41.75" customHeight="1" s="11">
      <c r="A5" s="13" t="n">
        <v>4</v>
      </c>
      <c r="B5" s="13" t="n">
        <v>1</v>
      </c>
      <c r="C5" s="14">
        <f>INDEX('부작 목록'!$C$2:$C$96,B5)</f>
        <v/>
      </c>
      <c r="D5" s="14" t="inlineStr">
        <is>
          <t>A 일상 회화</t>
        </is>
      </c>
      <c r="E5" s="13" t="n">
        <v>139</v>
      </c>
      <c r="F5" s="13" t="n">
        <v>28</v>
      </c>
      <c r="G5" s="15" t="inlineStr">
        <is>
          <t>이번에는 아마존 프라임의 드라마 『리처(Reacher)』 시즌 1을 본 후, 하비에르와 알바로가 그 각색의 완성도와 원작과의 차이점에 대해 대화를 나누는 상황입니다. 드라마에 대한 비평인 만 큼, 앞선 대화보다 더 복잡한 가정과 분석이 포함되어 있습니다.</t>
        </is>
      </c>
    </row>
    <row r="6" ht="41.75" customHeight="1" s="11">
      <c r="A6" s="13" t="n">
        <v>5</v>
      </c>
      <c r="B6" s="13" t="n">
        <v>1</v>
      </c>
      <c r="C6" s="14">
        <f>INDEX('부작 목록'!$C$2:$C$96,B6)</f>
        <v/>
      </c>
      <c r="D6" s="14" t="inlineStr">
        <is>
          <t>A 일상 회화</t>
        </is>
      </c>
      <c r="E6" s="13" t="n">
        <v>171</v>
      </c>
      <c r="F6" s="13" t="n">
        <v>23</v>
      </c>
      <c r="G6" s="15" t="inlineStr">
        <is>
          <t>하비에르와 알바로가 이번에는 드라마 『리처(Reacher)』 시즌 3를 시청한 후, 한층 더 비평적인 시각으로 나누는 대화입니다. 시즌을 거듭하며 익숙해진 팬들로서, 원작의 정체성과 시리즈의 방향성에 대해 보다 깊은 분석을 담았습니다.</t>
        </is>
      </c>
    </row>
    <row r="7" ht="28.35" customHeight="1" s="11">
      <c r="A7" s="13" t="n">
        <v>6</v>
      </c>
      <c r="B7" s="13" t="n">
        <v>1</v>
      </c>
      <c r="C7" s="14">
        <f>INDEX('부작 목록'!$C$2:$C$96,B7)</f>
        <v/>
      </c>
      <c r="D7" s="14" t="inlineStr">
        <is>
          <t>A 일상 회화</t>
        </is>
      </c>
      <c r="E7" s="13" t="n">
        <v>197</v>
      </c>
      <c r="F7" s="13" t="n">
        <v>21</v>
      </c>
      <c r="G7" s="15" t="inlineStr">
        <is>
          <t>시즌 3의 강렬하고도 씁쓸한 엔딩 장면, 그리고 그 여운을 극대화했던 Mondo Cozmo의 음악 에 대해 하비에르와 알바로가 깊은 감상을 나누는 대화문입니다.</t>
        </is>
      </c>
    </row>
    <row r="8" ht="41.75" customHeight="1" s="11">
      <c r="A8" s="13" t="n">
        <v>7</v>
      </c>
      <c r="B8" s="13" t="n">
        <v>1</v>
      </c>
      <c r="C8" s="14">
        <f>INDEX('부작 목록'!$C$2:$C$96,B8)</f>
        <v/>
      </c>
      <c r="D8" s="14" t="inlineStr">
        <is>
          <t>A 일상 회화</t>
        </is>
      </c>
      <c r="E8" s="13" t="n">
        <v>221</v>
      </c>
      <c r="F8" s="13" t="n">
        <v>22</v>
      </c>
      <c r="G8" s="15" t="inlineStr">
        <is>
          <t>지난주 각자 취재한 기사(하비에르는 경제 분야, 알바로는 정치/사회 분야)에 대해 마드리드의 한 식당에서 식사를 하며 서로의 취재 과정과 결과를 비판적으로 공유하는 상황입니다. 이번 대 화문은 전문적인 견해를 나누는 만큼 접속법과 조건법이 밀도 있게 사용되었습니다.</t>
        </is>
      </c>
    </row>
    <row r="9" ht="41.75" customHeight="1" s="11">
      <c r="A9" s="13" t="n">
        <v>8</v>
      </c>
      <c r="B9" s="13" t="n">
        <v>2</v>
      </c>
      <c r="C9" s="14">
        <f>INDEX('부작 목록'!$C$2:$C$96,B9)</f>
        <v/>
      </c>
      <c r="D9" s="14" t="inlineStr">
        <is>
          <t>A 일상 회화</t>
        </is>
      </c>
      <c r="E9" s="13" t="n">
        <v>247</v>
      </c>
      <c r="F9" s="13" t="n">
        <v>18</v>
      </c>
      <c r="G9" s="15" t="inlineStr">
        <is>
          <t>다음 주부터 시작될 '해안 지역의 불법 토지 개발 및 환경 파괴'라는 묵직한 탐사보도 주제를 놓고, 두 기자가 구체적인 취재 전략과 위험 요소를 논의하는 상황입니다. 이번 대화문에서는 미래에 대한 계획과 가정(가정법/조건법), 그리고 상대방의 의견을 이끌어내는 접속법이 집중적 으로 사용되었습니다.</t>
        </is>
      </c>
    </row>
    <row r="10" ht="41.75" customHeight="1" s="11">
      <c r="A10" s="13" t="n">
        <v>9</v>
      </c>
      <c r="B10" s="13" t="n">
        <v>2</v>
      </c>
      <c r="C10" s="14">
        <f>INDEX('부작 목록'!$C$2:$C$96,B10)</f>
        <v/>
      </c>
      <c r="D10" s="14" t="inlineStr">
        <is>
          <t>A 일상 회화</t>
        </is>
      </c>
      <c r="E10" s="13" t="n">
        <v>268</v>
      </c>
      <c r="F10" s="13" t="n">
        <v>19</v>
      </c>
      <c r="G10" s="15" t="inlineStr">
        <is>
          <t>알바로(Álvaro)가 불법 건축과 환경 파괴의 중심에 있는 익명의 제보자(혹은 내부 고발자)를 만 나 인터뷰하는 상황입니다. 긴장감이 감도는 취재 현장의 분위기를 살려, 접속법을 이용한 신뢰 확보와 조건법을 통한 가설적 상황 제시를 중심으로 구성했습니다.</t>
        </is>
      </c>
    </row>
    <row r="11" ht="41.75" customHeight="1" s="11">
      <c r="A11" s="13" t="n">
        <v>10</v>
      </c>
      <c r="B11" s="13" t="n">
        <v>2</v>
      </c>
      <c r="C11" s="14">
        <f>INDEX('부작 목록'!$C$2:$C$96,B11)</f>
        <v/>
      </c>
      <c r="D11" s="14" t="inlineStr">
        <is>
          <t>A 일상 회화</t>
        </is>
      </c>
      <c r="E11" s="13" t="n">
        <v>290</v>
      </c>
      <c r="F11" s="13" t="n">
        <v>15</v>
      </c>
      <c r="G11" s="15" t="inlineStr">
        <is>
          <t>알바로(Álvaro)가 데스크(상사)에게 취재한 내용과 확보한 증거물을 보고하며, 향후 보도 방향과 법적 리스크에 대해 논의하는 긴장감 넘치는 상황입니다. 상사와의 대화이므로 격식 있는 어조 와 접속법을 활용한 정중한 제안, 그리고 객관적 분석을 위한 직설법이 조화를 이룹니다.</t>
        </is>
      </c>
    </row>
    <row r="12" ht="28.35" customHeight="1" s="11">
      <c r="A12" s="13" t="n">
        <v>11</v>
      </c>
      <c r="B12" s="13" t="n">
        <v>2</v>
      </c>
      <c r="C12" s="14">
        <f>INDEX('부작 목록'!$C$2:$C$96,B12)</f>
        <v/>
      </c>
      <c r="D12" s="14" t="inlineStr">
        <is>
          <t>A 일상 회화</t>
        </is>
      </c>
      <c r="E12" s="13" t="n">
        <v>308</v>
      </c>
      <c r="F12" s="13" t="n">
        <v>14</v>
      </c>
      <c r="G12" s="15" t="inlineStr">
        <is>
          <t>알바로가 퇴근길 혹은 집에 돌아왔을 때, 보도 준비 중인 불법 토지 개발 건을 중단하라는 익명 의 협박 전화를 받는 상황입니다. 상대방은 알바로의 신상과 취재 내용을 상세히 알고 있다는 점을 강조하며 심리적 압박을 가합니다.</t>
        </is>
      </c>
    </row>
    <row r="13" ht="28.35" customHeight="1" s="11">
      <c r="A13" s="13" t="n">
        <v>12</v>
      </c>
      <c r="B13" s="13" t="n">
        <v>2</v>
      </c>
      <c r="C13" s="14">
        <f>INDEX('부작 목록'!$C$2:$C$96,B13)</f>
        <v/>
      </c>
      <c r="D13" s="14" t="inlineStr">
        <is>
          <t>A 일상 회화</t>
        </is>
      </c>
      <c r="E13" s="13" t="n">
        <v>325</v>
      </c>
      <c r="F13" s="13" t="n">
        <v>24</v>
      </c>
      <c r="G13" s="15" t="inlineStr">
        <is>
          <t>이 상황은 협박 전화 이후, 알바로가 국장실에서 안전 문제와 보도 가치를 두고 벌이는 치열한 논쟁, 그리고 결국 진실을 위해 기사를 송고하기로 합의하는 긴박한 순간입니다.</t>
        </is>
      </c>
    </row>
    <row r="14" ht="28.35" customHeight="1" s="11">
      <c r="A14" s="13" t="n">
        <v>13</v>
      </c>
      <c r="B14" s="13" t="n">
        <v>2</v>
      </c>
      <c r="C14" s="14">
        <f>INDEX('부작 목록'!$C$2:$C$96,B14)</f>
        <v/>
      </c>
      <c r="D14" s="14" t="inlineStr">
        <is>
          <t>A 일상 회화</t>
        </is>
      </c>
      <c r="E14" s="13" t="n">
        <v>352</v>
      </c>
      <c r="F14" s="13" t="n">
        <v>23</v>
      </c>
      <c r="G14" s="15" t="inlineStr">
        <is>
          <t>기사가 발행된 후, 마드리드의 한 카페에서 알바로와 하비에르가 긴장감이 가신 자리에서 차분 히 커피를 마시며 이번 탐사보도의 파장과 개인적인 소회를 나누는 상황입니다.</t>
        </is>
      </c>
    </row>
    <row r="15" ht="41.75" customHeight="1" s="11">
      <c r="A15" s="13" t="n">
        <v>14</v>
      </c>
      <c r="B15" s="13" t="n">
        <v>3</v>
      </c>
      <c r="C15" s="14">
        <f>INDEX('부작 목록'!$C$2:$C$96,B15)</f>
        <v/>
      </c>
      <c r="D15" s="14" t="inlineStr">
        <is>
          <t>A 일상 회화</t>
        </is>
      </c>
      <c r="E15" s="13" t="n">
        <v>378</v>
      </c>
      <c r="F15" s="13" t="n">
        <v>17</v>
      </c>
      <c r="G15" s="15" t="inlineStr">
        <is>
          <t>마드리드의 한 카페에서 하비에르와 알바로가 엘 파이스(El País)의 기사를 읽고 국제 정세에 대 해 나누는 대화입니다. 미국의 대이란 압박과 호르무즈 해협의 긴장 상황이라는 무거운 주제를 놓고, 두 기자의 냉철한 분석과 전망을 담았습니다.</t>
        </is>
      </c>
    </row>
    <row r="16" ht="41.75" customHeight="1" s="11">
      <c r="A16" s="13" t="n">
        <v>15</v>
      </c>
      <c r="B16" s="13" t="n">
        <v>3</v>
      </c>
      <c r="C16" s="14">
        <f>INDEX('부작 목록'!$C$2:$C$96,B16)</f>
        <v/>
      </c>
      <c r="D16" s="14" t="inlineStr">
        <is>
          <t>A 일상 회화</t>
        </is>
      </c>
      <c r="E16" s="13" t="n">
        <v>398</v>
      </c>
      <c r="F16" s="13" t="n">
        <v>19</v>
      </c>
      <c r="G16" s="15" t="inlineStr">
        <is>
          <t>엘 파이스(El País)의 독자 투고란(La Opinión del Lector)에 실린 마린 르펜, 바라베스(Barrabés) 사건, 나토, 페이호의 부상자(내부 갈등)에 관한 복합적인 정치 칼럼을 읽고, 하비에르와 알바로 가 마드리드 시내의 한 카페에서 비판적인 시각으로 나누는 대화입니다.</t>
        </is>
      </c>
    </row>
    <row r="17" ht="41.75" customHeight="1" s="11">
      <c r="A17" s="13" t="n">
        <v>16</v>
      </c>
      <c r="B17" s="13" t="n">
        <v>3</v>
      </c>
      <c r="C17" s="14">
        <f>INDEX('부작 목록'!$C$2:$C$96,B17)</f>
        <v/>
      </c>
      <c r="D17" s="14" t="inlineStr">
        <is>
          <t>A 일상 회화</t>
        </is>
      </c>
      <c r="E17" s="13" t="n">
        <v>421</v>
      </c>
      <c r="F17" s="13" t="n">
        <v>15</v>
      </c>
      <c r="G17" s="15" t="inlineStr">
        <is>
          <t>하비에르와 알바로가 월스트리트 저널(WSJ)의 최근 보도 내용을 바탕으로, 우크라이나 전황의 변화와 푸틴의 대응에 대해 마드리드의 한 사무실에서 심각하게 의견을 나누는 모습입니다. 이 번엔 두 사람의 전문적인 분석과 국제 정치에 대한 깊은 우려가 대화에 묻어납니다.</t>
        </is>
      </c>
    </row>
    <row r="18" ht="41.75" customHeight="1" s="11">
      <c r="A18" s="13" t="n">
        <v>17</v>
      </c>
      <c r="B18" s="13" t="n">
        <v>3</v>
      </c>
      <c r="C18" s="14">
        <f>INDEX('부작 목록'!$C$2:$C$96,B18)</f>
        <v/>
      </c>
      <c r="D18" s="14" t="inlineStr">
        <is>
          <t>A 일상 회화</t>
        </is>
      </c>
      <c r="E18" s="13" t="n">
        <v>439</v>
      </c>
      <c r="F18" s="13" t="n">
        <v>15</v>
      </c>
      <c r="G18" s="15" t="inlineStr">
        <is>
          <t>하비에르와 알바로가 이번에는 무거운 정치 기사가 아닌, WSJ의 라이프스타일 섹션에 실린 '유 럽 여행의 고통(폭염, 인파, 고물가)'에 관한 기사를 읽으며 나누는 대화입니다. 기자로서의 시각 이 아닌, 주말을 앞둔 평범한 여행자들의 관점에서 가벼운 대화가 이어집니다.</t>
        </is>
      </c>
    </row>
    <row r="19" ht="41.75" customHeight="1" s="11">
      <c r="A19" s="13" t="n">
        <v>18</v>
      </c>
      <c r="B19" s="13" t="n">
        <v>3</v>
      </c>
      <c r="C19" s="14">
        <f>INDEX('부작 목록'!$C$2:$C$96,B19)</f>
        <v/>
      </c>
      <c r="D19" s="14" t="inlineStr">
        <is>
          <t>A 일상 회화</t>
        </is>
      </c>
      <c r="E19" s="13" t="n">
        <v>457</v>
      </c>
      <c r="F19" s="13" t="n">
        <v>14</v>
      </c>
      <c r="G19" s="15" t="inlineStr">
        <is>
          <t>베네수엘라의 지진 피해와 취약해진 의료 시스템, 그리고 그로 인해 외부 의사들에 의존할 수밖 에 없는 현 상황을 다룬 WSJ 기사를 접한 하비에르와 알바로의 대화입니다. 국제 사회의 인도 주의적 위기와 보건 정책의 난맥상을 짚어보는 대화가 이어집니다.</t>
        </is>
      </c>
    </row>
    <row r="20" ht="41.75" customHeight="1" s="11">
      <c r="A20" s="13" t="n">
        <v>19</v>
      </c>
      <c r="B20" s="13" t="n">
        <v>3</v>
      </c>
      <c r="C20" s="14">
        <f>INDEX('부작 목록'!$C$2:$C$96,B20)</f>
        <v/>
      </c>
      <c r="D20" s="14" t="inlineStr">
        <is>
          <t>A 일상 회화</t>
        </is>
      </c>
      <c r="E20" s="13" t="n">
        <v>473</v>
      </c>
      <c r="F20" s="13" t="n">
        <v>16</v>
      </c>
      <c r="G20" s="15" t="inlineStr">
        <is>
          <t>엘 문도(El Mundo)의 2026년 7월 12일 자 기사는 현재 스페인 정국을 뒤흔들고 있는 복합적인 정치 이슈들을 다루고 있습니다. 이번에는 하비에르와 알바로가 주말 아침, 마드리드의 한 조용 한 카페에서 커피를 마시며 이 기사들에 대해 비판적이고 심도 있는 대화를 나누는 상황입니다.</t>
        </is>
      </c>
    </row>
    <row r="21" ht="41.75" customHeight="1" s="11">
      <c r="A21" s="13" t="n">
        <v>20</v>
      </c>
      <c r="B21" s="13" t="n">
        <v>3</v>
      </c>
      <c r="C21" s="14">
        <f>INDEX('부작 목록'!$C$2:$C$96,B21)</f>
        <v/>
      </c>
      <c r="D21" s="14" t="inlineStr">
        <is>
          <t>A 일상 회화</t>
        </is>
      </c>
      <c r="E21" s="13" t="n">
        <v>491</v>
      </c>
      <c r="F21" s="13" t="n">
        <v>16</v>
      </c>
      <c r="G21" s="15" t="inlineStr">
        <is>
          <t>이번 엘 문도(El Mundo)의 크로니카(Crónica) 섹션 기사를 읽은 하비에르와 알바로는 사회의 어 두운 이면이나 인간적인 드라마를 다루는 탐사보도 기자로서, 기사의 주제에 대해 깊은 공감을 나누고 있습니다. 마드리드의 한 조용한 테라스에서, 업무의 긴장감을 잠시 내려놓은 두 사람의 대화입니다.</t>
        </is>
      </c>
    </row>
    <row r="22" ht="41.75" customHeight="1" s="11">
      <c r="A22" s="13" t="n">
        <v>21</v>
      </c>
      <c r="B22" s="13" t="n">
        <v>3</v>
      </c>
      <c r="C22" s="14">
        <f>INDEX('부작 목록'!$C$2:$C$96,B22)</f>
        <v/>
      </c>
      <c r="D22" s="14" t="inlineStr">
        <is>
          <t>A 일상 회화</t>
        </is>
      </c>
      <c r="E22" s="13" t="n">
        <v>510</v>
      </c>
      <c r="F22" s="13" t="n">
        <v>13</v>
      </c>
      <c r="G22" s="15" t="inlineStr">
        <is>
          <t>캘리포니아의 불법 대마초 시장과 그에 대한 단속, 그리고 개빈 뉴섬 주지사의 정책을 다룬 WSJ의 오피니언 기사를 보며, 하비에르와 알바로는 '법과 규제'가 의도와 다르게 부작용을 낳는 현상에 대해 마드리드의 한 카페에서 대화를 나눕니다.</t>
        </is>
      </c>
    </row>
    <row r="23" ht="41.75" customHeight="1" s="11">
      <c r="A23" s="13" t="n">
        <v>22</v>
      </c>
      <c r="B23" s="13" t="n">
        <v>3</v>
      </c>
      <c r="C23" s="14">
        <f>INDEX('부작 목록'!$C$2:$C$96,B23)</f>
        <v/>
      </c>
      <c r="D23" s="14" t="inlineStr">
        <is>
          <t>A 일상 회화</t>
        </is>
      </c>
      <c r="E23" s="13" t="n">
        <v>525</v>
      </c>
      <c r="F23" s="13" t="n">
        <v>13</v>
      </c>
      <c r="G23" s="17" t="inlineStr">
        <is>
          <t>WSJ에서 보도한 러시아 바그너 그룹의 아프리카 내 마약 거래 연루 의혹은 매우 충격적이고 복합적인 국제 정세 이슈입니다. 마드리드의 한 카페에서 하비에르와 알바로는 이 기사를 읽으 며, 과거 그들이 다루었던 러시아 사업 개발 및 탐사보도 경험을 떠올리며 깊은 우려를 표합니 다.</t>
        </is>
      </c>
    </row>
    <row r="24" ht="41.75" customHeight="1" s="11">
      <c r="A24" s="13" t="n">
        <v>23</v>
      </c>
      <c r="B24" s="13" t="n">
        <v>3</v>
      </c>
      <c r="C24" s="14">
        <f>INDEX('부작 목록'!$C$2:$C$96,B24)</f>
        <v/>
      </c>
      <c r="D24" s="14" t="inlineStr">
        <is>
          <t>A 일상 회화</t>
        </is>
      </c>
      <c r="E24" s="13" t="n">
        <v>541</v>
      </c>
      <c r="F24" s="13" t="n">
        <v>17</v>
      </c>
      <c r="G24" s="15" t="inlineStr">
        <is>
          <t>알바로와 하비에르가 점심을 먹고 카페를 나서며, 스마트폰에 뜬 외국어 학습 서비스 광고 (Makes You Fluent)를 보고 나누는 대화입니다. 알바로는 여전히 이탈리아어 학습에 열정을 쏟 고 있고, 하비에르는 기자의 시각으로 이런 광고들의 효과를 냉철하게 분석합니다.</t>
        </is>
      </c>
    </row>
    <row r="25" ht="41.75" customHeight="1" s="11">
      <c r="A25" s="13" t="n">
        <v>24</v>
      </c>
      <c r="B25" s="13" t="n">
        <v>3</v>
      </c>
      <c r="C25" s="14">
        <f>INDEX('부작 목록'!$C$2:$C$96,B25)</f>
        <v/>
      </c>
      <c r="D25" s="14" t="inlineStr">
        <is>
          <t>A 일상 회화</t>
        </is>
      </c>
      <c r="E25" s="13" t="n">
        <v>561</v>
      </c>
      <c r="F25" s="13" t="n">
        <v>10</v>
      </c>
      <c r="G25" s="15" t="inlineStr">
        <is>
          <t>하비에르와 알바로가 인공지능 분야의 거대 기업인 앤스로픽(Anthropic)과 오픈AI(OpenAI)가 직 면한 정치적 리스크를 다룬 WSJ의 테크 기사를 읽고 있습니다. 정보 기술과 정치의 결합은 두 기자가 최근 가장 깊이 있게 파고드는 주제 중 하나입니다. 마드리드의 한 사무실에서 두 사람 은 미래의 기술 권력이 정치에 미칠 영향력에 대해 토론합니다.</t>
        </is>
      </c>
    </row>
    <row r="26" ht="41.75" customHeight="1" s="11">
      <c r="A26" s="13" t="n">
        <v>25</v>
      </c>
      <c r="B26" s="13" t="n">
        <v>3</v>
      </c>
      <c r="C26" s="14">
        <f>INDEX('부작 목록'!$C$2:$C$96,B26)</f>
        <v/>
      </c>
      <c r="D26" s="14" t="inlineStr">
        <is>
          <t>A 일상 회화</t>
        </is>
      </c>
      <c r="E26" s="13" t="n">
        <v>574</v>
      </c>
      <c r="F26" s="13" t="n">
        <v>17</v>
      </c>
      <c r="G26" s="15" t="inlineStr">
        <is>
          <t>하비에르와 알바로가 이번에는 마드리드의 한 사무실에서 스페인 통신 대기업 텔레포니카 (Telefónica)의 독일 자회사 구조조정 뉴스를 접하고 대화를 나눕니다. 거대 기업의 인력 조정 소식은 기자로서 두 사람에게 노동 시장의 경직성과 기업 전략의 변화라는 무거운 화두를 던져 줍니다.</t>
        </is>
      </c>
    </row>
    <row r="27" ht="55.2" customHeight="1" s="11">
      <c r="A27" s="13" t="n">
        <v>26</v>
      </c>
      <c r="B27" s="13" t="n">
        <v>4</v>
      </c>
      <c r="C27" s="14">
        <f>INDEX('부작 목록'!$C$2:$C$96,B27)</f>
        <v/>
      </c>
      <c r="D27" s="14" t="inlineStr">
        <is>
          <t>B 카를로스 사건집</t>
        </is>
      </c>
      <c r="E27" s="13" t="n">
        <v>596</v>
      </c>
      <c r="F27" s="13" t="n">
        <v>51</v>
      </c>
      <c r="G27" s="15" t="inlineStr">
        <is>
          <t>알바로가 오랜만에 대학 시절 친구이자 현재 스페인 국가정보원(CNI)에서 근무하는 카를로스 (Carlos)와 우연히 마주치는 상황입니다. 카를로스는 스페인과 콜롬비아를 잇는 불법 무기 밀매 조직에 대한 정보를 얻기 위해, 신뢰할 수 있는 기자인 알바로에게 위장 잠입 취재를 부탁합니 다. 처음엔 망설이던 알바로는 며칠간의 고민 끝에 결국 이 위험한 제안을 받아들이기로 결심합 니다.</t>
        </is>
      </c>
    </row>
    <row r="28" ht="55.2" customHeight="1" s="11">
      <c r="A28" s="13" t="n">
        <v>27</v>
      </c>
      <c r="B28" s="13" t="n">
        <v>4</v>
      </c>
      <c r="C28" s="14">
        <f>INDEX('부작 목록'!$C$2:$C$96,B28)</f>
        <v/>
      </c>
      <c r="D28" s="14" t="inlineStr">
        <is>
          <t>B 카를로스 사건집</t>
        </is>
      </c>
      <c r="E28" s="13" t="n">
        <v>651</v>
      </c>
      <c r="F28" s="13" t="n">
        <v>27</v>
      </c>
      <c r="G28" s="15" t="inlineStr">
        <is>
          <t>카를로스의 준비를 거쳐 위장 신분 '디에고 바르가스(Diego Vargas)'가 된 알바로가, 카디스 항 구 근처의 허름한 술집에서 조직의 스페인 측 중간책인 마놀로(Manolo)를 처음으로 만나는 상 황입니다. 물류·수입업 사업가로 자신을 소개한 알바로는 신뢰를 얻기 위해 조심스럽게 대화를 이어가지만, 아직 초면인 만큼 마놀로는 구체적인 정보는 내주지 않고 알바로를 시험하려 합니 다.</t>
        </is>
      </c>
    </row>
    <row r="29" ht="54.45" customHeight="1" s="11">
      <c r="A29" s="13" t="n">
        <v>28</v>
      </c>
      <c r="B29" s="13" t="n">
        <v>4</v>
      </c>
      <c r="C29" s="14">
        <f>INDEX('부작 목록'!$C$2:$C$96,B29)</f>
        <v/>
      </c>
      <c r="D29" s="14" t="inlineStr">
        <is>
          <t>B 카를로스 사건집</t>
        </is>
      </c>
      <c r="E29" s="13" t="n">
        <v>681</v>
      </c>
      <c r="F29" s="13" t="n">
        <v>35</v>
      </c>
      <c r="G29" s="15" t="inlineStr">
        <is>
          <t>마놀로가 알바로(디에고)를 조직의 실질적인 책임자인 파비안(Fabián)—콜롬비아 출신으로 스페 인 쪽 사업을 총괄하는 인물—에게 소개하는 자리입니다. 카디스 외곽의 한 창고에서 이루어지 는 이 만남에서, 파비안은 디에고를 한층 더 신중하게 시험하면서도 신뢰를 얻은 대가로 그에게 첫 임무를 맡기며, 조직의 운영 방식을 조금씩 드러내기 시작합니다.</t>
        </is>
      </c>
    </row>
    <row r="30" ht="41.75" customHeight="1" s="11">
      <c r="A30" s="13" t="n">
        <v>29</v>
      </c>
      <c r="B30" s="13" t="n">
        <v>4</v>
      </c>
      <c r="C30" s="14">
        <f>INDEX('부작 목록'!$C$2:$C$96,B30)</f>
        <v/>
      </c>
      <c r="D30" s="14" t="inlineStr">
        <is>
          <t>B 카를로스 사건집</t>
        </is>
      </c>
      <c r="E30" s="13" t="n">
        <v>720</v>
      </c>
      <c r="F30" s="13" t="n">
        <v>17</v>
      </c>
      <c r="G30" s="15" t="inlineStr">
        <is>
          <t>일주일 후, 알바로(디에고)가 카디스 항구의 한 사무실에서 마놀로와 함께 첫 임무인 통관 서류 작업을 진행하는 상황입니다. 서류에 서명하고 도장을 찍는 와중에, 알바로는 조직의 운영 방식 에 대한 단서를 놓치지 않으려 애쓰면서도, 자신의 정체가 들통나지 않도록 극도로 조심합니다.</t>
        </is>
      </c>
    </row>
    <row r="31" ht="41.75" customHeight="1" s="11">
      <c r="A31" s="13" t="n">
        <v>30</v>
      </c>
      <c r="B31" s="13" t="n">
        <v>4</v>
      </c>
      <c r="C31" s="14">
        <f>INDEX('부작 목록'!$C$2:$C$96,B31)</f>
        <v/>
      </c>
      <c r="D31" s="14" t="inlineStr">
        <is>
          <t>B 카를로스 사건집</t>
        </is>
      </c>
      <c r="E31" s="13" t="n">
        <v>740</v>
      </c>
      <c r="F31" s="13" t="n">
        <v>31</v>
      </c>
      <c r="G31" s="15" t="inlineStr">
        <is>
          <t>며칠 후, 파비안이 갑작스레 디에고(알바로)를 창고로 불러들입니다. 조직 내부에서 그의 신원에 대한 의혹이 제기된 상황입니다. 파비안은 예리하고 집요한 질문으로 디에고의 이야기에서 허점 을 찾아내려 하고, 알바로는 침착함을 유지하며 이 위기를 넘기려 안간힘을 씁니다.</t>
        </is>
      </c>
    </row>
    <row r="32" ht="55.2" customHeight="1" s="11">
      <c r="A32" s="13" t="n">
        <v>31</v>
      </c>
      <c r="B32" s="13" t="n">
        <v>4</v>
      </c>
      <c r="C32" s="14">
        <f>INDEX('부작 목록'!$C$2:$C$96,B32)</f>
        <v/>
      </c>
      <c r="D32" s="14" t="inlineStr">
        <is>
          <t>B 카를로스 사건집</t>
        </is>
      </c>
      <c r="E32" s="13" t="n">
        <v>775</v>
      </c>
      <c r="F32" s="13" t="n">
        <v>95</v>
      </c>
      <c r="G32" s="15" t="inlineStr">
        <is>
          <t>심문이 끝난 직후, 뜻밖에도 파비안이 알바로(디에고)에게 저녁 식사를 제안합니다. 거절하면 오히려 의심을 살까 봐 알바로는 이를 받아들이고, 카디스 바닷가의 한 고급 레스토랑에서 파비안과 마주 앉습니다. 겉으로는 친목을 다지는 자리처럼 보이지만, 파비안은 와인 잔을 기울이며 훨씬 더 사적이고 은근한 방식으로 디에고를 계속 시험합니다. 술을 얼마나 마시는지 지켜보고, 앞서 했던 이야기를 슬쩍 다시 묻고, 있지도 않은 지인의 이름을 흘려 떠보기도 합니다. 그러면서도 뜻밖에 자신의 어린 시절과 과거를 조금씩 털어놓고, 화물 물량을 두 배로 늘리자는 제안까지 꺼냅니다.</t>
        </is>
      </c>
    </row>
    <row r="33" ht="55.2" customHeight="1" s="11">
      <c r="A33" s="13" t="n">
        <v>32</v>
      </c>
      <c r="B33" s="13" t="n">
        <v>4</v>
      </c>
      <c r="C33" s="14">
        <f>INDEX('부작 목록'!$C$2:$C$96,B33)</f>
        <v/>
      </c>
      <c r="D33" s="14" t="inlineStr">
        <is>
          <t>B 카를로스 사건집</t>
        </is>
      </c>
      <c r="E33" s="13" t="n">
        <v>872</v>
      </c>
      <c r="F33" s="13" t="n">
        <v>176</v>
      </c>
      <c r="G33" s="15" t="inlineStr">
        <is>
          <t>식사 마지막에 나온 식후주에는 파비안이 미리 약을 타 두었습니다. 식당을 나와 차 안에서 에르네스토와 통화를 마친 알바로는 시동도 걸지 못한 채 정신을 잃고, 눈을 떴을 때는 이미 낯선 창고 안, 의자에 묶인 채였습니다. 파비안과 마놀로가 여러 각도에서 집요하게 파고들며 그의 이야기 속 허점을 찾으려 하고, 기억이 끊긴 틈과 휴대폰 기록까지 파고듭니다. 알바로는 몽롱한 정신을 붙잡고 끝까지 침착함을 유지하며 이 길고 위험한 시험을 버텨냅니다.</t>
        </is>
      </c>
    </row>
    <row r="34" ht="41.75" customHeight="1" s="11">
      <c r="A34" s="13" t="n">
        <v>33</v>
      </c>
      <c r="B34" s="13" t="n">
        <v>4</v>
      </c>
      <c r="C34" s="14">
        <f>INDEX('부작 목록'!$C$2:$C$96,B34)</f>
        <v/>
      </c>
      <c r="D34" s="14" t="inlineStr">
        <is>
          <t>B 카를로스 사건집</t>
        </is>
      </c>
      <c r="E34" s="13" t="n">
        <v>1050</v>
      </c>
      <c r="F34" s="13" t="n">
        <v>161</v>
      </c>
      <c r="G34" s="15" t="inlineStr">
        <is>
          <t>몇 시간이 흐른 새벽 세 시 반. 약기운은 조금씩 가시지만 갈증과 두통, 몸의 떨림은 오히려 심해졌습니다. 파비안은 같은 질문을 순서만 바꿔 반복하며 모순을 찾고, 마놀로는 점점 거칠어집니다. 알바로는 단 한 번의 말실수가 곧 죽음이라는 것을 알면서도 끝까지 가짜 신분 '디에고'를 지켜냅니다.</t>
        </is>
      </c>
    </row>
    <row r="35" ht="41.75" customHeight="1" s="11">
      <c r="A35" s="13" t="n">
        <v>34</v>
      </c>
      <c r="B35" s="13" t="n">
        <v>4</v>
      </c>
      <c r="C35" s="14">
        <f>INDEX('부작 목록'!$C$2:$C$96,B35)</f>
        <v/>
      </c>
      <c r="D35" s="14" t="inlineStr">
        <is>
          <t>B 카를로스 사건집</t>
        </is>
      </c>
      <c r="E35" s="13" t="n">
        <v>1213</v>
      </c>
      <c r="F35" s="13" t="n">
        <v>45</v>
      </c>
      <c r="G35" s="15" t="inlineStr">
        <is>
          <t>다음 날 오전, 알바로는 안전 가옥 근처 카페에서 카를로스를 만나 전날 밤 있었던 일—파비안 이 와인에 약을 타고 별도의 창고에서 그를 위협적으로 심문했던 일—을 보고합니다. 카를로스 는 상황의 심각성에 놀라며 작전을 계속할지 여부를 놓고 알바로와 진지하게 논의합니다.</t>
        </is>
      </c>
    </row>
    <row r="36" ht="41.75" customHeight="1" s="11">
      <c r="A36" s="13" t="n">
        <v>35</v>
      </c>
      <c r="B36" s="13" t="n">
        <v>4</v>
      </c>
      <c r="C36" s="14">
        <f>INDEX('부작 목록'!$C$2:$C$96,B36)</f>
        <v/>
      </c>
      <c r="D36" s="14" t="inlineStr">
        <is>
          <t>B 카를로스 사건집</t>
        </is>
      </c>
      <c r="E36" s="13" t="n">
        <v>1262</v>
      </c>
      <c r="F36" s="13" t="n">
        <v>28</v>
      </c>
      <c r="G36" s="15" t="inlineStr">
        <is>
          <t>월요일 두 번째 작전을 앞두고, 알바로(디에고)가 파비안과 마놀로에게 며칠간 마드리드에 다녀 와야 한다고 알립니다. 표면적으로는 개인·사업상의 용무 때문이지만, 실은 카를로스와 하비에르 를 만나 상황을 공유하려는 목적입니다. 최근 심문 이후로 여전히 경계심을 늦추지 않는 파비안 은 이 요청에 신중하게 반응하며 몇 가지 조건을 내겁니다.</t>
        </is>
      </c>
    </row>
    <row r="37" ht="41.75" customHeight="1" s="11">
      <c r="A37" s="13" t="n">
        <v>36</v>
      </c>
      <c r="B37" s="13" t="n">
        <v>4</v>
      </c>
      <c r="C37" s="14">
        <f>INDEX('부작 목록'!$C$2:$C$96,B37)</f>
        <v/>
      </c>
      <c r="D37" s="14" t="inlineStr">
        <is>
          <t>B 카를로스 사건집</t>
        </is>
      </c>
      <c r="E37" s="13" t="n">
        <v>1294</v>
      </c>
      <c r="F37" s="13" t="n">
        <v>24</v>
      </c>
      <c r="G37" s="15" t="inlineStr">
        <is>
          <t>마드리드에 도착한 알바로는 공항에서부터 낯선 남자가 자신을 따라오고 있다는 것을 눈치챕니 다. 카를로스와 미리 정해둔 안전한 바에서 만난 그는 이 사실을 알리고, 두 사람은 감시를 따 돌릴 방법과 다음 작전에서 결정적 증거를 확보할 방법을 짧고 긴박하게 논의합니다.</t>
        </is>
      </c>
    </row>
    <row r="38" ht="28.35" customHeight="1" s="11">
      <c r="A38" s="13" t="n">
        <v>37</v>
      </c>
      <c r="B38" s="13" t="n">
        <v>4</v>
      </c>
      <c r="C38" s="14">
        <f>INDEX('부작 목록'!$C$2:$C$96,B38)</f>
        <v/>
      </c>
      <c r="D38" s="14" t="inlineStr">
        <is>
          <t>B 카를로스 사건집</t>
        </is>
      </c>
      <c r="E38" s="13" t="n">
        <v>1321</v>
      </c>
      <c r="F38" s="13" t="n">
        <v>10</v>
      </c>
      <c r="G38" s="15" t="inlineStr">
        <is>
          <t>목요일, 카디스 창고에서 두 번째 작전이 한창 진행되는 가운데, 마놀로가 잠시 자리를 비운 틈 을 타 알바로는 화물 목록이 적힌 서류를 몰래 촬영하고 핵심 수치를 암기합니다. 짧지만 결정 적인 순간입니다.</t>
        </is>
      </c>
    </row>
    <row r="39" ht="28.35" customHeight="1" s="11">
      <c r="A39" s="13" t="n">
        <v>38</v>
      </c>
      <c r="B39" s="13" t="n">
        <v>4</v>
      </c>
      <c r="C39" s="14">
        <f>INDEX('부작 목록'!$C$2:$C$96,B39)</f>
        <v/>
      </c>
      <c r="D39" s="14" t="inlineStr">
        <is>
          <t>B 카를로스 사건집</t>
        </is>
      </c>
      <c r="E39" s="13" t="n">
        <v>1334</v>
      </c>
      <c r="F39" s="13" t="n">
        <v>18</v>
      </c>
      <c r="G39" s="15" t="inlineStr">
        <is>
          <t>그날 밤, 안전한 숙소에 도착한 알바로가 카를로스에게 전화를 걸어 서류에서 확인한 화물 목록 과 수량을 상세히 전달합니다. 몇 주간의 위험한 잠입 끝에 마침내 손에 넣은 결정적 증거입니 다.</t>
        </is>
      </c>
    </row>
    <row r="40" ht="41.75" customHeight="1" s="11">
      <c r="A40" s="13" t="n">
        <v>39</v>
      </c>
      <c r="B40" s="13" t="n">
        <v>4</v>
      </c>
      <c r="C40" s="14">
        <f>INDEX('부작 목록'!$C$2:$C$96,B40)</f>
        <v/>
      </c>
      <c r="D40" s="14" t="inlineStr">
        <is>
          <t>B 카를로스 사건집</t>
        </is>
      </c>
      <c r="E40" s="13" t="n">
        <v>1355</v>
      </c>
      <c r="F40" s="13" t="n">
        <v>28</v>
      </c>
      <c r="G40" s="15" t="inlineStr">
        <is>
          <t>두 번째 작전이 성공적으로 끝난 후, 파비안이 알바로(디에고)에게 뜻밖의 제안을 합니다: 다음 주 콜롬비아 카르타헤나로 함께 출장을 가자는 것입니다. 조직의 핵심부에 한 걸음 더 다가설 기회이자 동시에 훨씬 더 큰 위험을 의미하는 상황에서, 알바로는 잠시 고민한 끝에 이를 수락 합니다.</t>
        </is>
      </c>
    </row>
    <row r="41" ht="41.75" customHeight="1" s="11">
      <c r="A41" s="13" t="n">
        <v>40</v>
      </c>
      <c r="B41" s="13" t="n">
        <v>4</v>
      </c>
      <c r="C41" s="14">
        <f>INDEX('부작 목록'!$C$2:$C$96,B41)</f>
        <v/>
      </c>
      <c r="D41" s="14" t="inlineStr">
        <is>
          <t>B 카를로스 사건집</t>
        </is>
      </c>
      <c r="E41" s="13" t="n">
        <v>1386</v>
      </c>
      <c r="F41" s="13" t="n">
        <v>30</v>
      </c>
      <c r="G41" s="15" t="inlineStr">
        <is>
          <t>출장을 앞두고, 알바로는 카를로스를 만나 파비안과 함께 콜롬비아로 떠난다는 소식을 전합니 다. 스페인 국경을 벗어나는 만큼 위험이 한층 커진 상황이라, 두 사람은 현지에서의 안전 대책 과 비상시 대응 방안을 신중하게 논의합니다.</t>
        </is>
      </c>
    </row>
    <row r="42" ht="55.2" customHeight="1" s="11">
      <c r="A42" s="13" t="n">
        <v>41</v>
      </c>
      <c r="B42" s="13" t="n">
        <v>4</v>
      </c>
      <c r="C42" s="14">
        <f>INDEX('부작 목록'!$C$2:$C$96,B42)</f>
        <v/>
      </c>
      <c r="D42" s="14" t="inlineStr">
        <is>
          <t>B 카를로스 사건집</t>
        </is>
      </c>
      <c r="E42" s="13" t="n">
        <v>1420</v>
      </c>
      <c r="F42" s="13" t="n">
        <v>56</v>
      </c>
      <c r="G42" s="15" t="inlineStr">
        <is>
          <t>카르타헤나 외곽의 한 대저택. 파비안과 디에고(알바로)가 도착한 자리에는 뜻밖의 손님들이 기 다리고 있었습니다: 스페인 정보기관 출신의 라몬 이바라(Ramón Ibarra)와 미국 쪽 기관 소속의 도일(Doyle)—둘 다 조직으로부터 은밀히 돈을 받고 수사망을 피하도록 도와주는 부패한 인물들 입니다. 알바로는 이 충격적인 사실 앞에서 침착함을 유지하며 최대한 많은 정보를 머릿속에 담 아두려 애씁니다.</t>
        </is>
      </c>
    </row>
    <row r="43" ht="41.75" customHeight="1" s="11">
      <c r="A43" s="13" t="n">
        <v>42</v>
      </c>
      <c r="B43" s="13" t="n">
        <v>4</v>
      </c>
      <c r="C43" s="14">
        <f>INDEX('부작 목록'!$C$2:$C$96,B43)</f>
        <v/>
      </c>
      <c r="D43" s="14" t="inlineStr">
        <is>
          <t>B 카를로스 사건집</t>
        </is>
      </c>
      <c r="E43" s="13" t="n">
        <v>1480</v>
      </c>
      <c r="F43" s="13" t="n">
        <v>34</v>
      </c>
      <c r="G43" s="15" t="inlineStr">
        <is>
          <t>다음 날, 파비안이 알바로(디에고)를 따로 불러 이번 화물의 세부 사항을 공개합니다: 정확한 경 로, 최종 목적지, 그리고 이 무기들이 실제로 누구에게 어떤 목적으로 팔리는지까지. 이어 파비 안은 알바로에게 충성을 맹세하도록 요구하고, 마지막으로 서류에 서명하게 합니다—그 서명이 실제로 어떤 의미를 갖는지도 함께 알려줍니다.</t>
        </is>
      </c>
    </row>
    <row r="44" ht="41.75" customHeight="1" s="11">
      <c r="A44" s="13" t="n">
        <v>43</v>
      </c>
      <c r="B44" s="13" t="n">
        <v>4</v>
      </c>
      <c r="C44" s="14">
        <f>INDEX('부작 목록'!$C$2:$C$96,B44)</f>
        <v/>
      </c>
      <c r="D44" s="14" t="inlineStr">
        <is>
          <t>B 카를로스 사건집</t>
        </is>
      </c>
      <c r="E44" s="13" t="n">
        <v>1518</v>
      </c>
      <c r="F44" s="13" t="n">
        <v>40</v>
      </c>
      <c r="G44" s="15" t="inlineStr">
        <is>
          <t>점심 식사 자리에 파비안, 알바로(디에고), 라몬, 도일, 그리고 콜롬비아 쪽 인맥인 윌슨까지 모 두 모입니다. 대화 도중 윌슨이 우연히 하비에르라는 스페인 기자의 이름을 꺼내면서, 알바로에 게는 청천벽력 같은 대화가 이어집니다. 이어 도일이 자신의 구체적인 역할을 설명하고, 라몬은 파비안에게 조직 내 잠입 시도에 대한 소문을 전하며 경고합니다.</t>
        </is>
      </c>
    </row>
    <row r="45" ht="41.75" customHeight="1" s="11">
      <c r="A45" s="13" t="n">
        <v>44</v>
      </c>
      <c r="B45" s="13" t="n">
        <v>4</v>
      </c>
      <c r="C45" s="14">
        <f>INDEX('부작 목록'!$C$2:$C$96,B45)</f>
        <v/>
      </c>
      <c r="D45" s="14" t="inlineStr">
        <is>
          <t>B 카를로스 사건집</t>
        </is>
      </c>
      <c r="E45" s="13" t="n">
        <v>1562</v>
      </c>
      <c r="F45" s="13" t="n">
        <v>35</v>
      </c>
      <c r="G45" s="15" t="inlineStr">
        <is>
          <t>점심 식사 후, 커피와 함께 한층 여유로워진 분위기 속에서 알바로는 자리에 있는 사람들과 가 벼운 일상 대화를 나눕니다. 겉으로는 그저 친목을 다지는 대화처럼 보이지만, 사실 그는 각자 의 고향, 가족, 취미, 생활 습관 같은 사소한 정보들을 하나하나 머릿속에 새겨두며 나중에 카를 로스에게 전달할 프로필을 만들고 있습니다.</t>
        </is>
      </c>
    </row>
    <row r="46" ht="41.75" customHeight="1" s="11">
      <c r="A46" s="13" t="n">
        <v>45</v>
      </c>
      <c r="B46" s="13" t="n">
        <v>4</v>
      </c>
      <c r="C46" s="14">
        <f>INDEX('부작 목록'!$C$2:$C$96,B46)</f>
        <v/>
      </c>
      <c r="D46" s="14" t="inlineStr">
        <is>
          <t>B 카를로스 사건집</t>
        </is>
      </c>
      <c r="E46" s="13" t="n">
        <v>1601</v>
      </c>
      <c r="F46" s="13" t="n">
        <v>36</v>
      </c>
      <c r="G46" s="15" t="inlineStr">
        <is>
          <t>그날 밤, 알바로는 라몬과 도일이라는 이름이 가명일 가능성이 크다고 판단합니다. 실명은 알아 낼 수 없었지만, 카를로스가 신원을 특정할 수 있도록 최대한 상세한 인상착의와 특징, 그리고 스몰토크 중에 얻은 개인 정보를 기억해내 전화로 전달합니다.</t>
        </is>
      </c>
    </row>
    <row r="47" ht="41.75" customHeight="1" s="11">
      <c r="A47" s="13" t="n">
        <v>46</v>
      </c>
      <c r="B47" s="13" t="n">
        <v>4</v>
      </c>
      <c r="C47" s="14">
        <f>INDEX('부작 목록'!$C$2:$C$96,B47)</f>
        <v/>
      </c>
      <c r="D47" s="14" t="inlineStr">
        <is>
          <t>B 카를로스 사건집</t>
        </is>
      </c>
      <c r="E47" s="13" t="n">
        <v>1641</v>
      </c>
      <c r="F47" s="13" t="n">
        <v>30</v>
      </c>
      <c r="G47" s="15" t="inlineStr">
        <is>
          <t>카르타헤나에서의 일정이 거의 끝나갈 무렵, 파비안이 갑작스레 베네수엘라로 함께 가자고 제안 합니다. 사전 계획에 없던 급작스러운 이동이라 카를로스에게 알릴 시간조차 없이, 알바로는 순 간적으로 결정을 내려야 하는 상황에 놓입니다.</t>
        </is>
      </c>
    </row>
    <row r="48" ht="41.75" customHeight="1" s="11">
      <c r="A48" s="13" t="n">
        <v>47</v>
      </c>
      <c r="B48" s="13" t="n">
        <v>4</v>
      </c>
      <c r="C48" s="14">
        <f>INDEX('부작 목록'!$C$2:$C$96,B48)</f>
        <v/>
      </c>
      <c r="D48" s="14" t="inlineStr">
        <is>
          <t>B 카를로스 사건집</t>
        </is>
      </c>
      <c r="E48" s="13" t="n">
        <v>1675</v>
      </c>
      <c r="F48" s="13" t="n">
        <v>93</v>
      </c>
      <c r="G48" s="15" t="inlineStr">
        <is>
          <t>공항에 도착한 파비안과 디에고(알바로)를 구매 조직 측 기사 페드로(Pedro)가 마중 나옵니다. 차로 이동해 외곽의 거처에 도착한 두 사람은 구매 조직의 수장인 코만단테 루에다 (Comandante Rueda)와 인사를 나누고, 이후 근처 식당으로 자리를 옮겨 식사를 하며 다음 거래 의 품목, 규모, 납기에 대해 논의합니다.</t>
        </is>
      </c>
    </row>
    <row r="49" ht="41.75" customHeight="1" s="11">
      <c r="A49" s="13" t="n">
        <v>48</v>
      </c>
      <c r="B49" s="13" t="n">
        <v>4</v>
      </c>
      <c r="C49" s="14">
        <f>INDEX('부작 목록'!$C$2:$C$96,B49)</f>
        <v/>
      </c>
      <c r="D49" s="14" t="inlineStr">
        <is>
          <t>B 카를로스 사건집</t>
        </is>
      </c>
      <c r="E49" s="13" t="n">
        <v>1774</v>
      </c>
      <c r="F49" s="13" t="n">
        <v>36</v>
      </c>
      <c r="G49" s="15" t="inlineStr">
        <is>
          <t>코만단테 루에다의 거처로 돌아온 그날 밤, 잠시 혼자가 된 틈을 타 알바로는 마침내 카를로스 에게 연락합니다. 사전 통보 없이 베네수엘라까지 오게 된 경위와 새 거래 조건, 그리고 다음번 엔 직접 인수 현장까지 와야 한다는 위험한 요구까지 모두 전달합니다.</t>
        </is>
      </c>
    </row>
    <row r="50" ht="55.2" customHeight="1" s="11">
      <c r="A50" s="13" t="n">
        <v>49</v>
      </c>
      <c r="B50" s="13" t="n">
        <v>4</v>
      </c>
      <c r="C50" s="14">
        <f>INDEX('부작 목록'!$C$2:$C$96,B50)</f>
        <v/>
      </c>
      <c r="D50" s="14" t="inlineStr">
        <is>
          <t>B 카를로스 사건집</t>
        </is>
      </c>
      <c r="E50" s="13" t="n">
        <v>1814</v>
      </c>
      <c r="F50" s="13" t="n">
        <v>60</v>
      </c>
      <c r="G50" s="15" t="inlineStr">
        <is>
          <t>카르타헤나를 거쳐 스페인으로 돌아온 알바로는 마드리드에서 카를로스를 직접 만나 베네수엘 라에서 얻은 모든 정보를 바탕으로 대규모 급습 작전을 계획합니다. 그러나 며칠 후, 파비안이 하비에르 제거 계획을 실행에 옮기려 한다는 사실을 알게 된 알바로는 이를 막으려 급하게 움 직이고, 그 과정에서 결국 파비안이 알바로의 진짜 정체를 눈치채고 맙니다.</t>
        </is>
      </c>
    </row>
    <row r="51" ht="28.35" customHeight="1" s="11">
      <c r="A51" s="13" t="n">
        <v>50</v>
      </c>
      <c r="B51" s="13" t="n">
        <v>4</v>
      </c>
      <c r="C51" s="14">
        <f>INDEX('부작 목록'!$C$2:$C$96,B51)</f>
        <v/>
      </c>
      <c r="D51" s="14" t="inlineStr">
        <is>
          <t>B 카를로스 사건집</t>
        </is>
      </c>
      <c r="E51" s="13" t="n">
        <v>1879</v>
      </c>
      <c r="F51" s="13" t="n">
        <v>31</v>
      </c>
      <c r="G51" s="15" t="inlineStr">
        <is>
          <t>정체가 발각된 알바로가 파비안과 대치하는 긴박한 순간입니다. 알바로는 몸에 지니고 있던 비 상 위치추적기를 몰래 작동시키며 시간을 벌려 하고, 그사이 마놀로까지 상황을 알게 되면서 사 무실 안의 긴장은 최고조에 달합니다.</t>
        </is>
      </c>
    </row>
    <row r="52" ht="28.35" customHeight="1" s="11">
      <c r="A52" s="13" t="n">
        <v>51</v>
      </c>
      <c r="B52" s="13" t="n">
        <v>4</v>
      </c>
      <c r="C52" s="14">
        <f>INDEX('부작 목록'!$C$2:$C$96,B52)</f>
        <v/>
      </c>
      <c r="D52" s="14" t="inlineStr">
        <is>
          <t>B 카를로스 사건집</t>
        </is>
      </c>
      <c r="E52" s="13" t="n">
        <v>1914</v>
      </c>
      <c r="F52" s="13" t="n">
        <v>38</v>
      </c>
      <c r="G52" s="15" t="inlineStr">
        <is>
          <t>작전이 성공적으로 마무리된 후, 알바로는 신문사로 돌아와 데스크(국장), 하비에르, 그리고 신문 사 법무 자문 마르타(Marta)와 함께 그동안의 잠입 취재 전모를 공유하고, 이를 어떻게 기사화 할지 논의합니다.</t>
        </is>
      </c>
    </row>
    <row r="53" ht="28.35" customHeight="1" s="11">
      <c r="A53" s="13" t="n">
        <v>52</v>
      </c>
      <c r="B53" s="13" t="n">
        <v>4</v>
      </c>
      <c r="C53" s="14">
        <f>INDEX('부작 목록'!$C$2:$C$96,B53)</f>
        <v/>
      </c>
      <c r="D53" s="14" t="inlineStr">
        <is>
          <t>B 카를로스 사건집</t>
        </is>
      </c>
      <c r="E53" s="13" t="n">
        <v>1956</v>
      </c>
      <c r="F53" s="13" t="n">
        <v>45</v>
      </c>
      <c r="G53" s="15" t="inlineStr">
        <is>
          <t>사건이 마무리되고 몇 주가 지난 주말, 알바로와 카를로스가 마드리드의 한 테라스 식당에서 만 나 점심을 먹으며 그동안의 사건이 최종적으로 어떻게 마무리됐는지 차분히 이야기를 나눕니다.</t>
        </is>
      </c>
    </row>
    <row r="54" ht="41.75" customHeight="1" s="11">
      <c r="A54" s="10" t="n">
        <v>53</v>
      </c>
      <c r="B54" s="10" t="n">
        <v>5</v>
      </c>
      <c r="C54" s="10">
        <f>INDEX('부작 목록'!$C$2:$C$96,B54)</f>
        <v/>
      </c>
      <c r="D54" s="10" t="inlineStr">
        <is>
          <t>B 카를로스 사건집</t>
        </is>
      </c>
      <c r="E54" s="10" t="n">
        <v>2005</v>
      </c>
      <c r="F54" s="10" t="n">
        <v>98</v>
      </c>
      <c r="G54" s="10" t="inlineStr">
        <is>
          <t>무기 밀매 사건 보도 이후 몇 달이 지난 어느 날, 카를로스가 알바로에게 새로운 임무를 제안합니다. 이번엔 마드리드의 한 고급 경매장을 거점으로 페루산 콜럼버스 이전 시대 유물을 밀반출·세탁하는 조직에 위장 잠입하는 작전입니다. 카를로스는 유네스코 1970년 협약이라는 법적 틀, 위장 신분 '다니엘 로메로'의 세부 설정, 비상 연락 신호까지 꼼꼼히 설명하며, 이 세계의 위험을 결코 가볍게 보지 말라고 거듭 당부합니다.</t>
        </is>
      </c>
    </row>
    <row r="55" ht="28.35" customHeight="1" s="11">
      <c r="A55" s="10" t="n">
        <v>54</v>
      </c>
      <c r="B55" s="10" t="n">
        <v>5</v>
      </c>
      <c r="C55" s="10">
        <f>INDEX('부작 목록'!$C$2:$C$96,B55)</f>
        <v/>
      </c>
      <c r="D55" s="10" t="inlineStr">
        <is>
          <t>B 카를로스 사건집</t>
        </is>
      </c>
      <c r="E55" s="10" t="n">
        <v>2105</v>
      </c>
      <c r="F55" s="10" t="n">
        <v>105</v>
      </c>
      <c r="G55" s="10" t="inlineStr">
        <is>
          <t>알바로(이제부터 '다니엘')가 카를로스가 소개한 미술사 전문가 이그나시오(Ignacio)에게 2주간 속성 교육을 받는 장면입니다. 페루 콜럼버스 이전 문화(모체·나스카·파라카스·치무), 파티나와 열발광 연대측정 같은 진위 감정법, 출처 서류의 허점, 경매 용어까지 위장 신분에 필요한 지식을 압축적으로 학습합니다. 수업 중 이그나시오는 자신이 발굴하던 무덤이 하룻밤 사이 도굴당했던 과거를 털어놓고, 유물이 볼리비아·에콰도르를 거쳐 빠져나가는 우회 경로도 일러 줍니다.</t>
        </is>
      </c>
    </row>
    <row r="56" ht="28.35" customHeight="1" s="11">
      <c r="A56" s="10" t="n">
        <v>55</v>
      </c>
      <c r="B56" s="10" t="n">
        <v>5</v>
      </c>
      <c r="C56" s="10">
        <f>INDEX('부작 목록'!$C$2:$C$96,B56)</f>
        <v/>
      </c>
      <c r="D56" s="10" t="inlineStr">
        <is>
          <t>B 카를로스 사건집</t>
        </is>
      </c>
      <c r="E56" s="10" t="n">
        <v>2212</v>
      </c>
      <c r="F56" s="10" t="n">
        <v>98</v>
      </c>
      <c r="G56" s="10" t="inlineStr">
        <is>
          <t>이그나시오와의 속성 교육을 마친 알바로(다니엘)가 마드리드 경매장을 찾아가 감정사 파블로와 첫 만남을 갖습니다. 배운 지식을 활용해 자연스럽게 신뢰를 쌓으려 합니다. 들어가기 직전 카를로스의 짧은 당부를 듣고, 초조한 기색의 파블로가 내미는 가짜 나스카 토기를 정확히 짚어내며 시험을 통과하지만, 출처 서류를 너무 꼼꼼히 들여다보다 의심을 살 뻔한 순간을 즉석에서 수습합니다. 서류마다 등장하는 '스위스 개인 소장품, 제네바'라는 문구와 리마에서 온 상자의 머리글자 'R. M.'을 눈여겨봅니다.</t>
        </is>
      </c>
    </row>
    <row r="57" ht="28.35" customHeight="1" s="11">
      <c r="A57" s="10" t="n">
        <v>56</v>
      </c>
      <c r="B57" s="10" t="n">
        <v>5</v>
      </c>
      <c r="C57" s="10">
        <f>INDEX('부작 목록'!$C$2:$C$96,B57)</f>
        <v/>
      </c>
      <c r="D57" s="10" t="inlineStr">
        <is>
          <t>B 카를로스 사건집</t>
        </is>
      </c>
      <c r="E57" s="10" t="n">
        <v>2312</v>
      </c>
      <c r="F57" s="10" t="n">
        <v>98</v>
      </c>
      <c r="G57" s="10" t="inlineStr">
        <is>
          <t>파블로의 소개로 다니엘(알바로)이 경매장 대표 세르히오 오르티스를 만납니다. 우아한 사무실에서 이루어지는 이 만남에서, 세르히오는 예술계 특유의 세련된 화법으로 다니엘을 시험합니다. 책상 위 치무 흑색 토기에 대한 질문, 존재하지 않는 경매를 슬쩍 끼워 넣는 함정, 상업등기부까지 뒤져 본 뒷조사가 이어지고, 다니엘은 '조사'라는 말실수를 가까스로 수습합니다. 카탈로그 교정쇄에는 또다시 '제네바 개인 소장품, 1962년부터'라는 출처가 적혀 있고, 배웅하던 파블로는 자신도 20년 전 같은 시험을 받았다고 털어놓습니다.</t>
        </is>
      </c>
    </row>
    <row r="58" ht="28.35" customHeight="1" s="11">
      <c r="A58" s="10" t="n">
        <v>57</v>
      </c>
      <c r="B58" s="10" t="n">
        <v>5</v>
      </c>
      <c r="C58" s="10">
        <f>INDEX('부작 목록'!$C$2:$C$96,B58)</f>
        <v/>
      </c>
      <c r="D58" s="10" t="inlineStr">
        <is>
          <t>B 카를로스 사건집</t>
        </is>
      </c>
      <c r="E58" s="10" t="n">
        <v>2412</v>
      </c>
      <c r="F58" s="10" t="n">
        <v>98</v>
      </c>
      <c r="G58" s="10" t="inlineStr">
        <is>
          <t>2주 후, 다니엘(알바로)이 경매장이 주최한 리셉션에 참석합니다. 우아한 칵테일 파티 분위기 속에서 세르히오가 여러 수집가들을 소개하고, 특히 거액을 배팅하는 핵심 인물 돈 에두아르도와 처음으로 대면합니다. 다니엘을 TV에서 본 것 같다는 손님 때문에 아찔한 순간을 넘기고, 허영심 강한 돈 에두아르도가 휴대폰 사진으로 내민 '치무' 투미를 람바예케 양식이라고 짚어내 오히려 신임을 얻습니다. 볼리비아 티와나쿠 유물과 에콰도르 발디비아 조각상에도 어김없이 '제네바' 출처가 붙어 있고, 파티 끝 무렵 초조한 파블로가 "라파엘에게 제네바 서류 없이는 카탈로그에 못 올린다고 전해"라고 몰래 통화하는 것을 엿듣게 됩니다.</t>
        </is>
      </c>
    </row>
    <row r="59" ht="41.75" customHeight="1" s="11">
      <c r="A59" s="10" t="n">
        <v>58</v>
      </c>
      <c r="B59" s="10" t="n">
        <v>5</v>
      </c>
      <c r="C59" s="10">
        <f>INDEX('부작 목록'!$C$2:$C$96,B59)</f>
        <v/>
      </c>
      <c r="D59" s="10" t="inlineStr">
        <is>
          <t>B 카를로스 사건집</t>
        </is>
      </c>
      <c r="E59" s="10" t="n">
        <v>2512</v>
      </c>
      <c r="F59" s="10" t="n">
        <v>98</v>
      </c>
      <c r="G59" s="10" t="inlineStr">
        <is>
          <t>리셉션 다음 날, 다니엘(알바로)이 카를로스를 만나 지금까지의 진행 상황을 보고합니다. 파블로, 세르히오, 돈 에두아르도에 대한 정보와 함께, 핵심 물증이 될 치무 황금 칼에 대한 단서를 공유하고, 페루 현지 브로커 라파엘 몬토야의 존재도 처음 언급됩니다. 도굴꾼 '우아케로'의 실체와 함께, 유물이 어떻게 바다를 건너오는지는 아직 아무도 모른다는 사실도 드러납니다.</t>
        </is>
      </c>
    </row>
    <row r="60" ht="28.35" customHeight="1" s="11">
      <c r="A60" s="10" t="n">
        <v>59</v>
      </c>
      <c r="B60" s="10" t="n">
        <v>5</v>
      </c>
      <c r="C60" s="10">
        <f>INDEX('부작 목록'!$C$2:$C$96,B60)</f>
        <v/>
      </c>
      <c r="D60" s="10" t="inlineStr">
        <is>
          <t>B 카를로스 사건집</t>
        </is>
      </c>
      <c r="E60" s="10" t="n">
        <v>2612</v>
      </c>
      <c r="F60" s="10" t="n">
        <v>99</v>
      </c>
      <c r="G60" s="10" t="inlineStr">
        <is>
          <t>리셉션 이후 몇 주가 지나, 세르히오가 다니엘을 다시 초대해 좀 더 깊은 대화를 나눕니다. 신뢰가 쌓이면서 세르히오가 치무 칼의 실물을 처음으로 보여주고, 조직의 운영 방식에 대해 조금씩 더 털어놓습니다. 특히 1962년부터 스위스 '하르트만 컬렉션' 소장품이었다는 출처 서류와, 여러 경매 카탈로그에 반복 인용되며 '진짜'가 되어 온 그 컬렉션의 정체가 처음 모습을 드러냅니다.</t>
        </is>
      </c>
    </row>
    <row r="61" ht="28.35" customHeight="1" s="11">
      <c r="A61" s="10" t="n">
        <v>60</v>
      </c>
      <c r="B61" s="10" t="n">
        <v>5</v>
      </c>
      <c r="C61" s="10">
        <f>INDEX('부작 목록'!$C$2:$C$96,B61)</f>
        <v/>
      </c>
      <c r="D61" s="10" t="inlineStr">
        <is>
          <t>B 카를로스 사건집</t>
        </is>
      </c>
      <c r="E61" s="10" t="n">
        <v>2713</v>
      </c>
      <c r="F61" s="10" t="n">
        <v>111</v>
      </c>
      <c r="G61" s="10" t="inlineStr">
        <is>
          <t>경매 당일. 알바로가 카를로스에게 넘긴 정보를 바탕으로 경찰이 은밀히 대기하는 가운데, 치무 황금 칼 경매가 시작됩니다. 낙찰이 임박한 순간, 급습이 개시되고 작전의 전모가 모두 드러나지만 알바로는 끝까지 본명을 숨깁니다.</t>
        </is>
      </c>
    </row>
    <row r="62" ht="28.35" customHeight="1" s="11">
      <c r="A62" s="10" t="n">
        <v>61</v>
      </c>
      <c r="B62" s="10" t="n">
        <v>5</v>
      </c>
      <c r="C62" s="10">
        <f>INDEX('부작 목록'!$C$2:$C$96,B62)</f>
        <v/>
      </c>
      <c r="D62" s="10" t="inlineStr">
        <is>
          <t>B 카를로스 사건집</t>
        </is>
      </c>
      <c r="E62" s="10" t="n">
        <v>2826</v>
      </c>
      <c r="F62" s="10" t="n">
        <v>101</v>
      </c>
      <c r="G62" s="10" t="inlineStr">
        <is>
          <t>경매장 사건이 마무리된 며칠 후, 알바로와 카를로스가 아메리카 박물관 앞을 함께 걸으며 이번 작전을 마무리 짓습니다. 그러나 산책 끝에 카를로스는 몬토야가 리마에서 자취를 감췄고, 압수 자료 속 페루·볼리비아·에콰도르·콜롬비아 유물 수십 점에 똑같은 두 개의 출처 문구가 찍혀 있다는 소식을 전합니다. 알바로는 위장 신분 없이 기자로서 하비에르와 함께 이 사건을 파헤치기로 결심합니다.</t>
        </is>
      </c>
    </row>
    <row r="63" ht="41.75" customHeight="1" s="11">
      <c r="A63" s="10" t="n">
        <v>62</v>
      </c>
      <c r="B63" s="10" t="n">
        <v>6</v>
      </c>
      <c r="C63" s="10">
        <f>INDEX('부작 목록'!$C$2:$C$96,B63)</f>
        <v/>
      </c>
      <c r="D63" s="10" t="inlineStr">
        <is>
          <t>B 카를로스 사건집</t>
        </is>
      </c>
      <c r="E63" s="10" t="n">
        <v>2929</v>
      </c>
      <c r="F63" s="10" t="n">
        <v>107</v>
      </c>
      <c r="G63" s="10" t="inlineStr">
        <is>
          <t>무세오 데 아메리카 앞 산책으로부터 일주일 뒤, 마드리드 신문사 편집국 회의실. 알바로가 하비에르와 함께 국장과 법무 자문 마르타 앞에서 새 취재 계획을 설명합니다. 이번에는 위장 신분도, 카를로스의 작전도 없습니다. 본명과 신문사 이름만으로, 두 개의 출처 도장이 가리키는 길을 끝까지 따라가 보겠다는 제안입니다. 국장은 예산을, 마르타는 법적 위험을 따지고, 알바로는 다니엘 로메로였을 때가 차라리 쉬웠다는 사실을 인정해야 합니다.</t>
        </is>
      </c>
    </row>
    <row r="64" ht="28.35" customHeight="1" s="11">
      <c r="A64" s="10" t="n">
        <v>63</v>
      </c>
      <c r="B64" s="10" t="n">
        <v>6</v>
      </c>
      <c r="C64" s="10">
        <f>INDEX('부작 목록'!$C$2:$C$96,B64)</f>
        <v/>
      </c>
      <c r="D64" s="10" t="inlineStr">
        <is>
          <t>B 카를로스 사건집</t>
        </is>
      </c>
      <c r="E64" s="10" t="n">
        <v>3038</v>
      </c>
      <c r="F64" s="10" t="n">
        <v>108</v>
      </c>
      <c r="G64" s="10" t="inlineStr">
        <is>
          <t>며칠 후, 대학 미술사학과 건물의 좁은 연구실. 알바로와 하비에르가 이그나시오를 찾아갑니다. 이번에 이그나시오는 비밀 교관이 아니라 실명으로 인용될 공개 자문으로 돌아와, 하비에르가 열흘 동안 모은 첫 데이터를 들여다봅니다. 숫자는 놀랍지만, 이그나시오는 출처가 가짜라는 것과 물건이 도굴품이라는 것은 전혀 다른 증명이라며 두 기자의 흥분에 찬물을 끼얹습니다.</t>
        </is>
      </c>
    </row>
    <row r="65" ht="28.35" customHeight="1" s="11">
      <c r="A65" s="10" t="n">
        <v>64</v>
      </c>
      <c r="B65" s="10" t="n">
        <v>6</v>
      </c>
      <c r="C65" s="10">
        <f>INDEX('부작 목록'!$C$2:$C$96,B65)</f>
        <v/>
      </c>
      <c r="D65" s="10" t="inlineStr">
        <is>
          <t>B 카를로스 사건집</t>
        </is>
      </c>
      <c r="E65" s="10" t="n">
        <v>3148</v>
      </c>
      <c r="F65" s="10" t="n">
        <v>104</v>
      </c>
      <c r="G65" s="10" t="inlineStr">
        <is>
          <t>일주일 후, 마드리드 살라망카 지구. 알바로가 이번에는 진짜 이름과 신문사 명함을 들고 돈 에두아르도의 저택 문을 두드립니다. '다니엘 로메로'를 기억하는 노수집가는 분노와 조롱 사이를 오가며 인터뷰를 거절하지만, 자신이 카세레스의 한 박물관에 기증한 '애국적 선물'을 자랑하다가 묻지도 않은 말을 흘리고 맙니다. 그날 오후 신문사에서는 하비에르와 마르타가 그 기증의 숫자를 들여다보고, 국장은 노수집가의 인맥을 걱정합니다.</t>
        </is>
      </c>
    </row>
    <row r="66" ht="28.35" customHeight="1" s="11">
      <c r="A66" s="10" t="n">
        <v>65</v>
      </c>
      <c r="B66" s="10" t="n">
        <v>6</v>
      </c>
      <c r="C66" s="10">
        <f>INDEX('부작 목록'!$C$2:$C$96,B66)</f>
        <v/>
      </c>
      <c r="D66" s="10" t="inlineStr">
        <is>
          <t>B 카를로스 사건집</t>
        </is>
      </c>
      <c r="E66" s="10" t="n">
        <v>3254</v>
      </c>
      <c r="F66" s="10" t="n">
        <v>98</v>
      </c>
      <c r="G66" s="10" t="inlineStr">
        <is>
          <t>몇 주 후, 부에노스아이레스 산텔모. 알바로가 오래된 카페에서 현지 프리랜서 기자 루실라를 처음 만나 공동 취재의 조건을 정하고, voseo에 허둥대며 적응합니다. 두 사람은 곧장 골동품 거리의 «Arrieta Antigüedades»를 찾아갑니다. 가게 주인 가스톤 아리에타는 기자라는 말에도 전혀 당황하지 않고, 마테를 권하며 'Lavalle Ocampo 가문 문서고'를 자랑스럽게 펼쳐 보이지만, 죽은 사촌 옥타비오의 이름이 나오자 미소가 잠깐 굳습니다.</t>
        </is>
      </c>
    </row>
    <row r="67" ht="28.35" customHeight="1" s="11">
      <c r="A67" s="10" t="n">
        <v>66</v>
      </c>
      <c r="B67" s="10" t="n">
        <v>6</v>
      </c>
      <c r="C67" s="10">
        <f>INDEX('부작 목록'!$C$2:$C$96,B67)</f>
        <v/>
      </c>
      <c r="D67" s="10" t="inlineStr">
        <is>
          <t>B 카를로스 사건집</t>
        </is>
      </c>
      <c r="E67" s="10" t="n">
        <v>3354</v>
      </c>
      <c r="F67" s="10" t="n">
        <v>100</v>
      </c>
      <c r="G67" s="10" t="inlineStr">
        <is>
          <t>이틀 후, 부에노스아이레스 레콜레타의 높은 천장 아파트. 루실라의 편지 덕분에 알바로는 진짜 Lavalle Ocampo 가문의 후손 델피나를 만납니다. 은퇴한 역사 교사인 델피나는 차와 메디알루나를 내오고, 가문 문서고에서 1931년 저택 경매 목록을 꺼내 '1924년 소장품'이라는 것이 존재한 적 없음을 차분히 보여줍니다. 마드리드의 이그나시오는 화상으로 결정적인 시대착오를 짚어내고, 델피나는 그 이름을 판 사람이 자신의 사촌이었다는 사실 앞에서 끝내 무너집니다.</t>
        </is>
      </c>
    </row>
    <row r="68" ht="55.2" customHeight="1" s="11">
      <c r="A68" s="10" t="n">
        <v>67</v>
      </c>
      <c r="B68" s="10" t="n">
        <v>6</v>
      </c>
      <c r="C68" s="10">
        <f>INDEX('부작 목록'!$C$2:$C$96,B68)</f>
        <v/>
      </c>
      <c r="D68" s="10" t="inlineStr">
        <is>
          <t>B 카를로스 사건집</t>
        </is>
      </c>
      <c r="E68" s="10" t="n">
        <v>3456</v>
      </c>
      <c r="F68" s="10" t="n">
        <v>103</v>
      </c>
      <c r="G68" s="10" t="inlineStr">
        <is>
          <t>다음 날, 부에노스아이레스 남쪽 바라카스의 낡은 창고 거리. 옥타비오의 수첩에 적힌 전화번호를 따라간 알바로와 루실라는 고문서 복원가 넬리다 페라로의 작업실을 찾아냅니다. 병든 넬리다는 처음엔 문을 닫아걸지만, 마지못해 1920년대 백지 장부와 낡은 타자기를 보여주며 비공식적으로 많은 것을 인정합니다. 그러나 그날 밤 호텔로 아리에타의 변호사 라라냐가의 전화와 법적 경고장 '카르타 도쿠멘토'가 날아들고, 마드리드의 마르타가 한밤중에 화상으로 대응을 정리합니다. 그리고 다음 날 아침, 첫 번째 좌절이 찾아옵니다.</t>
        </is>
      </c>
    </row>
    <row r="69" ht="41.75" customHeight="1" s="11">
      <c r="A69" s="10" t="n">
        <v>68</v>
      </c>
      <c r="B69" s="10" t="n">
        <v>6</v>
      </c>
      <c r="C69" s="10">
        <f>INDEX('부작 목록'!$C$2:$C$96,B69)</f>
        <v/>
      </c>
      <c r="D69" s="10" t="inlineStr">
        <is>
          <t>B 카를로스 사건집</t>
        </is>
      </c>
      <c r="E69" s="10" t="n">
        <v>3561</v>
      </c>
      <c r="F69" s="10" t="n">
        <v>109</v>
      </c>
      <c r="G69" s="10" t="inlineStr">
        <is>
          <t>부에노스아이레스를 떠난 지 일주일 후, 알바로가 라파스에서 덜컹거리는 비포장길을 열 시간 달려 포토시주 코로마 인근의 아이유 «Jach'a Qhawa»에 도착합니다. 숨이 가쁜 기자에게 코카잎 차 한 잔이 건네지고, 지라카타 셀레스티노는 오랜 침묵 끝에야 그를 맞아들이며 사진도 녹음도 허락하지 않습니다. 2021년 축제 전날 밤 사라진 세 직물의 이야기가 이어진 뒤, 공동체 사람들은 파리 경매 카탈로그 사진 속 붉은 직물을 말없이 바라보고, 흐릿한 사진 앞에서 확신은 흔들리기만 합니다. 그때 직조 장인 후스티나의 눈이 할머니가 남긴 낡은 수선 땀 하나를 찾아냅니다.</t>
        </is>
      </c>
    </row>
    <row r="70" ht="28.35" customHeight="1" s="11">
      <c r="A70" s="10" t="n">
        <v>69</v>
      </c>
      <c r="B70" s="10" t="n">
        <v>6</v>
      </c>
      <c r="C70" s="10">
        <f>INDEX('부작 목록'!$C$2:$C$96,B70)</f>
        <v/>
      </c>
      <c r="D70" s="10" t="inlineStr">
        <is>
          <t>B 카를로스 사건집</t>
        </is>
      </c>
      <c r="E70" s="10" t="n">
        <v>3672</v>
      </c>
      <c r="F70" s="10" t="n">
        <v>106</v>
      </c>
      <c r="G70" s="10" t="inlineStr">
        <is>
          <t>이틀 후, 셀레스티노와 알바로가 라파스 검찰청의 비좁은 사무실에서 문화재 담당 검사 괄베르토 초케를 만납니다. 서류 더미에 묻힌 검사는 프랑스에 보낸 반환 청구가 '1924년 출처' 서류 한 장 때문에 멈춰 있다고 털어놓고, 알바로가 부에노스아이레스에서 가져온 1931년 경매 목록과 'Sicán'이라는 시대착오가 처음으로 그의 손에 반격의 무기를 쥐여 줍니다. 오루로에서 피시가 국경을 넘어 칠레 이키케로 이어지는 루트가 구체화되는 가운데, 언론 공개를 둘러싼 검사와 공동체의 입장이 엇갈립니다. 오후에는 엘알토 장터에서 후스티나가 베틀 앞에서 직물의 의미를 들려주고, 셀레스티노는 처음으로 알바로를 '형제'라고 부릅니다.</t>
        </is>
      </c>
    </row>
    <row r="71" ht="28.35" customHeight="1" s="11">
      <c r="A71" s="10" t="n">
        <v>70</v>
      </c>
      <c r="B71" s="10" t="n">
        <v>6</v>
      </c>
      <c r="C71" s="10">
        <f>INDEX('부작 목록'!$C$2:$C$96,B71)</f>
        <v/>
      </c>
      <c r="D71" s="10" t="inlineStr">
        <is>
          <t>B 카를로스 사건집</t>
        </is>
      </c>
      <c r="E71" s="10" t="n">
        <v>3780</v>
      </c>
      <c r="F71" s="10" t="n">
        <v>101</v>
      </c>
      <c r="G71" s="10" t="inlineStr">
        <is>
          <t>며칠 후, 리마 푸에블로 리브레의 국립고고학인류학역사박물관. 알바로는 기자석 맨 끝자리에서 마드리드 경매장에서 압수된 치무 황금 칼이 유리 진열장 안으로 들어가는 순간을 지켜봅니다. 연단에서 연설하는 페루 문화부 인사를 멀리서 바라보던 그는 인사도 나누지 않은 채 조용히 자리를 뜨고, 같은 날 오후 검찰청에서 몬토야 수사를 지휘하는 문화재 범죄 전담 검사 글라디스 파우카르를 만납니다. 감격도 잠시, 검사는 "지금 보도하면 사건을 망친다"고 경고하며 협력의 조건을 내걸고, 알바로는 언제까지 기다려야 하느냐고 되묻습니다.</t>
        </is>
      </c>
    </row>
    <row r="72" ht="28.35" customHeight="1" s="11">
      <c r="A72" s="10" t="n">
        <v>71</v>
      </c>
      <c r="B72" s="10" t="n">
        <v>6</v>
      </c>
      <c r="C72" s="10">
        <f>INDEX('부작 목록'!$C$2:$C$96,B72)</f>
        <v/>
      </c>
      <c r="D72" s="10" t="inlineStr">
        <is>
          <t>B 카를로스 사건집</t>
        </is>
      </c>
      <c r="E72" s="10" t="n">
        <v>3883</v>
      </c>
      <c r="F72" s="10" t="n">
        <v>102</v>
      </c>
      <c r="G72" s="10" t="inlineStr">
        <is>
          <t>일주일 후, 로시오의 소개로 알바로가 람바예케주 투쿠메 인근, 피라미드 흙더미가 어둠 속에 솟은 밤의 들판에서 3대째 후아케로인 '엘 차토' 에우세비오를 만납니다. 얼굴과 마을 이름을 밝히지 않는다는 조건 아래, 손전등 불빛에 비친 에우세비오는 쇠꼬챙이로 땅속 빈 곳을 찾는 법과 조상에게 담배와 술을 바치는 의식, 그리고 몬토야의 사람들이 후아코 한 점에 얼마를 주는지를 담담하게 이야기합니다. 그 값이 유럽 경매장에서 몇 배로 불어나는지 처음 듣는 순간, 들판에는 긴 침묵이 내려앉고, 알바로는 이 남자를 기사 속 '범죄자'로 쓸 수 있을지 흔들리기 시작합니다.</t>
        </is>
      </c>
    </row>
    <row r="73" ht="28.35" customHeight="1" s="11">
      <c r="A73" s="10" t="n">
        <v>72</v>
      </c>
      <c r="B73" s="10" t="n">
        <v>6</v>
      </c>
      <c r="C73" s="10">
        <f>INDEX('부작 목록'!$C$2:$C$96,B73)</f>
        <v/>
      </c>
      <c r="D73" s="10" t="inlineStr">
        <is>
          <t>B 카를로스 사건집</t>
        </is>
      </c>
      <c r="E73" s="10" t="n">
        <v>3987</v>
      </c>
      <c r="F73" s="10" t="n">
        <v>103</v>
      </c>
      <c r="G73" s="10" t="inlineStr">
        <is>
          <t>다음 날 아침, 알바로는 치클라요 시내 낡은 건물 3층의 «Radio Voz del Norte» 스튜디오에서 생방송을 마친 로시오를 만나, 그녀가 8년 동안 모은 도굴 현장 사진과 트럭 번호판 기록을 봅니다. 아야쿠초 쪽에서 내려온 '엘 쿠냐도'의 트럭들이 후아코를 싣고 남쪽 타크나로 향한다는 첫 단서가 드러나고, 오후에 찾아간 로시오의 집에서는 불탄 오토바이 사진과 익명의 협박 메시지들이 기다리고 있습니다. 그녀를 지키려면 익명으로 처리해야 한다는 알바로와, 이름이 알려지는 것이 오히려 자신을 지킨다는 로시오. 두 기자는 '실명 공동 보도'를 두고 처음으로 크게 부딪힙니다.</t>
        </is>
      </c>
    </row>
    <row r="74" ht="28.35" customHeight="1" s="11">
      <c r="A74" s="10" t="n">
        <v>73</v>
      </c>
      <c r="B74" s="10" t="n">
        <v>6</v>
      </c>
      <c r="C74" s="10">
        <f>INDEX('부작 목록'!$C$2:$C$96,B74)</f>
        <v/>
      </c>
      <c r="D74" s="10" t="inlineStr">
        <is>
          <t>B 카를로스 사건집</t>
        </is>
      </c>
      <c r="E74" s="10" t="n">
        <v>4092</v>
      </c>
      <c r="F74" s="10" t="n">
        <v>108</v>
      </c>
      <c r="G74" s="10" t="inlineStr">
        <is>
          <t>사흘 후, 트루히요 외곽 찬찬 유적의 흙벽 사이를 걷던 알바로는 복원된 궁전 구역 너머에서 수없이 파헤쳐진 도굴 구덩이들을 처음으로 직접 봅니다. 그때 며칠 전 부재중으로 찍혔던 리마 번호에서 다시 전화가 걸려오고, 수화기 너머의 라파엘 몬토야는 정중하게 '더 큰 물고기'를 넘겨주겠다며 거래를 제안합니다. 알바로가 거절한 그날 밤, 로시오에게서 에우세비오가 폭행당해 치클라요의 병원에 실려 갔다는 소식이 날아들고, 밤새 택시를 타고 달려간 병실에서 알바로는 자신을 탓하지 않는 에우세비오 앞에서 이 취재를 계속해야 하는지 처음으로 깊이 흔들립니다.</t>
        </is>
      </c>
    </row>
    <row r="75" ht="28.35" customHeight="1" s="11">
      <c r="A75" s="10" t="n">
        <v>74</v>
      </c>
      <c r="B75" s="10" t="n">
        <v>6</v>
      </c>
      <c r="C75" s="10">
        <f>INDEX('부작 목록'!$C$2:$C$96,B75)</f>
        <v/>
      </c>
      <c r="D75" s="10" t="inlineStr">
        <is>
          <t>B 카를로스 사건집</t>
        </is>
      </c>
      <c r="E75" s="10" t="n">
        <v>4202</v>
      </c>
      <c r="F75" s="10" t="n">
        <v>107</v>
      </c>
      <c r="G75" s="10" t="inlineStr">
        <is>
          <t>일주일 후, 데이터 담당 하비에르가 처음으로 현장에 합류해 알바로와 함께 칠레 북부의 항구 도시 이키케에 도착합니다. 면허를 잃은 전직 관세사 파트리시오는 이키케 자유무역지대(ZOFRI) 근처의 해변 식당에서 생선 튀김을 먹으며, 볼리비아와 페루의 유물이 어떻게 '칠레산 장식품'으로 다시 태어나 제네바로 떠나는지 서류 한 장 한 장으로 보여줍니다. 그러나 그의 협조에는 떼인 몫에 대한 복수심과 돈이라는 계산이 섞여 있고, 두 기자는 그 동기를 어디까지 믿어야 할지 시험받습니다.</t>
        </is>
      </c>
    </row>
    <row r="76" ht="28.35" customHeight="1" s="11">
      <c r="A76" s="10" t="n">
        <v>75</v>
      </c>
      <c r="B76" s="10" t="n">
        <v>6</v>
      </c>
      <c r="C76" s="10">
        <f>INDEX('부작 목록'!$C$2:$C$96,B76)</f>
        <v/>
      </c>
      <c r="D76" s="10" t="inlineStr">
        <is>
          <t>B 카를로스 사건집</t>
        </is>
      </c>
      <c r="E76" s="10" t="n">
        <v>4311</v>
      </c>
      <c r="F76" s="10" t="n">
        <v>108</v>
      </c>
      <c r="G76" s="10" t="inlineStr">
        <is>
          <t>이틀 후, 칠레 최북단 도시 아리카의 PDI(칠레 수사경찰) 사무실에서 환경·문화재범죄 수사대(Bidema)의 히메나 경감이 알바로와 하비에르를 맞습니다. 2022년 '복제품'으로 풀어줄 수밖에 없었던 컨테이너 기록을 하비에르의 데이터베이스와 함께 검토하던 중, 몬토야로 보이는 남자가 국경 근처 숙소에 머물고 있다는 제보가 들어옵니다. 기자인 두 사람은 차 안에서 기다릴 수밖에 없고, 경찰은 몇 시간 차이로 그를 놓칩니다.</t>
        </is>
      </c>
    </row>
    <row r="77" ht="15" customHeight="1" s="11">
      <c r="A77" s="10" t="n">
        <v>76</v>
      </c>
      <c r="B77" s="10" t="n">
        <v>6</v>
      </c>
      <c r="C77" s="10">
        <f>INDEX('부작 목록'!$C$2:$C$96,B77)</f>
        <v/>
      </c>
      <c r="D77" s="10" t="inlineStr">
        <is>
          <t>B 카를로스 사건집</t>
        </is>
      </c>
      <c r="E77" s="10" t="n">
        <v>4421</v>
      </c>
      <c r="F77" s="10" t="n">
        <v>107</v>
      </c>
      <c r="G77" s="10" t="inlineStr">
        <is>
          <t>일주일 후, 하비에르가 마드리드로 돌아간 사이 알바로가 홀로 에콰도르 과야킬의 무더운 항구 지구에 도착해, 강변 산책로 말레콘에서 항만 지게차 기사 웰링턴을 만납니다. 웰링턴은 바나나 상자 사이에 숨겨진 코카인과 함께, 흙 묻은 도자기 상자가 같은 컨테이너에 실리는 장면을 여러 번 봤다고 털어놓고, 알바로를 에어컨도 없는 자신의 집으로 데려갑니다. 그러나 아내의 눈빛에는 두려움이 가득합니다.</t>
        </is>
      </c>
    </row>
    <row r="78" ht="28.35" customHeight="1" s="11">
      <c r="A78" s="10" t="n">
        <v>77</v>
      </c>
      <c r="B78" s="10" t="n">
        <v>6</v>
      </c>
      <c r="C78" s="10">
        <f>INDEX('부작 목록'!$C$2:$C$96,B78)</f>
        <v/>
      </c>
      <c r="D78" s="10" t="inlineStr">
        <is>
          <t>B 카를로스 사건집</t>
        </is>
      </c>
      <c r="E78" s="10" t="n">
        <v>4530</v>
      </c>
      <c r="F78" s="10" t="n">
        <v>107</v>
      </c>
      <c r="G78" s="10" t="inlineStr">
        <is>
          <t>이틀 후 새벽, 호텔에서 잠들어 있던 알바로에게 웰링턴이 울먹이는 목소리로 전화를 걸어 증언을 철회하겠다고 말합니다. 큰아들이 학교 앞에서 오토바이에 미행당했다는 것입니다. 알바로는 그를 설득하지 않기로 하고, 마드리드의 마르타와 화상으로 철회한 취재원의 녹음과 사진을 어떻게 다뤄야 하는지 확인한 뒤 파일을 지웁니다. 그리고 국립문화유산연구소(INPC) 해안지부의 고고학자 마리차를 찾아가, 위협과 무관한 공식 압수 기록이라는 다른 길을 찾습니다.</t>
        </is>
      </c>
    </row>
    <row r="79" ht="15" customHeight="1" s="11">
      <c r="A79" s="10" t="n">
        <v>78</v>
      </c>
      <c r="B79" s="10" t="n">
        <v>6</v>
      </c>
      <c r="C79" s="10">
        <f>INDEX('부작 목록'!$C$2:$C$96,B79)</f>
        <v/>
      </c>
      <c r="D79" s="10" t="inlineStr">
        <is>
          <t>B 카를로스 사건집</t>
        </is>
      </c>
      <c r="E79" s="10" t="n">
        <v>4639</v>
      </c>
      <c r="F79" s="10" t="n">
        <v>101</v>
      </c>
      <c r="G79" s="10" t="inlineStr">
        <is>
          <t>일주일 후, 알바로가 커피 언덕에 둘러싸인 콜롬비아 킨디오주 몬테네그로의 한 커피농장 작업장에서 전직 과케로 '예요' 아우렐리오를 만납니다. 지금은 킴바야 황금 복제품을 만들며 박물관 해설사로 일하는 그는, 젊은 시절 마을 전체가 무덤을 파던 이야기와 함께 무장조직이 금 유물을 돈 대신 주고받던 세계를 들려줍니다. 그리고 자신이 만든 복제품이 가짜 출처 서류를 달고 유럽 경매에 나타났다는, 위조의 또 다른 방향을 털어놓습니다.</t>
        </is>
      </c>
    </row>
    <row r="80" ht="28.35" customHeight="1" s="11">
      <c r="A80" s="10" t="n">
        <v>79</v>
      </c>
      <c r="B80" s="10" t="n">
        <v>6</v>
      </c>
      <c r="C80" s="10">
        <f>INDEX('부작 목록'!$C$2:$C$96,B80)</f>
        <v/>
      </c>
      <c r="D80" s="10" t="inlineStr">
        <is>
          <t>B 카를로스 사건집</t>
        </is>
      </c>
      <c r="E80" s="10" t="n">
        <v>4742</v>
      </c>
      <c r="F80" s="10" t="n">
        <v>103</v>
      </c>
      <c r="G80" s="10" t="inlineStr">
        <is>
          <t>사흘 후, 보고타의 금융정보분석원(UIAF) 회의실에서 분석관 릴리아나가 화이트보드 위에 돈의 길을 그립니다. 마약 현금이 유물로, 유물이 10년 뒤 유럽 경매의 깨끗한 유로로 바뀌는 회로가 완성되는 순간, 화상으로 연결된 하비에르가 찾아낸 알헤시라스의 잊힌 세관 기록 하나가 스페인을 다시 이 지도 위에 올려놓습니다. 그날 밤 호텔에서는 카를로스가 몬토야의 새 행방을 전해 오고, 알바로는 이제 쓸 때가 왔다고 결심합니다.</t>
        </is>
      </c>
    </row>
    <row r="81" ht="28.35" customHeight="1" s="11">
      <c r="A81" s="10" t="n">
        <v>80</v>
      </c>
      <c r="B81" s="10" t="n">
        <v>6</v>
      </c>
      <c r="C81" s="10">
        <f>INDEX('부작 목록'!$C$2:$C$96,B81)</f>
        <v/>
      </c>
      <c r="D81" s="10" t="inlineStr">
        <is>
          <t>B 카를로스 사건집</t>
        </is>
      </c>
      <c r="E81" s="10" t="n">
        <v>4847</v>
      </c>
      <c r="F81" s="10" t="n">
        <v>105</v>
      </c>
      <c r="G81" s="10" t="inlineStr">
        <is>
          <t>보고타에서 돌아온 지 2주 후, 신문사가 카세레스의 이베로아메리카 박물관(MIC)에 기증품 출처에 관한 질의서를 보낸 지 사흘 만에, 돈 에두아르도가 먼저 알바로에게 연락해 옵니다. 레티로 공원 근처의 오래된 회원제 클럽, 책 냄새가 밴 서재의 낡은 가죽 소파에 앉은 노수집가는 자존심을 조금도 꺾지 않은 채, 자신이 지난 이십 년 동안 누구에게 돈을 보냈는지 보여주는 송장 뭉치를 테이블 위에 올려놓습니다.</t>
        </is>
      </c>
    </row>
    <row r="82" ht="28.35" customHeight="1" s="11">
      <c r="A82" s="10" t="n">
        <v>81</v>
      </c>
      <c r="B82" s="10" t="n">
        <v>6</v>
      </c>
      <c r="C82" s="10">
        <f>INDEX('부작 목록'!$C$2:$C$96,B82)</f>
        <v/>
      </c>
      <c r="D82" s="10" t="inlineStr">
        <is>
          <t>B 카를로스 사건집</t>
        </is>
      </c>
      <c r="E82" s="10" t="n">
        <v>4954</v>
      </c>
      <c r="F82" s="10" t="n">
        <v>108</v>
      </c>
      <c r="G82" s="10" t="inlineStr">
        <is>
          <t>일주일 후, 게재 전날 밤의 신문사 편집국. 연재 «El camino del huaco» 1회의 마지막 점검이 이루어지는 동안, 마르타가 각국 당사자들에게 보낸 반론권 질의서의 답변이 하나씩 도착하고, 부에노스아이레스의 루실라와 치클라요의 로시오가 스피커폰으로 동시 게재 시각을 맞춥니다. 국장은 소송 위험과 공익 사이에서 게재를 승인할지 결정해야 하고, 새벽에 기사가 나간 뒤 아침이 되자 반응이 하나둘 돌아오기 시작합니다.</t>
        </is>
      </c>
    </row>
    <row r="83" ht="28.35" customHeight="1" s="11">
      <c r="A83" s="10" t="n">
        <v>82</v>
      </c>
      <c r="B83" s="10" t="n">
        <v>6</v>
      </c>
      <c r="C83" s="10">
        <f>INDEX('부작 목록'!$C$2:$C$96,B83)</f>
        <v/>
      </c>
      <c r="D83" s="10" t="inlineStr">
        <is>
          <t>B 카를로스 사건집</t>
        </is>
      </c>
      <c r="E83" s="10" t="n">
        <v>5064</v>
      </c>
      <c r="F83" s="10" t="n">
        <v>107</v>
      </c>
      <c r="G83" s="10" t="inlineStr">
        <is>
          <t>연재 2회가 나간 다음 날 아침, 아리에타의 변호사 라라냐가가 부에노스아이레스에서 형사 고소를 제기하고 화상 회의로 기사 철회를 요구합니다. 더 아픈 것은 그가 첨부한 한 가지 지적입니다. 하비에르의 데이터 속 'Hartmann' 로트 일부가 전혀 다른, 합법적인 취리히의 소장품이었다는 것. 알바로와 하비에르는 이그나시오의 연구실로 달려가 그 주장을 검증하고, 신문사는 같은 날 공개 정정을 할지 결정해야 합니다.</t>
        </is>
      </c>
    </row>
    <row r="84" ht="28.35" customHeight="1" s="11">
      <c r="A84" s="10" t="n">
        <v>83</v>
      </c>
      <c r="B84" s="10" t="n">
        <v>6</v>
      </c>
      <c r="C84" s="10">
        <f>INDEX('부작 목록'!$C$2:$C$96,B84)</f>
        <v/>
      </c>
      <c r="D84" s="10" t="inlineStr">
        <is>
          <t>B 카를로스 사건집</t>
        </is>
      </c>
      <c r="E84" s="10" t="n">
        <v>5173</v>
      </c>
      <c r="F84" s="10" t="n">
        <v>109</v>
      </c>
      <c r="G84" s="10" t="inlineStr">
        <is>
          <t>2주 후, 이른 아침의 제네바 자유항. 재단 변호사와의 인터뷰를 요청하러 이틀 전부터 제네바에 와 있던 알바로는 회색 창고 앞에 늘어선 경찰 차량을 보고 달려가지만, 기자 출입 금지선 바깥에 서 있을 수밖에 없습니다. 스위스 검사 파브르와 스페인 문화재 수사대의 누리아가 이끄는 합동 압수가 진행되는 동안, 오후의 검찰청 브리핑실에서 압수 결과가 발표되고, 그 사이 마드리드 바라하스 공항에서 한 통의 전화가 걸려옵니다.</t>
        </is>
      </c>
    </row>
    <row r="85" ht="28.35" customHeight="1" s="11">
      <c r="A85" s="10" t="n">
        <v>84</v>
      </c>
      <c r="B85" s="10" t="n">
        <v>6</v>
      </c>
      <c r="C85" s="10">
        <f>INDEX('부작 목록'!$C$2:$C$96,B85)</f>
        <v/>
      </c>
      <c r="D85" s="10" t="inlineStr">
        <is>
          <t>B 카를로스 사건집</t>
        </is>
      </c>
      <c r="E85" s="10" t="n">
        <v>5284</v>
      </c>
      <c r="F85" s="10" t="n">
        <v>106</v>
      </c>
      <c r="G85" s="10" t="inlineStr">
        <is>
          <t>3주 후, 마드리드 가르시아 구티에레스 거리의 국가법원(Audiencia Nacional). 알바로는 방청석 맨 뒷줄에 앉아 라파엘 몬토야의 페루 인도 심리를 지켜봅니다. 몬토야의 변호인이 법정에서 알바로의 기사를 거론하며 '언론에 의한 박해'를 주장하는 동안, 기자는 자신이 사건의 일부가 되어 버렸다는 불편함을 느낍니다. 심리가 끝난 뒤 호송되던 몬토야와 복도에서 몇 초간 마주치고, 근처 카페에서 하비에르와 누리아를 만나 각국에서 전해지는 여파를 하나씩 정리합니다.</t>
        </is>
      </c>
    </row>
    <row r="86" ht="28.35" customHeight="1" s="11">
      <c r="A86" s="10" t="n">
        <v>85</v>
      </c>
      <c r="B86" s="10" t="n">
        <v>6</v>
      </c>
      <c r="C86" s="10">
        <f>INDEX('부작 목록'!$C$2:$C$96,B86)</f>
        <v/>
      </c>
      <c r="D86" s="10" t="inlineStr">
        <is>
          <t>B 카를로스 사건집</t>
        </is>
      </c>
      <c r="E86" s="10" t="n">
        <v>5392</v>
      </c>
      <c r="F86" s="10" t="n">
        <v>104</v>
      </c>
      <c r="G86" s="10" t="inlineStr">
        <is>
          <t>한 달 후, 마드리드 플라사 델 레이의 문화부 건물 근처 카페. 텔레비전에서는 페루 정부가 스페인에 도굴·불법 반출 유물 전반에 대한 포괄적 반환 협상을 공식 제안했다는 뉴스가 흘러나오고, 이어 볼리비아·에콰도르·콜롬비아도 "면밀히 지켜보겠다"는 성명을 냅니다. 그 화면 앞에서 카를로스와 문화부의 페르난도가 알바로를 만나, 협상 테이블에 기술 자문으로 앉아 달라는, 단 '다른 이름'으로 앉아 달라는 뜻밖의 제안을 합니다. 그날 저녁, 알바로는 신문사 옥상에서 하비에르에게 그 이야기를 털어놓습니다.</t>
        </is>
      </c>
    </row>
    <row r="87" ht="28.35" customHeight="1" s="11">
      <c r="A87" s="10" t="n">
        <v>86</v>
      </c>
      <c r="B87" s="10" t="n">
        <v>7</v>
      </c>
      <c r="C87" s="10">
        <f>INDEX('부작 목록'!$C$2:$C$96,B87)</f>
        <v/>
      </c>
      <c r="D87" s="10" t="inlineStr">
        <is>
          <t>B 카를로스 사건집</t>
        </is>
      </c>
      <c r="E87" s="10" t="n">
        <v>5498</v>
      </c>
      <c r="F87" s="10" t="n">
        <v>101</v>
      </c>
      <c r="G87" s="10" t="inlineStr">
        <is>
          <t>치무 황금 칼 반환이 성공적으로 마무리되고, 알바로의 연재 «El camino del huaco»가 폭로한 'Hartmann·Lavalle Ocampo' 위조 출처 네트워크가 제네바 자유항 창고 압수와 몬토야 체포로 무너진 것을 계기로, 스페인과 페루 양국이 도굴·불법 반출 유물 전반에 대한 포괄적 반환 협상 첫 회의를 마드리드에서 엽니다. 알바로는 '오스카 레스카노(Óscar Lescano)'라는 가명으로 스페인 측 기술 자문 자격으로 참석하고, 볼리비아·에콰도르·콜롬비아는 테이블 밖에서 회의의 행방을 면밀히 지켜보고 있습니다.</t>
        </is>
      </c>
    </row>
    <row r="88" ht="28.35" customHeight="1" s="11">
      <c r="A88" s="10" t="n">
        <v>87</v>
      </c>
      <c r="B88" s="10" t="n">
        <v>7</v>
      </c>
      <c r="C88" s="10">
        <f>INDEX('부작 목록'!$C$2:$C$96,B88)</f>
        <v/>
      </c>
      <c r="D88" s="10" t="inlineStr">
        <is>
          <t>B 카를로스 사건집</t>
        </is>
      </c>
      <c r="E88" s="10" t="n">
        <v>5601</v>
      </c>
      <c r="F88" s="10" t="n">
        <v>102</v>
      </c>
      <c r="G88" s="10" t="inlineStr">
        <is>
          <t>한 달 후, 스페인-페루 합동 실무위원회 회의가 열립니다. 명단에 오른 구체적 유물 사례들을 하나씩 검토하며, 이번엔 훨씬 날카로운 반박과 재반박이 오갑니다. 매수된 공무원의 수출허가서, 제네바 경매 카탈로그에 갑자기 나타난 황금 가면, 그리고 국립박물관이 'Hartmann' 출처로 사들인 모체 토기 두 점이 제네바 압수 창고의 재고번호와 겹친다는 사실까지 드러나면서, 마리아노의 방어선이 처음으로 흔들립니다.</t>
        </is>
      </c>
    </row>
    <row r="89" ht="28.35" customHeight="1" s="11">
      <c r="A89" s="10" t="n">
        <v>88</v>
      </c>
      <c r="B89" s="10" t="n">
        <v>7</v>
      </c>
      <c r="C89" s="10">
        <f>INDEX('부작 목록'!$C$2:$C$96,B89)</f>
        <v/>
      </c>
      <c r="D89" s="10" t="inlineStr">
        <is>
          <t>B 카를로스 사건집</t>
        </is>
      </c>
      <c r="E89" s="10" t="n">
        <v>5705</v>
      </c>
      <c r="F89" s="10" t="n">
        <v>101</v>
      </c>
      <c r="G89" s="10" t="inlineStr">
        <is>
          <t>키푸(매듭문자) 건을 다루기 위해 카세레스 이베로아메리카 박물관(MIC) 관장 호아킨(Joaquín)이 새로 참석하면서, 협상은 예상치 못한 강경 반발에 부딪힙니다. 호아킨은 키푸가 돈 에두아르도의 선의의 기증으로 들어왔고, 공공 소장품은 양도할 수 없으며, 작은 지역 박물관만 희생양이 되고 있다고 항변합니다. 볼리비아 코로마 직물의 선례와 제3국 대사관들의 관심까지 겹치며 대화는 점점 날카로워지고, 결국 명백한 교착 상태에 이릅니다.</t>
        </is>
      </c>
    </row>
    <row r="90" ht="41.75" customHeight="1" s="11">
      <c r="A90" s="10" t="n">
        <v>89</v>
      </c>
      <c r="B90" s="10" t="n">
        <v>7</v>
      </c>
      <c r="C90" s="10">
        <f>INDEX('부작 목록'!$C$2:$C$96,B90)</f>
        <v/>
      </c>
      <c r="D90" s="10" t="inlineStr">
        <is>
          <t>B 카를로스 사건집</t>
        </is>
      </c>
      <c r="E90" s="10" t="n">
        <v>5808</v>
      </c>
      <c r="F90" s="10" t="n">
        <v>100</v>
      </c>
      <c r="G90" s="10" t="inlineStr">
        <is>
          <t>일주일 후, 스페인 문화부 장관이 잠시 참석해 협상에 대한 정부의 강력한 지지 의사를 표명하고, 공공 소장품의 양도 불가 원칙을 넘어설 법적 수단을 마련하겠다고 약속합니다. 이후 오스카가 '소유권(titularidad)'과 '물리적 보관(custodia)'을 분리하는 창의적인 절충안을 제시하면서 교착 상태가 풀리기 시작합니다. 회의가 끝난 뒤 문화부 앞에서 한 기자가 '오스카 레스카노'의 정체를 묻는 순간, 알바로는 자신이 스스로 건 약속을 다시 떠올립니다.</t>
        </is>
      </c>
    </row>
    <row r="91" ht="28.35" customHeight="1" s="11">
      <c r="A91" s="10" t="n">
        <v>90</v>
      </c>
      <c r="B91" s="10" t="n">
        <v>7</v>
      </c>
      <c r="C91" s="10">
        <f>INDEX('부작 목록'!$C$2:$C$96,B91)</f>
        <v/>
      </c>
      <c r="D91" s="10" t="inlineStr">
        <is>
          <t>B 카를로스 사건집</t>
        </is>
      </c>
      <c r="E91" s="10" t="n">
        <v>5910</v>
      </c>
      <c r="F91" s="10" t="n">
        <v>101</v>
      </c>
      <c r="G91" s="10" t="inlineStr">
        <is>
          <t>몇 주간의 세부 조율을 거쳐, 마드리드에서 최종 합의 서명식이 열립니다. 서명 직전까지 협정문의 조항(cláusula) 하나하나를 두고 마지막 줄다리기가 이어지고, 볼리비아·에콰도르·콜롬비아 대사관 관계자들이 참관인으로 뒷줄에 앉은 가운데, 스페인과 페루 양국 대표가 공식 협정에 서명하며 협상이 마무리됩니다. 축배 대신, 조용하지만 오래 남을 순간이 서명식의 끝을 장식합니다.</t>
        </is>
      </c>
    </row>
    <row r="92" ht="28.35" customHeight="1" s="11">
      <c r="A92" s="13" t="n">
        <v>91</v>
      </c>
      <c r="B92" s="13" t="n">
        <v>8</v>
      </c>
      <c r="C92" s="14">
        <f>INDEX('부작 목록'!$C$2:$C$96,B92)</f>
        <v/>
      </c>
      <c r="D92" s="14" t="inlineStr">
        <is>
          <t>B 카를로스 사건집</t>
        </is>
      </c>
      <c r="E92" s="13" t="n">
        <v>6013</v>
      </c>
      <c r="F92" s="13" t="n">
        <v>28</v>
      </c>
      <c r="G92" s="15" t="inlineStr">
        <is>
          <t>알바로와 하비에르가 대마초 합법화 법안을 강하게 추진하는 국회의원 에르네스토 발보아(가상 인물)와, 그 뒤에 있는 대마 관련 투자펀드 '베르데갈 캐피털(가상 단체)' 사이의 미공개 금전적 연결고리를 취재합니다. 실존 정당·정치인은 등장하지 않으며, 대마초 합법화 정책 자체의 옳고 그름이 아니라 로비 자금의 투명성 문제를 다루는 저널리즘 소재입니다.</t>
        </is>
      </c>
    </row>
    <row r="93" ht="28.35" customHeight="1" s="11">
      <c r="A93" s="13" t="n">
        <v>92</v>
      </c>
      <c r="B93" s="13" t="n">
        <v>8</v>
      </c>
      <c r="C93" s="14">
        <f>INDEX('부작 목록'!$C$2:$C$96,B93)</f>
        <v/>
      </c>
      <c r="D93" s="14" t="inlineStr">
        <is>
          <t>B 카를로스 사건집</t>
        </is>
      </c>
      <c r="E93" s="13" t="n">
        <v>6045</v>
      </c>
      <c r="F93" s="13" t="n">
        <v>30</v>
      </c>
      <c r="G93" s="15" t="inlineStr">
        <is>
          <t>며칠 후, 하비에르가 베르데갈 캐피털의 자금 출처를 더 깊이 파고들다가 충격적인 사실을 발견 합니다. 이 펀드가 사실 예전 무기밀매 조직의 잔존 자금을 세탁하는 위장 기구였다는 것입니다. 카를로스가 개입하면서, 알바로가 다시 위장 잠입에 나서야 하는 상황이 됩니다.</t>
        </is>
      </c>
    </row>
    <row r="94" ht="15" customHeight="1" s="11">
      <c r="A94" s="13" t="n">
        <v>93</v>
      </c>
      <c r="B94" s="13" t="n">
        <v>8</v>
      </c>
      <c r="C94" s="14">
        <f>INDEX('부작 목록'!$C$2:$C$96,B94)</f>
        <v/>
      </c>
      <c r="D94" s="14" t="inlineStr">
        <is>
          <t>B 카를로스 사건집</t>
        </is>
      </c>
      <c r="E94" s="13" t="n">
        <v>6078</v>
      </c>
      <c r="F94" s="13" t="n">
        <v>23</v>
      </c>
      <c r="G94" s="15" t="inlineStr">
        <is>
          <t>시간이 촉박한 만큼, 카를로스가 알바로에게 신속하게 새 위장 신분을 준비시킵니다. 이번엔 대 마초 산업에 관심 있는 개인 투자자 '마르코 아길라르' 신분으로, 베르데갈 캐피털이 주최하는 투자 설명회에 잠입할 계획입니다.</t>
        </is>
      </c>
    </row>
    <row r="95" ht="15" customHeight="1" s="11">
      <c r="A95" s="13" t="n">
        <v>94</v>
      </c>
      <c r="B95" s="13" t="n">
        <v>8</v>
      </c>
      <c r="C95" s="14">
        <f>INDEX('부작 목록'!$C$2:$C$96,B95)</f>
        <v/>
      </c>
      <c r="D95" s="14" t="inlineStr">
        <is>
          <t>B 카를로스 사건집</t>
        </is>
      </c>
      <c r="E95" s="13" t="n">
        <v>6104</v>
      </c>
      <c r="F95" s="13" t="n">
        <v>27</v>
      </c>
      <c r="G95" s="15" t="inlineStr">
        <is>
          <t>목요일, 마드리드의 한 호텔에서 열린 베르데갈 캐피털 투자 설명회. 마르코(알바로)가 참석해 루벤 카스타뇨와 처음 대면합니다. 행사가 끝날 무렵, 뜻밖의 인물이 그에게 접근하며 새로운 위험 요소가 드러납니다.</t>
        </is>
      </c>
    </row>
    <row r="96" ht="28.35" customHeight="1" s="11">
      <c r="A96" s="13" t="n">
        <v>95</v>
      </c>
      <c r="B96" s="13" t="n">
        <v>8</v>
      </c>
      <c r="C96" s="14">
        <f>INDEX('부작 목록'!$C$2:$C$96,B96)</f>
        <v/>
      </c>
      <c r="D96" s="14" t="inlineStr">
        <is>
          <t>B 카를로스 사건집</t>
        </is>
      </c>
      <c r="E96" s="13" t="n">
        <v>6134</v>
      </c>
      <c r="F96" s="13" t="n">
        <v>23</v>
      </c>
      <c r="G96" s="15" t="inlineStr">
        <is>
          <t>그날 밤, 알바로가 카를로스에게 마테오 엘리살데라는 인물에 대해 보고합니다. 두 사람은 그가 진짜 기자인지, 혹은 카스타뇨 측이 심어놓은 미끼인지 확인하기 위해 신원을 조사합니다.</t>
        </is>
      </c>
    </row>
    <row r="97" ht="28.35" customHeight="1" s="11">
      <c r="A97" s="13" t="n">
        <v>96</v>
      </c>
      <c r="B97" s="13" t="n">
        <v>8</v>
      </c>
      <c r="C97" s="14">
        <f>INDEX('부작 목록'!$C$2:$C$96,B97)</f>
        <v/>
      </c>
      <c r="D97" s="14" t="inlineStr">
        <is>
          <t>B 카를로스 사건집</t>
        </is>
      </c>
      <c r="E97" s="13" t="n">
        <v>6161</v>
      </c>
      <c r="F97" s="13" t="n">
        <v>28</v>
      </c>
      <c r="G97" s="15" t="inlineStr">
        <is>
          <t>다음 날, 마르코(알바로)가 마테오 엘리살데를 조용한 카페에서 만납니다. 서로 조심스럽게 상대 를 떠보는 대화 끝에, 마테오가 진짜 아군이라는 것이 확인됩니다.</t>
        </is>
      </c>
    </row>
    <row r="98" ht="28.35" customHeight="1" s="11">
      <c r="A98" s="13" t="n">
        <v>97</v>
      </c>
      <c r="B98" s="13" t="n">
        <v>8</v>
      </c>
      <c r="C98" s="14">
        <f>INDEX('부작 목록'!$C$2:$C$96,B98)</f>
        <v/>
      </c>
      <c r="D98" s="14" t="inlineStr">
        <is>
          <t>B 카를로스 사건집</t>
        </is>
      </c>
      <c r="E98" s="13" t="n">
        <v>6192</v>
      </c>
      <c r="F98" s="13" t="n">
        <v>26</v>
      </c>
      <c r="G98" s="15" t="inlineStr">
        <is>
          <t>며칠 후, 알바로가 카를로스에게 마테오를 소개합니다. 세 사람이 안전 가옥에서 만나 앞으로의 협력 방향을 정하고, 팀을 이룹니다.</t>
        </is>
      </c>
    </row>
    <row r="99" ht="28.35" customHeight="1" s="11">
      <c r="A99" s="13" t="n">
        <v>98</v>
      </c>
      <c r="B99" s="13" t="n">
        <v>8</v>
      </c>
      <c r="C99" s="14">
        <f>INDEX('부작 목록'!$C$2:$C$96,B99)</f>
        <v/>
      </c>
      <c r="D99" s="14" t="inlineStr">
        <is>
          <t>B 카를로스 사건집</t>
        </is>
      </c>
      <c r="E99" s="13" t="n">
        <v>6222</v>
      </c>
      <c r="F99" s="13" t="n">
        <v>23</v>
      </c>
      <c r="G99" s="15" t="inlineStr">
        <is>
          <t>카를로스, 알바로, 마테오 세 사람이 마테오가 확보한 자료를 함께 분석하며, 다음 주 카스타뇨 와의 개인 면담에서 어떤 정보를 캐낼지 전략을 세웁니다.</t>
        </is>
      </c>
    </row>
    <row r="100" ht="15" customHeight="1" s="11">
      <c r="A100" s="13" t="n">
        <v>99</v>
      </c>
      <c r="B100" s="13" t="n">
        <v>8</v>
      </c>
      <c r="C100" s="14">
        <f>INDEX('부작 목록'!$C$2:$C$96,B100)</f>
        <v/>
      </c>
      <c r="D100" s="14" t="inlineStr">
        <is>
          <t>B 카를로스 사건집</t>
        </is>
      </c>
      <c r="E100" s="13" t="n">
        <v>6248</v>
      </c>
      <c r="F100" s="13" t="n">
        <v>26</v>
      </c>
      <c r="G100" s="15" t="inlineStr">
        <is>
          <t>다음 주, 알바로(마르코)가 루벤 카스타뇨의 개인 사무실을 방문합니다. 미리 세운 전략에 따라 조심스럽게 정보를 캐냅니다.</t>
        </is>
      </c>
    </row>
    <row r="101" ht="28.35" customHeight="1" s="11">
      <c r="A101" s="13" t="n">
        <v>100</v>
      </c>
      <c r="B101" s="13" t="n">
        <v>8</v>
      </c>
      <c r="C101" s="14">
        <f>INDEX('부작 목록'!$C$2:$C$96,B101)</f>
        <v/>
      </c>
      <c r="D101" s="14" t="inlineStr">
        <is>
          <t>B 카를로스 사건집</t>
        </is>
      </c>
      <c r="E101" s="13" t="n">
        <v>6278</v>
      </c>
      <c r="F101" s="13" t="n">
        <v>22</v>
      </c>
      <c r="G101" s="15" t="inlineStr">
        <is>
          <t>면담을 마친 알바로가 카를로스, 마테오와 다시 만나 녹음 내용을 분석하고 다음 단계를 논의합 니다.</t>
        </is>
      </c>
    </row>
    <row r="102" ht="28.35" customHeight="1" s="11">
      <c r="A102" s="13" t="n">
        <v>101</v>
      </c>
      <c r="B102" s="13" t="n">
        <v>8</v>
      </c>
      <c r="C102" s="14">
        <f>INDEX('부작 목록'!$C$2:$C$96,B102)</f>
        <v/>
      </c>
      <c r="D102" s="14" t="inlineStr">
        <is>
          <t>B 카를로스 사건집</t>
        </is>
      </c>
      <c r="E102" s="13" t="n">
        <v>6303</v>
      </c>
      <c r="F102" s="13" t="n">
        <v>23</v>
      </c>
      <c r="G102" s="15" t="inlineStr">
        <is>
          <t>며칠 후, 알바로가 카스타뇨의 사무실에 다시 방문해 투자 서류에 서명합니다. 대화 도중 카스 타뇨가 무심코 이름 하나를 흘리고, 이후 홀로 남은 알바로는 하비에르에게 전화를 걸어 이 모 든 상황이 주는 심리적 무게를 털어놓습니다.</t>
        </is>
      </c>
    </row>
    <row r="103" ht="28.35" customHeight="1" s="11">
      <c r="A103" s="13" t="n">
        <v>102</v>
      </c>
      <c r="B103" s="13" t="n">
        <v>8</v>
      </c>
      <c r="C103" s="14">
        <f>INDEX('부작 목록'!$C$2:$C$96,B103)</f>
        <v/>
      </c>
      <c r="D103" s="14" t="inlineStr">
        <is>
          <t>B 카를로스 사건집</t>
        </is>
      </c>
      <c r="E103" s="13" t="n">
        <v>6329</v>
      </c>
      <c r="F103" s="13" t="n">
        <v>21</v>
      </c>
      <c r="G103" s="15" t="inlineStr">
        <is>
          <t>다음 날, 카를로스와 마테오가 '아리사'라는 이름을 추적한 결과를 알바로에게 전합니다.</t>
        </is>
      </c>
    </row>
    <row r="104" ht="28.35" customHeight="1" s="11">
      <c r="A104" s="13" t="n">
        <v>103</v>
      </c>
      <c r="B104" s="13" t="n">
        <v>8</v>
      </c>
      <c r="C104" s="14">
        <f>INDEX('부작 목록'!$C$2:$C$96,B104)</f>
        <v/>
      </c>
      <c r="D104" s="14" t="inlineStr">
        <is>
          <t>B 카를로스 사건집</t>
        </is>
      </c>
      <c r="E104" s="13" t="n">
        <v>6354</v>
      </c>
      <c r="F104" s="13" t="n">
        <v>24</v>
      </c>
      <c r="G104" s="15" t="inlineStr">
        <is>
          <t>며칠 후, 마테오가 제네바 쪽 접촉을 시도하다가 누군가 자신을 미행하고 있다는 것을 눈치챕니다. 알바로와 카를로스에게 다급히 연락합니다.</t>
        </is>
      </c>
    </row>
    <row r="105" ht="15" customHeight="1" s="11">
      <c r="A105" s="13" t="n">
        <v>104</v>
      </c>
      <c r="B105" s="13" t="n">
        <v>8</v>
      </c>
      <c r="C105" s="14">
        <f>INDEX('부작 목록'!$C$2:$C$96,B105)</f>
        <v/>
      </c>
      <c r="D105" s="14" t="inlineStr">
        <is>
          <t>B 카를로스 사건집</t>
        </is>
      </c>
      <c r="E105" s="13" t="n">
        <v>6381</v>
      </c>
      <c r="F105" s="13" t="n">
        <v>25</v>
      </c>
      <c r="G105" s="15" t="inlineStr">
        <is>
          <t>마테오 사건 이후 며칠 뒤, 카스타뇨가 알바로에게 전화해 뜻밖의 제안을 합니다 — 다음 주 열 리는 비공개 모임에 초대하겠다는 것으로, 어쩌면 조직의 실제 배후를 만날 기회가 될 수도 있 습니다.</t>
        </is>
      </c>
    </row>
    <row r="106" ht="15" customHeight="1" s="11">
      <c r="A106" s="13" t="n">
        <v>105</v>
      </c>
      <c r="B106" s="13" t="n">
        <v>8</v>
      </c>
      <c r="C106" s="14">
        <f>INDEX('부작 목록'!$C$2:$C$96,B106)</f>
        <v/>
      </c>
      <c r="D106" s="14" t="inlineStr">
        <is>
          <t>B 카를로스 사건집</t>
        </is>
      </c>
      <c r="E106" s="13" t="n">
        <v>6409</v>
      </c>
      <c r="F106" s="13" t="n">
        <v>30</v>
      </c>
      <c r="G106" s="15" t="inlineStr">
        <is>
          <t>약속된 날, 알바로가 비공개 모임 장소에 도착합니다. 마침내 곤살로 아리사와 대면하게 되는데, 예상보다 훨씬 날카롭고 위협적인 인물임이 드러납니다.</t>
        </is>
      </c>
    </row>
    <row r="107" ht="15" customHeight="1" s="11">
      <c r="A107" s="13" t="n">
        <v>106</v>
      </c>
      <c r="B107" s="13" t="n">
        <v>8</v>
      </c>
      <c r="C107" s="14">
        <f>INDEX('부작 목록'!$C$2:$C$96,B107)</f>
        <v/>
      </c>
      <c r="D107" s="14" t="inlineStr">
        <is>
          <t>B 카를로스 사건집</t>
        </is>
      </c>
      <c r="E107" s="13" t="n">
        <v>6443</v>
      </c>
      <c r="F107" s="13" t="n">
        <v>31</v>
      </c>
      <c r="G107" s="15" t="inlineStr">
        <is>
          <t>며칠 후, 아리사가 알바로를 개인적으로 저녁 식사에 초대합니다. 겉으로는 친목 자리처럼 보이 지만, 실제로는 훨씬 정교하고 집요한 심문이 이어집니다.</t>
        </is>
      </c>
    </row>
    <row r="108" ht="28.35" customHeight="1" s="11">
      <c r="A108" s="13" t="n">
        <v>107</v>
      </c>
      <c r="B108" s="13" t="n">
        <v>8</v>
      </c>
      <c r="C108" s="14">
        <f>INDEX('부작 목록'!$C$2:$C$96,B108)</f>
        <v/>
      </c>
      <c r="D108" s="14" t="inlineStr">
        <is>
          <t>B 카를로스 사건집</t>
        </is>
      </c>
      <c r="E108" s="13" t="n">
        <v>6478</v>
      </c>
      <c r="F108" s="13" t="n">
        <v>25</v>
      </c>
      <c r="G108" s="15" t="inlineStr">
        <is>
          <t>심문 같던 분위기가 잠시 누그러지고, 아리사와 알바로가 메뉴와 좋아하는 음식, 각자의 고향 음식 얘기를 나누며 한층 편안한 대화로 이어갑니다.</t>
        </is>
      </c>
    </row>
    <row r="109" ht="15" customHeight="1" s="11">
      <c r="A109" s="13" t="n">
        <v>108</v>
      </c>
      <c r="B109" s="13" t="n">
        <v>8</v>
      </c>
      <c r="C109" s="14">
        <f>INDEX('부작 목록'!$C$2:$C$96,B109)</f>
        <v/>
      </c>
      <c r="D109" s="14" t="inlineStr">
        <is>
          <t>B 카를로스 사건집</t>
        </is>
      </c>
      <c r="E109" s="13" t="n">
        <v>6506</v>
      </c>
      <c r="F109" s="13" t="n">
        <v>23</v>
      </c>
      <c r="G109" s="15" t="inlineStr">
        <is>
          <t>화기애애하던 분위기도 잠시, 아리사가 다시 날카로운 질문들로 알바로를 몰아붙입니다. 이번엔 재정 지식과 논리적 일관성을 집중적으로 시험합니다.</t>
        </is>
      </c>
    </row>
    <row r="110" ht="15" customHeight="1" s="11">
      <c r="A110" s="13" t="n">
        <v>109</v>
      </c>
      <c r="B110" s="13" t="n">
        <v>8</v>
      </c>
      <c r="C110" s="14">
        <f>INDEX('부작 목록'!$C$2:$C$96,B110)</f>
        <v/>
      </c>
      <c r="D110" s="14" t="inlineStr">
        <is>
          <t>B 카를로스 사건집</t>
        </is>
      </c>
      <c r="E110" s="13" t="n">
        <v>6532</v>
      </c>
      <c r="F110" s="13" t="n">
        <v>27</v>
      </c>
      <c r="G110" s="15" t="inlineStr">
        <is>
          <t>약속된 날, 알바로가 아리사와 함께 실제 자금 이체가 이뤄지는 현장(대마초 재배·물류 시설)을 방문합니다. 자연스러운 대화 중에, 합법화 로비의 진짜 목적이 드러납니다.</t>
        </is>
      </c>
    </row>
    <row r="111" ht="28.35" customHeight="1" s="11">
      <c r="A111" s="13" t="n">
        <v>110</v>
      </c>
      <c r="B111" s="13" t="n">
        <v>8</v>
      </c>
      <c r="C111" s="14">
        <f>INDEX('부작 목록'!$C$2:$C$96,B111)</f>
        <v/>
      </c>
      <c r="D111" s="14" t="inlineStr">
        <is>
          <t>B 카를로스 사건집</t>
        </is>
      </c>
      <c r="E111" s="13" t="n">
        <v>6563</v>
      </c>
      <c r="F111" s="13" t="n">
        <v>28</v>
      </c>
      <c r="G111" s="15" t="inlineStr">
        <is>
          <t>아리사가 뜻밖의 요청을 합니다 — 마르코(알바로)의 자택을 방문하고 싶다는 것입니다. 카를로 스와 다급히 위장 거처를 준비한 뒤, 아리사의 방문을 맞이합니다.</t>
        </is>
      </c>
    </row>
    <row r="112" ht="15" customHeight="1" s="11">
      <c r="A112" s="13" t="n">
        <v>111</v>
      </c>
      <c r="B112" s="13" t="n">
        <v>8</v>
      </c>
      <c r="C112" s="14">
        <f>INDEX('부작 목록'!$C$2:$C$96,B112)</f>
        <v/>
      </c>
      <c r="D112" s="14" t="inlineStr">
        <is>
          <t>B 카를로스 사건집</t>
        </is>
      </c>
      <c r="E112" s="13" t="n">
        <v>6594</v>
      </c>
      <c r="F112" s="13" t="n">
        <v>22</v>
      </c>
      <c r="G112" s="15" t="inlineStr">
        <is>
          <t>그날 밤, 하비에르가 알바로에게 연락합니다. 데스크가 발보아 의원 관련 기사를 곧 발행하고 싶어 한다는 소식으로, 수사와 보도 사이에 새로운 긴장이 생깁니다.</t>
        </is>
      </c>
    </row>
    <row r="113" ht="28.35" customHeight="1" s="11">
      <c r="A113" s="13" t="n">
        <v>112</v>
      </c>
      <c r="B113" s="13" t="n">
        <v>8</v>
      </c>
      <c r="C113" s="14">
        <f>INDEX('부작 목록'!$C$2:$C$96,B113)</f>
        <v/>
      </c>
      <c r="D113" s="14" t="inlineStr">
        <is>
          <t>B 카를로스 사건집</t>
        </is>
      </c>
      <c r="E113" s="13" t="n">
        <v>6619</v>
      </c>
      <c r="F113" s="13" t="n">
        <v>21</v>
      </c>
      <c r="G113" s="15" t="inlineStr">
        <is>
          <t>카를로스와 상의 끝에, 알바로는 시간을 벌기 위해 조직 내부에 의심의 씨앗을 심기로 합니다. 카스타뇨와 아리사 사이의 신뢰를 흔드는 전략을 조심스럽게 실행에 옮깁니다.</t>
        </is>
      </c>
    </row>
    <row r="114" ht="15" customHeight="1" s="11">
      <c r="A114" s="13" t="n">
        <v>113</v>
      </c>
      <c r="B114" s="13" t="n">
        <v>8</v>
      </c>
      <c r="C114" s="14">
        <f>INDEX('부작 목록'!$C$2:$C$96,B114)</f>
        <v/>
      </c>
      <c r="D114" s="14" t="inlineStr">
        <is>
          <t>B 카를로스 사건집</t>
        </is>
      </c>
      <c r="E114" s="13" t="n">
        <v>6643</v>
      </c>
      <c r="F114" s="13" t="n">
        <v>26</v>
      </c>
      <c r="G114" s="15" t="inlineStr">
        <is>
          <t>시간이 촉박해진 알바로가 조직 내부에 균열을 만들기 위해 은밀히 움직입니다. 카스타뇨에게는 아리사가 지나치게 자신을 못 미더워한다는 인상을 심고, 아리사에게는 카스타뇨의 부주의함을 넌지시 알려, 두 사람 사이에 의심의 씨앗을 뿌립니다.</t>
        </is>
      </c>
    </row>
    <row r="115" ht="15" customHeight="1" s="11">
      <c r="A115" s="13" t="n">
        <v>114</v>
      </c>
      <c r="B115" s="13" t="n">
        <v>8</v>
      </c>
      <c r="C115" s="14">
        <f>INDEX('부작 목록'!$C$2:$C$96,B115)</f>
        <v/>
      </c>
      <c r="D115" s="14" t="inlineStr">
        <is>
          <t>B 카를로스 사건집</t>
        </is>
      </c>
      <c r="E115" s="13" t="n">
        <v>6673</v>
      </c>
      <c r="F115" s="13" t="n">
        <v>22</v>
      </c>
      <c r="G115" s="15" t="inlineStr">
        <is>
          <t>며칠 후, 알바로가 심어놓은 의심의 씨앗이 효과를 발휘하기 시작합니다. 카스타뇨와 아리사 사 이에 알바로가 지켜보는 앞에서 긴장된 언쟁이 벌어지고, 그 과정에서 예상치 못한 정보가 흘러 나옵니다.</t>
        </is>
      </c>
    </row>
    <row r="116" ht="28.35" customHeight="1" s="11">
      <c r="A116" s="13" t="n">
        <v>115</v>
      </c>
      <c r="B116" s="13" t="n">
        <v>8</v>
      </c>
      <c r="C116" s="14">
        <f>INDEX('부작 목록'!$C$2:$C$96,B116)</f>
        <v/>
      </c>
      <c r="D116" s="14" t="inlineStr">
        <is>
          <t>B 카를로스 사건집</t>
        </is>
      </c>
      <c r="E116" s="13" t="n">
        <v>6698</v>
      </c>
      <c r="F116" s="13" t="n">
        <v>25</v>
      </c>
      <c r="G116" s="15" t="inlineStr">
        <is>
          <t>권한이 축소된 카스타뇨가 초조해하며 알바로에게 따로 연락합니다. 아리사에 대한 불만을 토로 하는 과정에서, 뜻밖에도 결정적인 정보를 흘립니다.</t>
        </is>
      </c>
    </row>
    <row r="117" ht="28.35" customHeight="1" s="11">
      <c r="A117" s="13" t="n">
        <v>116</v>
      </c>
      <c r="B117" s="13" t="n">
        <v>8</v>
      </c>
      <c r="C117" s="14">
        <f>INDEX('부작 목록'!$C$2:$C$96,B117)</f>
        <v/>
      </c>
      <c r="D117" s="14" t="inlineStr">
        <is>
          <t>B 카를로스 사건집</t>
        </is>
      </c>
      <c r="E117" s="13" t="n">
        <v>6726</v>
      </c>
      <c r="F117" s="13" t="n">
        <v>18</v>
      </c>
      <c r="G117" s="15" t="inlineStr">
        <is>
          <t>다음 날, 카를로스가 데이터베이스 대조 결과를 가지고 알바로에게 연락합니다. 'V.R.'이라는 이 니셜이 뜻밖의 인물과 일치하며, 두 개의 사건이 하나로 연결됩니다.</t>
        </is>
      </c>
    </row>
    <row r="118" ht="28.35" customHeight="1" s="11">
      <c r="A118" s="13" t="n">
        <v>117</v>
      </c>
      <c r="B118" s="13" t="n">
        <v>8</v>
      </c>
      <c r="C118" s="14">
        <f>INDEX('부작 목록'!$C$2:$C$96,B118)</f>
        <v/>
      </c>
      <c r="D118" s="14" t="inlineStr">
        <is>
          <t>B 카를로스 사건집</t>
        </is>
      </c>
      <c r="E118" s="13" t="n">
        <v>6747</v>
      </c>
      <c r="F118" s="13" t="n">
        <v>18</v>
      </c>
      <c r="G118" s="15" t="inlineStr">
        <is>
          <t>예정된 대규모 송금일. 알바로가 현장에 참관하며 결정적 증거를 확보하려 합니다.</t>
        </is>
      </c>
    </row>
    <row r="119" ht="15" customHeight="1" s="11">
      <c r="A119" s="13" t="n">
        <v>118</v>
      </c>
      <c r="B119" s="13" t="n">
        <v>8</v>
      </c>
      <c r="C119" s="14">
        <f>INDEX('부작 목록'!$C$2:$C$96,B119)</f>
        <v/>
      </c>
      <c r="D119" s="14" t="inlineStr">
        <is>
          <t>B 카를로스 사건집</t>
        </is>
      </c>
      <c r="E119" s="13" t="n">
        <v>6768</v>
      </c>
      <c r="F119" s="13" t="n">
        <v>21</v>
      </c>
      <c r="G119" s="15" t="inlineStr">
        <is>
          <t>카를로스가 확보된 증거를 바탕으로 대대적인 작전을 개시합니다. 송금이 완료되는 순간, 경찰 이 개입합니다.</t>
        </is>
      </c>
    </row>
    <row r="120" ht="15" customHeight="1" s="11">
      <c r="A120" s="13" t="n">
        <v>119</v>
      </c>
      <c r="B120" s="13" t="n">
        <v>8</v>
      </c>
      <c r="C120" s="14">
        <f>INDEX('부작 목록'!$C$2:$C$96,B120)</f>
        <v/>
      </c>
      <c r="D120" s="14" t="inlineStr">
        <is>
          <t>B 카를로스 사건집</t>
        </is>
      </c>
      <c r="E120" s="13" t="n">
        <v>6793</v>
      </c>
      <c r="F120" s="13" t="n">
        <v>27</v>
      </c>
      <c r="G120" s="15" t="inlineStr">
        <is>
          <t>사건이 마무리되고 며칠 후, 알바로·카를로스·하비에르·마테오 네 사람이 함께 저녁을 먹으며 그 동안의 결과를 정리합니다.</t>
        </is>
      </c>
    </row>
    <row r="121" ht="15" customHeight="1" s="11">
      <c r="A121" s="13" t="n">
        <v>120</v>
      </c>
      <c r="B121" s="13" t="n">
        <v>9</v>
      </c>
      <c r="C121" s="14">
        <f>INDEX('부작 목록'!$C$2:$C$96,B121)</f>
        <v/>
      </c>
      <c r="D121" s="14" t="inlineStr">
        <is>
          <t>B 카를로스 사건집</t>
        </is>
      </c>
      <c r="E121" s="13" t="n">
        <v>6823</v>
      </c>
      <c r="F121" s="13" t="n">
        <v>49</v>
      </c>
      <c r="G121" s="15" t="inlineStr">
        <is>
          <t>라몬의 재판 준비 과정에서 새로운 자금 흐름이 포착됩니다. 알바로와 하비에르가 이 단서를 추적하기 시작합니다. 늦은 오후의 편집국, 하비에르가 두툼한 공소 기록 사본을 들고 알바로의 책상으로 다가옵니다.</t>
        </is>
      </c>
    </row>
    <row r="122" ht="15" customHeight="1" s="11">
      <c r="A122" s="13" t="n">
        <v>121</v>
      </c>
      <c r="B122" s="13" t="n">
        <v>9</v>
      </c>
      <c r="C122" s="14">
        <f>INDEX('부작 목록'!$C$2:$C$96,B122)</f>
        <v/>
      </c>
      <c r="D122" s="14" t="inlineStr">
        <is>
          <t>B 카를로스 사건집</t>
        </is>
      </c>
      <c r="E122" s="13" t="n">
        <v>6874</v>
      </c>
      <c r="F122" s="13" t="n">
        <v>50</v>
      </c>
      <c r="G122" s="15" t="inlineStr">
        <is>
          <t>다음 날, 알바로와 하비에르가 검사 마리나 소텔로를 비공식적으로 만납니다. 그녀는 신중하게, 그러나 결정적인 정보를 흘립니다. 약속 장소는 법원에서 멀리 떨어진 조용한 동네 카페입니다.</t>
        </is>
      </c>
    </row>
    <row r="123" ht="15" customHeight="1" s="11">
      <c r="A123" s="13" t="n">
        <v>122</v>
      </c>
      <c r="B123" s="13" t="n">
        <v>9</v>
      </c>
      <c r="C123" s="14">
        <f>INDEX('부작 목록'!$C$2:$C$96,B123)</f>
        <v/>
      </c>
      <c r="D123" s="14" t="inlineStr">
        <is>
          <t>B 카를로스 사건집</t>
        </is>
      </c>
      <c r="E123" s="13" t="n">
        <v>6926</v>
      </c>
      <c r="F123" s="13" t="n">
        <v>54</v>
      </c>
      <c r="G123" s="15" t="inlineStr">
        <is>
          <t>하비에르와 알바로가 공공사업 발주 기록을 분석하며, 롤단의 회사가 수주한 계약들에서 구체적인 이상 징후를 발견합니다. 회의실 탁자 위에는 서류가 빈틈없이 펼쳐져 있습니다.</t>
        </is>
      </c>
    </row>
    <row r="124" ht="28.35" customHeight="1" s="11">
      <c r="A124" s="13" t="n">
        <v>123</v>
      </c>
      <c r="B124" s="13" t="n">
        <v>9</v>
      </c>
      <c r="C124" s="14">
        <f>INDEX('부작 목록'!$C$2:$C$96,B124)</f>
        <v/>
      </c>
      <c r="D124" s="14" t="inlineStr">
        <is>
          <t>B 카를로스 사건집</t>
        </is>
      </c>
      <c r="E124" s="13" t="n">
        <v>6982</v>
      </c>
      <c r="F124" s="13" t="n">
        <v>48</v>
      </c>
      <c r="G124" s="15" t="inlineStr">
        <is>
          <t>롤단 측에서 마침내 답변이 옵니다 — 직접 해명이 아니라, 변호사를 통한 경고성 서한입니다. 질문지를 보낸 지 닷새째 되는 비 오는 아침입니다.</t>
        </is>
      </c>
    </row>
    <row r="125" ht="15" customHeight="1" s="11">
      <c r="A125" s="13" t="n">
        <v>124</v>
      </c>
      <c r="B125" s="13" t="n">
        <v>9</v>
      </c>
      <c r="C125" s="14">
        <f>INDEX('부작 목록'!$C$2:$C$96,B125)</f>
        <v/>
      </c>
      <c r="D125" s="14" t="inlineStr">
        <is>
          <t>B 카를로스 사건집</t>
        </is>
      </c>
      <c r="E125" s="13" t="n">
        <v>7032</v>
      </c>
      <c r="F125" s="13" t="n">
        <v>46</v>
      </c>
      <c r="G125" s="15" t="inlineStr">
        <is>
          <t>다음 날, 알바로와 하비에르가 신문사 법무 자문 마르타를 만나 롤단 측 경고 서한에 대응할 전략을 논의하고, 이후 건설사 내부 취재원을 찾아보기로 합니다. 마르타는 빨간 펜으로 밑줄을 그은 서한 사본을 들고 회의실에 들어섭니다.</t>
        </is>
      </c>
    </row>
    <row r="126" ht="15" customHeight="1" s="11">
      <c r="A126" s="13" t="n">
        <v>125</v>
      </c>
      <c r="B126" s="13" t="n">
        <v>9</v>
      </c>
      <c r="C126" s="14">
        <f>INDEX('부작 목록'!$C$2:$C$96,B126)</f>
        <v/>
      </c>
      <c r="D126" s="14" t="inlineStr">
        <is>
          <t>B 카를로스 사건집</t>
        </is>
      </c>
      <c r="E126" s="13" t="n">
        <v>7080</v>
      </c>
      <c r="F126" s="13" t="n">
        <v>50</v>
      </c>
      <c r="G126" s="15" t="inlineStr">
        <is>
          <t>며칠 후, 하비에르의 대학 동창을 통해 건설사 내부 인물 프란 이바녜스와의 접선이 성사됩니다. 익명을 조건으로, 그가 계약 체결 과정에 대해 증언합니다. 장소는 쇼핑센터 지하 주차장, 형광등이 깜빡이는 늦은 저녁입니다.</t>
        </is>
      </c>
    </row>
    <row r="127" ht="15" customHeight="1" s="11">
      <c r="A127" s="13" t="n">
        <v>126</v>
      </c>
      <c r="B127" s="13" t="n">
        <v>9</v>
      </c>
      <c r="C127" s="14">
        <f>INDEX('부작 목록'!$C$2:$C$96,B127)</f>
        <v/>
      </c>
      <c r="D127" s="14" t="inlineStr">
        <is>
          <t>B 카를로스 사건집</t>
        </is>
      </c>
      <c r="E127" s="13" t="n">
        <v>7132</v>
      </c>
      <c r="F127" s="13" t="n">
        <v>49</v>
      </c>
      <c r="G127" s="15" t="inlineStr">
        <is>
          <t>확보한 증거가 충분하다고 판단한 데스크가 보도를 승인합니다. 기사가 나가자마자, 의회에서 마누엘 수아소를 소환하는 청문회가 열립니다.</t>
        </is>
      </c>
    </row>
    <row r="128" ht="28.35" customHeight="1" s="11">
      <c r="A128" s="13" t="n">
        <v>127</v>
      </c>
      <c r="B128" s="13" t="n">
        <v>9</v>
      </c>
      <c r="C128" s="14">
        <f>INDEX('부작 목록'!$C$2:$C$96,B128)</f>
        <v/>
      </c>
      <c r="D128" s="14" t="inlineStr">
        <is>
          <t>B 카를로스 사건집</t>
        </is>
      </c>
      <c r="E128" s="13" t="n">
        <v>7183</v>
      </c>
      <c r="F128" s="13" t="n">
        <v>50</v>
      </c>
      <c r="G128" s="15" t="inlineStr">
        <is>
          <t>청문회 당일. 야당 의원 소니아 비달이 정당 회계 담당자 마누엘 수아소를 상대로 날카로운 질의를 이어갑니다. 알바로와 하비에르는 방청석에서 이를 취재합니다. 회의실은 카메라와 기자들로 가득 차 있습니다.</t>
        </is>
      </c>
    </row>
    <row r="129" ht="15" customHeight="1" s="11">
      <c r="A129" s="13" t="n">
        <v>128</v>
      </c>
      <c r="B129" s="13" t="n">
        <v>9</v>
      </c>
      <c r="C129" s="14">
        <f>INDEX('부작 목록'!$C$2:$C$96,B129)</f>
        <v/>
      </c>
      <c r="D129" s="14" t="inlineStr">
        <is>
          <t>B 카를로스 사건집</t>
        </is>
      </c>
      <c r="E129" s="13" t="n">
        <v>7235</v>
      </c>
      <c r="F129" s="13" t="n">
        <v>46</v>
      </c>
      <c r="G129" s="15" t="inlineStr">
        <is>
          <t>청문회와 보도의 파장으로, 판사가 롤단의 회사와 정당 사무실에 대한 압수수색을 승인합니다. 소문은 법원 출입 기자들 사이에서 먼저 퍼집니다.</t>
        </is>
      </c>
    </row>
    <row r="130" ht="15" customHeight="1" s="11">
      <c r="A130" s="13" t="n">
        <v>129</v>
      </c>
      <c r="B130" s="13" t="n">
        <v>9</v>
      </c>
      <c r="C130" s="14">
        <f>INDEX('부작 목록'!$C$2:$C$96,B130)</f>
        <v/>
      </c>
      <c r="D130" s="14" t="inlineStr">
        <is>
          <t>B 카를로스 사건집</t>
        </is>
      </c>
      <c r="E130" s="13" t="n">
        <v>7283</v>
      </c>
      <c r="F130" s="13" t="n">
        <v>47</v>
      </c>
      <c r="G130" s="15" t="inlineStr">
        <is>
          <t>다음 날 아침, 알바로와 하비에르가 압수수색 현장 근처에서 취재합니다. 아직 해도 뜨지 않은 쌀쌀한 새벽, 건물 앞에는 경찰 차량이 줄지어 서 있습니다.</t>
        </is>
      </c>
    </row>
    <row r="131" ht="15" customHeight="1" s="11">
      <c r="A131" s="13" t="n">
        <v>130</v>
      </c>
      <c r="B131" s="13" t="n">
        <v>9</v>
      </c>
      <c r="C131" s="14">
        <f>INDEX('부작 목록'!$C$2:$C$96,B131)</f>
        <v/>
      </c>
      <c r="D131" s="14" t="inlineStr">
        <is>
          <t>B 카를로스 사건집</t>
        </is>
      </c>
      <c r="E131" s="13" t="n">
        <v>7332</v>
      </c>
      <c r="F131" s="13" t="n">
        <v>48</v>
      </c>
      <c r="G131" s="15" t="inlineStr">
        <is>
          <t>며칠 후, 압수된 자료에서 결정적인 증거가 발견됩니다. 판사가 수사 비공개를 해제하자, 알바로와 하비에르는 공개된 법원 결정문에서 이를 확인합니다.</t>
        </is>
      </c>
    </row>
    <row r="132" ht="15" customHeight="1" s="11">
      <c r="A132" s="13" t="n">
        <v>131</v>
      </c>
      <c r="B132" s="13" t="n">
        <v>9</v>
      </c>
      <c r="C132" s="14">
        <f>INDEX('부작 목록'!$C$2:$C$96,B132)</f>
        <v/>
      </c>
      <c r="D132" s="14" t="inlineStr">
        <is>
          <t>B 카를로스 사건집</t>
        </is>
      </c>
      <c r="E132" s="13" t="n">
        <v>7382</v>
      </c>
      <c r="F132" s="13" t="n">
        <v>49</v>
      </c>
      <c r="G132" s="15" t="inlineStr">
        <is>
          <t>몇 달 후, 마침내 재판이 시작됩니다. 알바로와 하비에르가 방청석에서 취재하는 가운데, 검찰과 변호인단의 공방이 펼쳐집니다.</t>
        </is>
      </c>
    </row>
    <row r="133" ht="28.35" customHeight="1" s="11">
      <c r="A133" s="13" t="n">
        <v>132</v>
      </c>
      <c r="B133" s="13" t="n">
        <v>9</v>
      </c>
      <c r="C133" s="14">
        <f>INDEX('부작 목록'!$C$2:$C$96,B133)</f>
        <v/>
      </c>
      <c r="D133" s="14" t="inlineStr">
        <is>
          <t>B 카를로스 사건집</t>
        </is>
      </c>
      <c r="E133" s="13" t="n">
        <v>7433</v>
      </c>
      <c r="F133" s="13" t="n">
        <v>48</v>
      </c>
      <c r="G133" s="15" t="inlineStr">
        <is>
          <t>수아소가 증언하기로 한 날 아침, 충격적인 소식이 전해집니다 — 그가 자택에서 숨진 채 발견 됐다는 것입니다.</t>
        </is>
      </c>
    </row>
    <row r="134" ht="15" customHeight="1" s="11">
      <c r="A134" s="13" t="n">
        <v>133</v>
      </c>
      <c r="B134" s="13" t="n">
        <v>9</v>
      </c>
      <c r="C134" s="14">
        <f>INDEX('부작 목록'!$C$2:$C$96,B134)</f>
        <v/>
      </c>
      <c r="D134" s="14" t="inlineStr">
        <is>
          <t>B 카를로스 사건집</t>
        </is>
      </c>
      <c r="E134" s="13" t="n">
        <v>7483</v>
      </c>
      <c r="F134" s="13" t="n">
        <v>48</v>
      </c>
      <c r="G134" s="15" t="inlineStr">
        <is>
          <t>부검 결과가 나옵니다. 예상대로 단순한 자연사가 아니었습니다.</t>
        </is>
      </c>
    </row>
    <row r="135" ht="15" customHeight="1" s="11">
      <c r="A135" s="13" t="n">
        <v>134</v>
      </c>
      <c r="B135" s="13" t="n">
        <v>9</v>
      </c>
      <c r="C135" s="14">
        <f>INDEX('부작 목록'!$C$2:$C$96,B135)</f>
        <v/>
      </c>
      <c r="D135" s="14" t="inlineStr">
        <is>
          <t>B 카를로스 사건집</t>
        </is>
      </c>
      <c r="E135" s="13" t="n">
        <v>7533</v>
      </c>
      <c r="F135" s="13" t="n">
        <v>48</v>
      </c>
      <c r="G135" s="15" t="inlineStr">
        <is>
          <t>알바로가 카를로스에게 연락해 수아소 사건을 보고합니다. 두 사람은 이 사건이 루에다의 조직 과 연결됐을 가능성을 논의합니다.</t>
        </is>
      </c>
    </row>
    <row r="136" ht="15" customHeight="1" s="11">
      <c r="A136" s="13" t="n">
        <v>135</v>
      </c>
      <c r="B136" s="13" t="n">
        <v>9</v>
      </c>
      <c r="C136" s="14">
        <f>INDEX('부작 목록'!$C$2:$C$96,B136)</f>
        <v/>
      </c>
      <c r="D136" s="14" t="inlineStr">
        <is>
          <t>B 카를로스 사건집</t>
        </is>
      </c>
      <c r="E136" s="13" t="n">
        <v>7583</v>
      </c>
      <c r="F136" s="13" t="n">
        <v>48</v>
      </c>
      <c r="G136" s="15" t="inlineStr">
        <is>
          <t>며칠 후, 알바로가 자신도 미행당하고 있다는 걸 눈치챕니다.</t>
        </is>
      </c>
    </row>
    <row r="137" ht="15" customHeight="1" s="11">
      <c r="A137" s="13" t="n">
        <v>136</v>
      </c>
      <c r="B137" s="13" t="n">
        <v>9</v>
      </c>
      <c r="C137" s="14">
        <f>INDEX('부작 목록'!$C$2:$C$96,B137)</f>
        <v/>
      </c>
      <c r="D137" s="14" t="inlineStr">
        <is>
          <t>B 카를로스 사건집</t>
        </is>
      </c>
      <c r="E137" s="13" t="n">
        <v>7633</v>
      </c>
      <c r="F137" s="13" t="n">
        <v>48</v>
      </c>
      <c r="G137" s="15" t="inlineStr">
        <is>
          <t>그날 밤, 카를로스가 조사 결과를 가지고 알바로를 찾아옵니다. 수아소 살해와 루에다 조직 사 이의 결정적 연결고리가 드러납니다.</t>
        </is>
      </c>
    </row>
    <row r="138" ht="15" customHeight="1" s="11">
      <c r="A138" s="13" t="n">
        <v>137</v>
      </c>
      <c r="B138" s="13" t="n">
        <v>9</v>
      </c>
      <c r="C138" s="14">
        <f>INDEX('부작 목록'!$C$2:$C$96,B138)</f>
        <v/>
      </c>
      <c r="D138" s="14" t="inlineStr">
        <is>
          <t>B 카를로스 사건집</t>
        </is>
      </c>
      <c r="E138" s="13" t="n">
        <v>7683</v>
      </c>
      <c r="F138" s="13" t="n">
        <v>48</v>
      </c>
      <c r="G138" s="15" t="inlineStr">
        <is>
          <t>몇 주 후, 재판 최종 판결이 내려집니다.</t>
        </is>
      </c>
    </row>
    <row r="139" ht="15" customHeight="1" s="11">
      <c r="A139" s="13" t="n">
        <v>138</v>
      </c>
      <c r="B139" s="13" t="n">
        <v>9</v>
      </c>
      <c r="C139" s="14">
        <f>INDEX('부작 목록'!$C$2:$C$96,B139)</f>
        <v/>
      </c>
      <c r="D139" s="14" t="inlineStr">
        <is>
          <t>B 카를로스 사건집</t>
        </is>
      </c>
      <c r="E139" s="13" t="n">
        <v>7733</v>
      </c>
      <c r="F139" s="13" t="n">
        <v>47</v>
      </c>
      <c r="G139" s="15" t="inlineStr">
        <is>
          <t>며칠 후, 알바로·하비에르·카를로스·마리나가 함께 저녁을 먹지만, 아무도 건배를 제안하지 않고 분위기는 무겁기만 합니다.</t>
        </is>
      </c>
    </row>
    <row r="140" ht="41" customHeight="1" s="11">
      <c r="A140" s="13" t="n">
        <v>139</v>
      </c>
      <c r="B140" s="13" t="n">
        <v>9</v>
      </c>
      <c r="C140" s="14">
        <f>INDEX('부작 목록'!$C$2:$C$96,B140)</f>
        <v/>
      </c>
      <c r="D140" s="14" t="inlineStr">
        <is>
          <t>B 카를로스 사건집</t>
        </is>
      </c>
      <c r="E140" s="13" t="n">
        <v>7782</v>
      </c>
      <c r="F140" s="13" t="n">
        <v>45</v>
      </c>
      <c r="G140" s="15" t="inlineStr">
        <is>
          <t>식사가 끝나갈 무렵, 테이블 근처에서 갑작스러운 폭발이 일어납니다. 정신을 차린 알바로는 하 비에르가 크게 다친 것을 발견하고 필사적으로 구급차를 부릅니다.</t>
        </is>
      </c>
    </row>
    <row r="141" ht="15" customHeight="1" s="11">
      <c r="A141" s="13" t="n">
        <v>140</v>
      </c>
      <c r="B141" s="13" t="n">
        <v>9</v>
      </c>
      <c r="C141" s="14">
        <f>INDEX('부작 목록'!$C$2:$C$96,B141)</f>
        <v/>
      </c>
      <c r="D141" s="14" t="inlineStr">
        <is>
          <t>B 카를로스 사건집</t>
        </is>
      </c>
      <c r="E141" s="13" t="n">
        <v>7829</v>
      </c>
      <c r="F141" s="13" t="n">
        <v>59</v>
      </c>
      <c r="G141" s="15" t="inlineStr">
        <is>
          <t>폭발 몇 시간 뒤 새벽, 알바로가 피 묻은 셔츠 차림 그대로 병원 수술실 앞에서 하비에르의 수술이 끝나기를 기다립니다. 경찰청 정보국의 베고냐 아라나 경위가 찾아와 진술을 받고, 이마를 꿰맨 카를로스와 손에 붕대를 감은 마리나가 차례로 도착합니다.</t>
        </is>
      </c>
    </row>
    <row r="142" ht="15" customHeight="1" s="11">
      <c r="A142" s="13" t="n">
        <v>141</v>
      </c>
      <c r="B142" s="13" t="n">
        <v>9</v>
      </c>
      <c r="C142" s="14">
        <f>INDEX('부작 목록'!$C$2:$C$96,B142)</f>
        <v/>
      </c>
      <c r="D142" s="14" t="inlineStr">
        <is>
          <t>B 카를로스 사건집</t>
        </is>
      </c>
      <c r="E142" s="13" t="n">
        <v>7890</v>
      </c>
      <c r="F142" s="13" t="n">
        <v>59</v>
      </c>
      <c r="G142" s="15" t="inlineStr">
        <is>
          <t>사흘 후, 일반 병실로 옮긴 하비에르가 처음으로 알바로와 그날 밤에 대해 이야기합니다. 그날 오후 카를로스는 기폭 장치의 휴대전화가 파비안 조직의 옛 번호, 그리고 루에다로 이어진다는 정보를 전하고, 다음 날 아라나 경위는 알바로에게 수사가 어디까지 왔는지와 아직 닿지 못한 곳을 솔직히 털어놓습니다.</t>
        </is>
      </c>
    </row>
    <row r="143" ht="15" customHeight="1" s="11">
      <c r="A143" s="13" t="n">
        <v>142</v>
      </c>
      <c r="B143" s="13" t="n">
        <v>10</v>
      </c>
      <c r="C143" s="14">
        <f>INDEX('부작 목록'!$C$2:$C$96,B143)</f>
        <v/>
      </c>
      <c r="D143" s="14" t="inlineStr">
        <is>
          <t>B 카를로스 사건집</t>
        </is>
      </c>
      <c r="E143" s="13" t="n">
        <v>7951</v>
      </c>
      <c r="F143" s="13" t="n">
        <v>19</v>
      </c>
      <c r="G143" s="15" t="inlineStr">
        <is>
          <t>새로운 사건. 카를로스가 톰포드 슈트·향수·선글라스와 스페인 명품 의류를 위조해 유통하는 대규모 조직에 대한 정보를 갖고 알바로를 찾아옵니다. CNI 소관이 아니어서 사건은 경찰과 세관이 맡고, 카를로스는 연락책 역할만 합니다.</t>
        </is>
      </c>
    </row>
    <row r="144" ht="15" customHeight="1" s="11">
      <c r="A144" s="13" t="n">
        <v>143</v>
      </c>
      <c r="B144" s="13" t="n">
        <v>10</v>
      </c>
      <c r="C144" s="14">
        <f>INDEX('부작 목록'!$C$2:$C$96,B144)</f>
        <v/>
      </c>
      <c r="D144" s="14" t="inlineStr">
        <is>
          <t>B 카를로스 사건집</t>
        </is>
      </c>
      <c r="E144" s="13" t="n">
        <v>7973</v>
      </c>
      <c r="F144" s="13" t="n">
        <v>19</v>
      </c>
      <c r="G144" s="15" t="inlineStr">
        <is>
          <t>알바로가 '알레한드로 폰스'라는 위장 신분으로 브루노 살라스의 명품 중고매장을 찾아갑니다. 까다로운 고객을 위한 구매 대행이라는 명분으로 접근합니다.</t>
        </is>
      </c>
    </row>
    <row r="145" ht="15" customHeight="1" s="11">
      <c r="A145" s="13" t="n">
        <v>144</v>
      </c>
      <c r="B145" s="13" t="n">
        <v>10</v>
      </c>
      <c r="C145" s="14">
        <f>INDEX('부작 목록'!$C$2:$C$96,B145)</f>
        <v/>
      </c>
      <c r="D145" s="14" t="inlineStr">
        <is>
          <t>B 카를로스 사건집</t>
        </is>
      </c>
      <c r="E145" s="13" t="n">
        <v>7995</v>
      </c>
      <c r="F145" s="13" t="n">
        <v>19</v>
      </c>
      <c r="G145" s="15" t="inlineStr">
        <is>
          <t>다음 날, 브루노가 알바로에게 매장 뒤편에 숨겨둔 위조품 재고를 보여줍니다.</t>
        </is>
      </c>
    </row>
    <row r="146" ht="15" customHeight="1" s="11">
      <c r="A146" s="13" t="n">
        <v>145</v>
      </c>
      <c r="B146" s="13" t="n">
        <v>10</v>
      </c>
      <c r="C146" s="14">
        <f>INDEX('부작 목록'!$C$2:$C$96,B146)</f>
        <v/>
      </c>
      <c r="D146" s="14" t="inlineStr">
        <is>
          <t>B 카를로스 사건집</t>
        </is>
      </c>
      <c r="E146" s="13" t="n">
        <v>8017</v>
      </c>
      <c r="F146" s="13" t="n">
        <v>19</v>
      </c>
      <c r="G146" s="15" t="inlineStr">
        <is>
          <t>알바로가 카를로스에게 진행 상황을 보고하고, 시험 주문을 통해 생산 라인을 추적할 계획을 세 웁니다.</t>
        </is>
      </c>
    </row>
    <row r="147" ht="15" customHeight="1" s="11">
      <c r="A147" s="13" t="n">
        <v>146</v>
      </c>
      <c r="B147" s="13" t="n">
        <v>10</v>
      </c>
      <c r="C147" s="14">
        <f>INDEX('부작 목록'!$C$2:$C$96,B147)</f>
        <v/>
      </c>
      <c r="D147" s="14" t="inlineStr">
        <is>
          <t>B 카를로스 사건집</t>
        </is>
      </c>
      <c r="E147" s="13" t="n">
        <v>8039</v>
      </c>
      <c r="F147" s="13" t="n">
        <v>17</v>
      </c>
      <c r="G147" s="15" t="inlineStr">
        <is>
          <t>일주일 후, 브루노가 알바로를 톨레도 근처의 생산 작업장으로 직접 데려갑니다.</t>
        </is>
      </c>
    </row>
    <row r="148" ht="41.75" customHeight="1" s="11">
      <c r="A148" s="13" t="n">
        <v>147</v>
      </c>
      <c r="B148" s="13" t="n">
        <v>10</v>
      </c>
      <c r="C148" s="14">
        <f>INDEX('부작 목록'!$C$2:$C$96,B148)</f>
        <v/>
      </c>
      <c r="D148" s="14" t="inlineStr">
        <is>
          <t>B 카를로스 사건집</t>
        </is>
      </c>
      <c r="E148" s="13" t="n">
        <v>8059</v>
      </c>
      <c r="F148" s="13" t="n">
        <v>13</v>
      </c>
      <c r="G148" s="15" t="inlineStr">
        <is>
          <t>카를로스에게 위치를 전달한 후, 경찰이 작업장과 매장을 동시에 급습합니다.</t>
        </is>
      </c>
    </row>
    <row r="149" ht="15" customHeight="1" s="11">
      <c r="A149" s="13" t="n">
        <v>148</v>
      </c>
      <c r="B149" s="13" t="n">
        <v>10</v>
      </c>
      <c r="C149" s="14">
        <f>INDEX('부작 목록'!$C$2:$C$96,B149)</f>
        <v/>
      </c>
      <c r="D149" s="14" t="inlineStr">
        <is>
          <t>B 카를로스 사건집</t>
        </is>
      </c>
      <c r="E149" s="13" t="n">
        <v>8075</v>
      </c>
      <c r="F149" s="13" t="n">
        <v>10</v>
      </c>
      <c r="G149" s="15" t="inlineStr">
        <is>
          <t>며칠 후, 알바로가 병원에서 회복 중인 하비에르를 찾아가 함께 이번 사건 소식을 나눕니다.</t>
        </is>
      </c>
    </row>
    <row r="150" ht="28.35" customHeight="1" s="11">
      <c r="A150" s="13" t="n">
        <v>149</v>
      </c>
      <c r="B150" s="13" t="n">
        <v>11</v>
      </c>
      <c r="C150" s="14">
        <f>INDEX('부작 목록'!$C$2:$C$96,B150)</f>
        <v/>
      </c>
      <c r="D150" s="14" t="inlineStr">
        <is>
          <t>B 카를로스 사건집</t>
        </is>
      </c>
      <c r="E150" s="13" t="n">
        <v>8087</v>
      </c>
      <c r="F150" s="13" t="n">
        <v>18</v>
      </c>
      <c r="G150" s="15" t="inlineStr">
        <is>
          <t>카를로스가 알바로에게 새로운 사건을 제안합니다. 가짜 백신과 미허가 시술을 판매하는 의료관광 클리닉 네트워크에 대한 것입니다.</t>
        </is>
      </c>
    </row>
    <row r="151" ht="15" customHeight="1" s="11">
      <c r="A151" s="13" t="n">
        <v>150</v>
      </c>
      <c r="B151" s="13" t="n">
        <v>11</v>
      </c>
      <c r="C151" s="14">
        <f>INDEX('부작 목록'!$C$2:$C$96,B151)</f>
        <v/>
      </c>
      <c r="D151" s="14" t="inlineStr">
        <is>
          <t>B 카를로스 사건집</t>
        </is>
      </c>
      <c r="E151" s="13" t="n">
        <v>8108</v>
      </c>
      <c r="F151" s="13" t="n">
        <v>23</v>
      </c>
      <c r="G151" s="15" t="inlineStr">
        <is>
          <t>다음 날, 신뢰할 수 있는 의사 엘레나 페라스 박사가 알바로에게 증상 묘사와 의료 용어를 속성 으로 가르칩니다.</t>
        </is>
      </c>
    </row>
    <row r="152" ht="15" customHeight="1" s="11">
      <c r="A152" s="13" t="n">
        <v>151</v>
      </c>
      <c r="B152" s="13" t="n">
        <v>11</v>
      </c>
      <c r="C152" s="14">
        <f>INDEX('부작 목록'!$C$2:$C$96,B152)</f>
        <v/>
      </c>
      <c r="D152" s="14" t="inlineStr">
        <is>
          <t>B 카를로스 사건집</t>
        </is>
      </c>
      <c r="E152" s="13" t="n">
        <v>8135</v>
      </c>
      <c r="F152" s="13" t="n">
        <v>20</v>
      </c>
      <c r="G152" s="15" t="inlineStr">
        <is>
          <t>알바로가 '알레한드로 푸익' 신분으로 클리니카 아우로라를 방문해 환자로 위장 접수합니다.</t>
        </is>
      </c>
    </row>
    <row r="153" ht="15" customHeight="1" s="11">
      <c r="A153" s="13" t="n">
        <v>152</v>
      </c>
      <c r="B153" s="13" t="n">
        <v>11</v>
      </c>
      <c r="C153" s="14">
        <f>INDEX('부작 목록'!$C$2:$C$96,B153)</f>
        <v/>
      </c>
      <c r="D153" s="14" t="inlineStr">
        <is>
          <t>B 카를로스 사건집</t>
        </is>
      </c>
      <c r="E153" s="13" t="n">
        <v>8158</v>
      </c>
      <c r="F153" s="13" t="n">
        <v>16</v>
      </c>
      <c r="G153" s="15" t="inlineStr">
        <is>
          <t>알바로가 카를로스에게 클리닉 방문 결과를 보고하고, 다음 단계를 계획합니다.</t>
        </is>
      </c>
    </row>
    <row r="154" ht="15" customHeight="1" s="11">
      <c r="A154" s="13" t="n">
        <v>153</v>
      </c>
      <c r="B154" s="13" t="n">
        <v>11</v>
      </c>
      <c r="C154" s="14">
        <f>INDEX('부작 목록'!$C$2:$C$96,B154)</f>
        <v/>
      </c>
      <c r="D154" s="14" t="inlineStr">
        <is>
          <t>B 카를로스 사건집</t>
        </is>
      </c>
      <c r="E154" s="13" t="n">
        <v>8177</v>
      </c>
      <c r="F154" s="13" t="n">
        <v>20</v>
      </c>
      <c r="G154" s="15" t="inlineStr">
        <is>
          <t>며칠 후, 알바로가 두 번째로 클리닉을 방문합니다. 이번엔 초기 치료를 받아들이고, 예상대로 백신 접종까지 권유받습니다.</t>
        </is>
      </c>
    </row>
    <row r="155" ht="41.75" customHeight="1" s="11">
      <c r="A155" s="13" t="n">
        <v>154</v>
      </c>
      <c r="B155" s="13" t="n">
        <v>11</v>
      </c>
      <c r="C155" s="14">
        <f>INDEX('부작 목록'!$C$2:$C$96,B155)</f>
        <v/>
      </c>
      <c r="D155" s="14" t="inlineStr">
        <is>
          <t>B 카를로스 사건집</t>
        </is>
      </c>
      <c r="E155" s="13" t="n">
        <v>8200</v>
      </c>
      <c r="F155" s="13" t="n">
        <v>16</v>
      </c>
      <c r="G155" s="15" t="inlineStr">
        <is>
          <t>카를로스가 클리닉의 실소유주를 확인했다는 소식을 갖고 알바로를 찾아옵니다.</t>
        </is>
      </c>
    </row>
    <row r="156" ht="15" customHeight="1" s="11">
      <c r="A156" s="13" t="n">
        <v>155</v>
      </c>
      <c r="B156" s="13" t="n">
        <v>11</v>
      </c>
      <c r="C156" s="14">
        <f>INDEX('부작 목록'!$C$2:$C$96,B156)</f>
        <v/>
      </c>
      <c r="D156" s="14" t="inlineStr">
        <is>
          <t>B 카를로스 사건집</t>
        </is>
      </c>
      <c r="E156" s="13" t="n">
        <v>8219</v>
      </c>
      <c r="F156" s="13" t="n">
        <v>22</v>
      </c>
      <c r="G156" s="15" t="inlineStr">
        <is>
          <t>며칠 후, 시료 분석 결과가 나옵니다. 예상보다 훨씬 심각했고, 곧바로 급습이 이어집니다.</t>
        </is>
      </c>
    </row>
    <row r="157" ht="15" customHeight="1" s="11">
      <c r="A157" s="13" t="n">
        <v>156</v>
      </c>
      <c r="B157" s="13" t="n">
        <v>11</v>
      </c>
      <c r="C157" s="14">
        <f>INDEX('부작 목록'!$C$2:$C$96,B157)</f>
        <v/>
      </c>
      <c r="D157" s="14" t="inlineStr">
        <is>
          <t>B 카를로스 사건집</t>
        </is>
      </c>
      <c r="E157" s="13" t="n">
        <v>8244</v>
      </c>
      <c r="F157" s="13" t="n">
        <v>13</v>
      </c>
      <c r="G157" s="15" t="inlineStr">
        <is>
          <t>알바로가 병원에서 회복 중인 하비에르를 찾아가 사건 소식을 전합니다.</t>
        </is>
      </c>
    </row>
    <row r="158" ht="15" customHeight="1" s="11">
      <c r="A158" s="13" t="n">
        <v>157</v>
      </c>
      <c r="B158" s="13" t="n">
        <v>11</v>
      </c>
      <c r="C158" s="14">
        <f>INDEX('부작 목록'!$C$2:$C$96,B158)</f>
        <v/>
      </c>
      <c r="D158" s="14" t="inlineStr">
        <is>
          <t>B 카를로스 사건집</t>
        </is>
      </c>
      <c r="E158" s="13" t="n">
        <v>8259</v>
      </c>
      <c r="F158" s="13" t="n">
        <v>12</v>
      </c>
      <c r="G158" s="15" t="inlineStr">
        <is>
          <t>며칠 후, 알바로와 카를로스가 퇴근길에 전화로 이번 사건을 마무리 짓습니다.</t>
        </is>
      </c>
    </row>
    <row r="159" ht="15" customHeight="1" s="11">
      <c r="A159" s="13" t="n">
        <v>158</v>
      </c>
      <c r="B159" s="13" t="n">
        <v>12</v>
      </c>
      <c r="C159" s="14">
        <f>INDEX('부작 목록'!$C$2:$C$96,B159)</f>
        <v/>
      </c>
      <c r="D159" s="14" t="inlineStr">
        <is>
          <t>B 카를로스 사건집</t>
        </is>
      </c>
      <c r="E159" s="13" t="n">
        <v>8274</v>
      </c>
      <c r="F159" s="13" t="n">
        <v>15</v>
      </c>
      <c r="G159" s="15" t="inlineStr">
        <is>
          <t>신규 아크: 위기 대응 긴급자금 횡령 (가상 자치도시 '푸에르토 알토') — 데스크가 알바로에게 위기 대응 긴급자금 관련 제보를 전합니다. 실존 지명·정치인은 등장하지 않으며, 가상의 자치도시를 배경으로 합니다.</t>
        </is>
      </c>
    </row>
    <row r="160" ht="15" customHeight="1" s="11">
      <c r="A160" s="13" t="n">
        <v>159</v>
      </c>
      <c r="B160" s="13" t="n">
        <v>12</v>
      </c>
      <c r="C160" s="14">
        <f>INDEX('부작 목록'!$C$2:$C$96,B160)</f>
        <v/>
      </c>
      <c r="D160" s="14" t="inlineStr">
        <is>
          <t>B 카를로스 사건집</t>
        </is>
      </c>
      <c r="E160" s="13" t="n">
        <v>8292</v>
      </c>
      <c r="F160" s="13" t="n">
        <v>16</v>
      </c>
      <c r="G160" s="15" t="inlineStr">
        <is>
          <t>알바로가 발주 서류를 검토하며 이상 정황을 발견합니다. 하비에르가 회복 중인 상태로 원격으 로 조언을 보탭니다.</t>
        </is>
      </c>
    </row>
    <row r="161" ht="41.75" customHeight="1" s="11">
      <c r="A161" s="13" t="n">
        <v>160</v>
      </c>
      <c r="B161" s="13" t="n">
        <v>12</v>
      </c>
      <c r="C161" s="14">
        <f>INDEX('부작 목록'!$C$2:$C$96,B161)</f>
        <v/>
      </c>
      <c r="D161" s="14" t="inlineStr">
        <is>
          <t>B 카를로스 사건집</t>
        </is>
      </c>
      <c r="E161" s="13" t="n">
        <v>8311</v>
      </c>
      <c r="F161" s="13" t="n">
        <v>12</v>
      </c>
      <c r="G161" s="15" t="inlineStr">
        <is>
          <t>알바로가 위장한 시설을 직접 방문합니다.</t>
        </is>
      </c>
    </row>
    <row r="162" ht="15" customHeight="1" s="11">
      <c r="A162" s="13" t="n">
        <v>161</v>
      </c>
      <c r="B162" s="13" t="n">
        <v>12</v>
      </c>
      <c r="C162" s="14">
        <f>INDEX('부작 목록'!$C$2:$C$96,B162)</f>
        <v/>
      </c>
      <c r="D162" s="14" t="inlineStr">
        <is>
          <t>B 카를로스 사건집</t>
        </is>
      </c>
      <c r="E162" s="13" t="n">
        <v>8325</v>
      </c>
      <c r="F162" s="13" t="n">
        <v>14</v>
      </c>
      <c r="G162" s="15" t="inlineStr">
        <is>
          <t>알바로가 공개 등기부와 하비에르의 취재원을 통해 소피아 엘로르사의 배후를 확인합니다.</t>
        </is>
      </c>
    </row>
    <row r="163" ht="15" customHeight="1" s="11">
      <c r="A163" s="13" t="n">
        <v>162</v>
      </c>
      <c r="B163" s="13" t="n">
        <v>12</v>
      </c>
      <c r="C163" s="14">
        <f>INDEX('부작 목록'!$C$2:$C$96,B163)</f>
        <v/>
      </c>
      <c r="D163" s="14" t="inlineStr">
        <is>
          <t>B 카를로스 사건집</t>
        </is>
      </c>
      <c r="E163" s="13" t="n">
        <v>8342</v>
      </c>
      <c r="F163" s="13" t="n">
        <v>10</v>
      </c>
      <c r="G163" s="15" t="inlineStr">
        <is>
          <t>알바로가 법무 자문 마르타와 함께 보도 전 법적 검토를 진행합니다.</t>
        </is>
      </c>
    </row>
    <row r="164" ht="15" customHeight="1" s="11">
      <c r="A164" s="13" t="n">
        <v>163</v>
      </c>
      <c r="B164" s="13" t="n">
        <v>12</v>
      </c>
      <c r="C164" s="14">
        <f>INDEX('부작 목록'!$C$2:$C$96,B164)</f>
        <v/>
      </c>
      <c r="D164" s="14" t="inlineStr">
        <is>
          <t>B 카를로스 사건집</t>
        </is>
      </c>
      <c r="E164" s="13" t="n">
        <v>8355</v>
      </c>
      <c r="F164" s="13" t="n">
        <v>12</v>
      </c>
      <c r="G164" s="15" t="inlineStr">
        <is>
          <t>보도가 나간 뒤, 데스크와 함께 반응을 정리하며 아크를 마무리합니다.</t>
        </is>
      </c>
    </row>
    <row r="165" ht="15" customHeight="1" s="11">
      <c r="A165" s="13" t="n">
        <v>164</v>
      </c>
      <c r="B165" s="13" t="n">
        <v>12</v>
      </c>
      <c r="C165" s="14">
        <f>INDEX('부작 목록'!$C$2:$C$96,B165)</f>
        <v/>
      </c>
      <c r="D165" s="14" t="inlineStr">
        <is>
          <t>B 카를로스 사건집</t>
        </is>
      </c>
      <c r="E165" s="13" t="n">
        <v>8369</v>
      </c>
      <c r="F165" s="13" t="n">
        <v>12</v>
      </c>
      <c r="G165" s="15" t="inlineStr">
        <is>
          <t>보도 며칠 후, 검사 마리나가 정식 수사에 착수했다는 소식을 전하며 아크가 완결됩니다.</t>
        </is>
      </c>
    </row>
    <row r="166" ht="15" customHeight="1" s="11">
      <c r="A166" s="13" t="n">
        <v>165</v>
      </c>
      <c r="B166" s="13" t="n">
        <v>12</v>
      </c>
      <c r="C166" s="14">
        <f>INDEX('부작 목록'!$C$2:$C$96,B166)</f>
        <v/>
      </c>
      <c r="D166" s="14" t="inlineStr">
        <is>
          <t>B 카를로스 사건집</t>
        </is>
      </c>
      <c r="E166" s="13" t="n">
        <v>8384</v>
      </c>
      <c r="F166" s="13" t="n">
        <v>59</v>
      </c>
      <c r="G166" s="15" t="inlineStr">
        <is>
          <t>일상 에피소드. 레스토랑 폭발 사고로 팔을 크게 다쳤던 하비에르가 몇 달째 재활을 이어가고 있습니다. 오늘은 정형외과 정기 검진일이라, 알바로가 운전도 해 줄 겸 병원에 동행합니다.</t>
        </is>
      </c>
    </row>
    <row r="167" ht="41.75" customHeight="1" s="11">
      <c r="A167" s="13" t="n">
        <v>166</v>
      </c>
      <c r="B167" s="13" t="n">
        <v>13</v>
      </c>
      <c r="C167" s="14">
        <f>INDEX('부작 목록'!$C$2:$C$96,B167)</f>
        <v/>
      </c>
      <c r="D167" s="14" t="inlineStr">
        <is>
          <t>B 카를로스 사건집</t>
        </is>
      </c>
      <c r="E167" s="13" t="n">
        <v>8445</v>
      </c>
      <c r="F167" s="13" t="n">
        <v>18</v>
      </c>
      <c r="G167" s="15" t="inlineStr">
        <is>
          <t>신규 아크: 북극 신항로發 이중용도 기술·제재 회피 밀수 — 카를로스가 알바로에게 새로운 위장 작전을 제안합니다. 북극 신항로 물류에 투자한다고 홍보하 는 가상의 스페인 해운기업이, 실제로는 이중용도 기술 밀수 통로로 의심됩니다.</t>
        </is>
      </c>
    </row>
    <row r="168" ht="15" customHeight="1" s="11">
      <c r="A168" s="13" t="n">
        <v>167</v>
      </c>
      <c r="B168" s="13" t="n">
        <v>13</v>
      </c>
      <c r="C168" s="14">
        <f>INDEX('부작 목록'!$C$2:$C$96,B168)</f>
        <v/>
      </c>
      <c r="D168" s="14" t="inlineStr">
        <is>
          <t>B 카를로스 사건집</t>
        </is>
      </c>
      <c r="E168" s="13" t="n">
        <v>8466</v>
      </c>
      <c r="F168" s="13" t="n">
        <v>15</v>
      </c>
      <c r="G168" s="15" t="inlineStr">
        <is>
          <t>알바로가 '이케르 사발라' 신분으로 노르티아 로히스티카를 방문해 이바르구엔과 첫 만남을 갖 습니다.</t>
        </is>
      </c>
    </row>
    <row r="169" ht="15" customHeight="1" s="11">
      <c r="A169" s="13" t="n">
        <v>168</v>
      </c>
      <c r="B169" s="13" t="n">
        <v>13</v>
      </c>
      <c r="C169" s="14">
        <f>INDEX('부작 목록'!$C$2:$C$96,B169)</f>
        <v/>
      </c>
      <c r="D169" s="14" t="inlineStr">
        <is>
          <t>B 카를로스 사건집</t>
        </is>
      </c>
      <c r="E169" s="13" t="n">
        <v>8484</v>
      </c>
      <c r="F169" s="13" t="n">
        <v>14</v>
      </c>
      <c r="G169" s="15" t="inlineStr">
        <is>
          <t>두 번째 회의에서 이바르구엔이 좀 더 은밀한 화물 취급을 암시합니다.</t>
        </is>
      </c>
    </row>
    <row r="170" ht="28.35" customHeight="1" s="11">
      <c r="A170" s="13" t="n">
        <v>169</v>
      </c>
      <c r="B170" s="13" t="n">
        <v>13</v>
      </c>
      <c r="C170" s="14">
        <f>INDEX('부작 목록'!$C$2:$C$96,B170)</f>
        <v/>
      </c>
      <c r="D170" s="14" t="inlineStr">
        <is>
          <t>B 카를로스 사건집</t>
        </is>
      </c>
      <c r="E170" s="13" t="n">
        <v>8501</v>
      </c>
      <c r="F170" s="13" t="n">
        <v>10</v>
      </c>
      <c r="G170" s="15" t="inlineStr">
        <is>
          <t>알바로가 카를로스에게 진행 상황을 보고합니다.</t>
        </is>
      </c>
    </row>
    <row r="171" ht="15" customHeight="1" s="11">
      <c r="A171" s="13" t="n">
        <v>170</v>
      </c>
      <c r="B171" s="13" t="n">
        <v>13</v>
      </c>
      <c r="C171" s="14">
        <f>INDEX('부작 목록'!$C$2:$C$96,B171)</f>
        <v/>
      </c>
      <c r="D171" s="14" t="inlineStr">
        <is>
          <t>B 카를로스 사건집</t>
        </is>
      </c>
      <c r="E171" s="13" t="n">
        <v>8513</v>
      </c>
      <c r="F171" s="13" t="n">
        <v>15</v>
      </c>
      <c r="G171" s="15" t="inlineStr">
        <is>
          <t>세 번째 회의에서 이바르구엔이 실제 화물 명세서를 보여줍니다.</t>
        </is>
      </c>
    </row>
    <row r="172" ht="15" customHeight="1" s="11">
      <c r="A172" s="13" t="n">
        <v>171</v>
      </c>
      <c r="B172" s="13" t="n">
        <v>13</v>
      </c>
      <c r="C172" s="14">
        <f>INDEX('부작 목록'!$C$2:$C$96,B172)</f>
        <v/>
      </c>
      <c r="D172" s="14" t="inlineStr">
        <is>
          <t>B 카를로스 사건집</t>
        </is>
      </c>
      <c r="E172" s="13" t="n">
        <v>8531</v>
      </c>
      <c r="F172" s="13" t="n">
        <v>11</v>
      </c>
      <c r="G172" s="15" t="inlineStr">
        <is>
          <t>알바로가 결정적 증거(화물 명세서 사진)를 확보하고 카를로스에게 전달합니다.</t>
        </is>
      </c>
    </row>
    <row r="173" ht="15" customHeight="1" s="11">
      <c r="A173" s="13" t="n">
        <v>172</v>
      </c>
      <c r="B173" s="13" t="n">
        <v>13</v>
      </c>
      <c r="C173" s="14">
        <f>INDEX('부작 목록'!$C$2:$C$96,B173)</f>
        <v/>
      </c>
      <c r="D173" s="14" t="inlineStr">
        <is>
          <t>B 카를로스 사건집</t>
        </is>
      </c>
      <c r="E173" s="13" t="n">
        <v>8545</v>
      </c>
      <c r="F173" s="13" t="n">
        <v>11</v>
      </c>
      <c r="G173" s="15" t="inlineStr">
        <is>
          <t>몇 주 후, 다음 화물이 출항하는 날, 경찰과 세관이 노르티아 로히스티카를 급습합니다.</t>
        </is>
      </c>
    </row>
    <row r="174" ht="28.35" customHeight="1" s="11">
      <c r="A174" s="13" t="n">
        <v>173</v>
      </c>
      <c r="B174" s="13" t="n">
        <v>13</v>
      </c>
      <c r="C174" s="14">
        <f>INDEX('부작 목록'!$C$2:$C$96,B174)</f>
        <v/>
      </c>
      <c r="D174" s="14" t="inlineStr">
        <is>
          <t>B 카를로스 사건집</t>
        </is>
      </c>
      <c r="E174" s="13" t="n">
        <v>8558</v>
      </c>
      <c r="F174" s="13" t="n">
        <v>13</v>
      </c>
      <c r="G174" s="15" t="inlineStr">
        <is>
          <t>며칠 후, 알바로와 카를로스가 항구에서 다시 만나 아크를 마무리합니다.</t>
        </is>
      </c>
    </row>
    <row r="175" ht="15" customHeight="1" s="11">
      <c r="A175" s="13" t="n">
        <v>174</v>
      </c>
      <c r="B175" s="13" t="n">
        <v>14</v>
      </c>
      <c r="C175" s="14">
        <f>INDEX('부작 목록'!$C$2:$C$96,B175)</f>
        <v/>
      </c>
      <c r="D175" s="14" t="inlineStr">
        <is>
          <t>B 카를로스 사건집</t>
        </is>
      </c>
      <c r="E175" s="13" t="n">
        <v>8574</v>
      </c>
      <c r="F175" s="13" t="n">
        <v>12</v>
      </c>
      <c r="G175" s="15" t="inlineStr">
        <is>
          <t>신규 아크: AI 컴패니언 앱을 이용한 정서적 포섭 사기 — 알바로가 개인적인 계기로 이 사건을 접합니다. 고령의 이모가 AI 동반자 앱에 지나치게 의존하 고 있다는 걸 알게 됩니다. 실존 AI 기업명은 등장하지 않으며, 가상의 앱 '콤파녜로 (Compañero)'를 배경으로 합니다.</t>
        </is>
      </c>
    </row>
    <row r="176" ht="15" customHeight="1" s="11">
      <c r="A176" s="13" t="n">
        <v>175</v>
      </c>
      <c r="B176" s="13" t="n">
        <v>14</v>
      </c>
      <c r="C176" s="14">
        <f>INDEX('부작 목록'!$C$2:$C$96,B176)</f>
        <v/>
      </c>
      <c r="D176" s="14" t="inlineStr">
        <is>
          <t>B 카를로스 사건집</t>
        </is>
      </c>
      <c r="E176" s="13" t="n">
        <v>8589</v>
      </c>
      <c r="F176" s="13" t="n">
        <v>10</v>
      </c>
      <c r="G176" s="15" t="inlineStr">
        <is>
          <t>알바로가 카를로스와 하비에르에게 이 상황을 공유하며 취재를 시작합니다.</t>
        </is>
      </c>
    </row>
    <row r="177" ht="15" customHeight="1" s="11">
      <c r="A177" s="13" t="n">
        <v>176</v>
      </c>
      <c r="B177" s="13" t="n">
        <v>14</v>
      </c>
      <c r="C177" s="14">
        <f>INDEX('부작 목록'!$C$2:$C$96,B177)</f>
        <v/>
      </c>
      <c r="D177" s="14" t="inlineStr">
        <is>
          <t>B 카를로스 사건집</t>
        </is>
      </c>
      <c r="E177" s="13" t="n">
        <v>8601</v>
      </c>
      <c r="F177" s="13" t="n">
        <v>8</v>
      </c>
      <c r="G177" s="15" t="inlineStr">
        <is>
          <t>알바로가 앱을 직접 사용해보며, 알고리즘이 의도적으로 아첨하고 정서적 의존을 유도하도록 설 계됐다는 걸 확인합니다.</t>
        </is>
      </c>
    </row>
    <row r="178" ht="15" customHeight="1" s="11">
      <c r="A178" s="13" t="n">
        <v>177</v>
      </c>
      <c r="B178" s="13" t="n">
        <v>14</v>
      </c>
      <c r="C178" s="14">
        <f>INDEX('부작 목록'!$C$2:$C$96,B178)</f>
        <v/>
      </c>
      <c r="D178" s="14" t="inlineStr">
        <is>
          <t>B 카를로스 사건집</t>
        </is>
      </c>
      <c r="E178" s="13" t="n">
        <v>8612</v>
      </c>
      <c r="F178" s="13" t="n">
        <v>12</v>
      </c>
      <c r="G178" s="15" t="inlineStr">
        <is>
          <t>알바로가 NubeCálida의 실소유주를 알아내고, 투자자로 위장해 직접 만납니다.</t>
        </is>
      </c>
    </row>
    <row r="179" ht="15" customHeight="1" s="11">
      <c r="A179" s="13" t="n">
        <v>178</v>
      </c>
      <c r="B179" s="13" t="n">
        <v>14</v>
      </c>
      <c r="C179" s="14">
        <f>INDEX('부작 목록'!$C$2:$C$96,B179)</f>
        <v/>
      </c>
      <c r="D179" s="14" t="inlineStr">
        <is>
          <t>B 카를로스 사건집</t>
        </is>
      </c>
      <c r="E179" s="13" t="n">
        <v>8627</v>
      </c>
      <c r="F179" s="13" t="n">
        <v>11</v>
      </c>
      <c r="G179" s="15" t="inlineStr">
        <is>
          <t>멜렌데스가 도덕적 경계 없이 알고리즘의 조작 방식을 자세히 설명합니다.</t>
        </is>
      </c>
    </row>
    <row r="180" ht="15" customHeight="1" s="11">
      <c r="A180" s="13" t="n">
        <v>179</v>
      </c>
      <c r="B180" s="13" t="n">
        <v>14</v>
      </c>
      <c r="C180" s="14">
        <f>INDEX('부작 목록'!$C$2:$C$96,B180)</f>
        <v/>
      </c>
      <c r="D180" s="14" t="inlineStr">
        <is>
          <t>B 카를로스 사건집</t>
        </is>
      </c>
      <c r="E180" s="13" t="n">
        <v>8640</v>
      </c>
      <c r="F180" s="13" t="n">
        <v>9</v>
      </c>
      <c r="G180" s="15" t="inlineStr">
        <is>
          <t>알바로가 확보한 자료를 근거로 보도를 준비하며, 소비자보호 당국에도 제보합니다.</t>
        </is>
      </c>
    </row>
    <row r="181" ht="28.35" customHeight="1" s="11">
      <c r="A181" s="13" t="n">
        <v>180</v>
      </c>
      <c r="B181" s="13" t="n">
        <v>14</v>
      </c>
      <c r="C181" s="14">
        <f>INDEX('부작 목록'!$C$2:$C$96,B181)</f>
        <v/>
      </c>
      <c r="D181" s="14" t="inlineStr">
        <is>
          <t>B 카를로스 사건집</t>
        </is>
      </c>
      <c r="E181" s="13" t="n">
        <v>8652</v>
      </c>
      <c r="F181" s="13" t="n">
        <v>19</v>
      </c>
      <c r="G181" s="15" t="inlineStr">
        <is>
          <t>보도 이후, 소비자보호 당국이 NubeCálida에 대한 조사에 착수합니다.</t>
        </is>
      </c>
    </row>
    <row r="182" ht="15" customHeight="1" s="11">
      <c r="A182" s="13" t="n">
        <v>181</v>
      </c>
      <c r="B182" s="13" t="n">
        <v>15</v>
      </c>
      <c r="C182" s="14">
        <f>INDEX('부작 목록'!$C$2:$C$96,B182)</f>
        <v/>
      </c>
      <c r="D182" s="14" t="inlineStr">
        <is>
          <t>B 카를로스 사건집</t>
        </is>
      </c>
      <c r="E182" s="13" t="n">
        <v>8675</v>
      </c>
      <c r="F182" s="13" t="n">
        <v>10</v>
      </c>
      <c r="G182" s="15" t="inlineStr">
        <is>
          <t>신규 아크: 재난 은폐 검증 저널리즘 (가상 국가 '반티아') — 가상의 권위주의 국가 반티아에서 대규모 빙하 붕괴 재해가 발생하고, 정부가 피해 규모를 축소 ·은폐한다는 의혹이 제기됩니다. 실존 국가·정부는 등장하지 않습니다. 알바로와 하비에르가 위 성사진과 오픈소스 정보를 활용해 검증에 나섭니다.</t>
        </is>
      </c>
    </row>
    <row r="183" ht="15" customHeight="1" s="11">
      <c r="A183" s="13" t="n">
        <v>182</v>
      </c>
      <c r="B183" s="13" t="n">
        <v>15</v>
      </c>
      <c r="C183" s="14">
        <f>INDEX('부작 목록'!$C$2:$C$96,B183)</f>
        <v/>
      </c>
      <c r="D183" s="14" t="inlineStr">
        <is>
          <t>B 카를로스 사건집</t>
        </is>
      </c>
      <c r="E183" s="13" t="n">
        <v>8688</v>
      </c>
      <c r="F183" s="13" t="n">
        <v>11</v>
      </c>
      <c r="G183" s="15" t="inlineStr">
        <is>
          <t>알바로와 하비에르가 텐진 노를하와 화상으로 접촉합니다.</t>
        </is>
      </c>
    </row>
    <row r="184" ht="15" customHeight="1" s="11">
      <c r="A184" s="13" t="n">
        <v>183</v>
      </c>
      <c r="B184" s="13" t="n">
        <v>15</v>
      </c>
      <c r="C184" s="14">
        <f>INDEX('부작 목록'!$C$2:$C$96,B184)</f>
        <v/>
      </c>
      <c r="D184" s="14" t="inlineStr">
        <is>
          <t>B 카를로스 사건집</t>
        </is>
      </c>
      <c r="E184" s="13" t="n">
        <v>8701</v>
      </c>
      <c r="F184" s="13" t="n">
        <v>10</v>
      </c>
      <c r="G184" s="15" t="inlineStr">
        <is>
          <t>알바로가 오픈소스 분석가 라켈과 함께 위성사진을 분석합니다.</t>
        </is>
      </c>
    </row>
    <row r="185" ht="15" customHeight="1" s="11">
      <c r="A185" s="13" t="n">
        <v>184</v>
      </c>
      <c r="B185" s="13" t="n">
        <v>15</v>
      </c>
      <c r="C185" s="14">
        <f>INDEX('부작 목록'!$C$2:$C$96,B185)</f>
        <v/>
      </c>
      <c r="D185" s="14" t="inlineStr">
        <is>
          <t>B 카를로스 사건집</t>
        </is>
      </c>
      <c r="E185" s="13" t="n">
        <v>8714</v>
      </c>
      <c r="F185" s="13" t="n">
        <v>8</v>
      </c>
      <c r="G185" s="15" t="inlineStr">
        <is>
          <t>하비에르가 반티아 정부 대변인의 공식 성명을 검토하며 모순점을 짚습니다.</t>
        </is>
      </c>
    </row>
    <row r="186" ht="15" customHeight="1" s="11">
      <c r="A186" s="13" t="n">
        <v>185</v>
      </c>
      <c r="B186" s="13" t="n">
        <v>15</v>
      </c>
      <c r="C186" s="14">
        <f>INDEX('부작 목록'!$C$2:$C$96,B186)</f>
        <v/>
      </c>
      <c r="D186" s="14" t="inlineStr">
        <is>
          <t>B 카를로스 사건집</t>
        </is>
      </c>
      <c r="E186" s="13" t="n">
        <v>8724</v>
      </c>
      <c r="F186" s="13" t="n">
        <v>7</v>
      </c>
      <c r="G186" s="15" t="inlineStr">
        <is>
          <t>데스크와 법무 자문 마르타가 보도 전 최종 검토를 진행합니다.</t>
        </is>
      </c>
    </row>
    <row r="187" ht="15" customHeight="1" s="11">
      <c r="A187" s="13" t="n">
        <v>186</v>
      </c>
      <c r="B187" s="13" t="n">
        <v>15</v>
      </c>
      <c r="C187" s="14">
        <f>INDEX('부작 목록'!$C$2:$C$96,B187)</f>
        <v/>
      </c>
      <c r="D187" s="14" t="inlineStr">
        <is>
          <t>B 카를로스 사건집</t>
        </is>
      </c>
      <c r="E187" s="13" t="n">
        <v>8734</v>
      </c>
      <c r="F187" s="13" t="n">
        <v>19</v>
      </c>
      <c r="G187" s="15" t="inlineStr">
        <is>
          <t>보도가 나간 후, 국제사회의 반응이 이어지며 아크가 마무리됩니다.</t>
        </is>
      </c>
    </row>
    <row r="188" ht="15" customHeight="1" s="11">
      <c r="A188" s="13" t="n">
        <v>187</v>
      </c>
      <c r="B188" s="13" t="n">
        <v>16</v>
      </c>
      <c r="C188" s="14">
        <f>INDEX('부작 목록'!$C$2:$C$96,B188)</f>
        <v/>
      </c>
      <c r="D188" s="14" t="inlineStr">
        <is>
          <t>B 카를로스 사건집</t>
        </is>
      </c>
      <c r="E188" s="13" t="n">
        <v>8755</v>
      </c>
      <c r="F188" s="13" t="n">
        <v>12</v>
      </c>
      <c r="G188" s="15" t="inlineStr">
        <is>
          <t>신규 아크: 재건 붐을 노린 리베이트·자금세탁 (기존 루에다 세계관 확장, 가상국 '야마이라 ') — 정권 교체 이후 대규모 외국 자본이 유입되는 가상국 야마이라의 혼란한 전환기를 배경으로, 재 건·인프라 계약에 리베이트를 요구하는 부패한 현지 중개인들과, 이를 자금세탁 통로로 쓰는 루 에다의 잔존 네트워크를 알바로가 추적합니다.</t>
        </is>
      </c>
    </row>
    <row r="189" ht="15" customHeight="1" s="11">
      <c r="A189" s="13" t="n">
        <v>188</v>
      </c>
      <c r="B189" s="13" t="n">
        <v>16</v>
      </c>
      <c r="C189" s="14">
        <f>INDEX('부작 목록'!$C$2:$C$96,B189)</f>
        <v/>
      </c>
      <c r="D189" s="14" t="inlineStr">
        <is>
          <t>B 카를로스 사건집</t>
        </is>
      </c>
      <c r="E189" s="13" t="n">
        <v>8769</v>
      </c>
      <c r="F189" s="13" t="n">
        <v>12</v>
      </c>
      <c r="G189" s="15" t="inlineStr">
        <is>
          <t>알바로가 야마이라에 도착해 에스테반 로카와 첫 접선을 갖습니다.</t>
        </is>
      </c>
    </row>
    <row r="190" ht="15" customHeight="1" s="11">
      <c r="A190" s="13" t="n">
        <v>189</v>
      </c>
      <c r="B190" s="13" t="n">
        <v>16</v>
      </c>
      <c r="C190" s="14">
        <f>INDEX('부작 목록'!$C$2:$C$96,B190)</f>
        <v/>
      </c>
      <c r="D190" s="14" t="inlineStr">
        <is>
          <t>B 카를로스 사건집</t>
        </is>
      </c>
      <c r="E190" s="13" t="n">
        <v>8784</v>
      </c>
      <c r="F190" s="13" t="n">
        <v>11</v>
      </c>
      <c r="G190" s="15" t="inlineStr">
        <is>
          <t>첫 계약이 확정되고, 알바로가 리베이트를 지불할 중개 회사 정보를 확보합니다.</t>
        </is>
      </c>
    </row>
    <row r="191" ht="15" customHeight="1" s="11">
      <c r="A191" s="13" t="n">
        <v>190</v>
      </c>
      <c r="B191" s="13" t="n">
        <v>16</v>
      </c>
      <c r="C191" s="14">
        <f>INDEX('부작 목록'!$C$2:$C$96,B191)</f>
        <v/>
      </c>
      <c r="D191" s="14" t="inlineStr">
        <is>
          <t>B 카를로스 사건집</t>
        </is>
      </c>
      <c r="E191" s="13" t="n">
        <v>8798</v>
      </c>
      <c r="F191" s="13" t="n">
        <v>10</v>
      </c>
      <c r="G191" s="15" t="inlineStr">
        <is>
          <t>송금 이후, 자금 추적으로 루에다와의 직접적 연결이 재확인됩니다.</t>
        </is>
      </c>
    </row>
    <row r="192" ht="15" customHeight="1" s="11">
      <c r="A192" s="13" t="n">
        <v>191</v>
      </c>
      <c r="B192" s="13" t="n">
        <v>16</v>
      </c>
      <c r="C192" s="14">
        <f>INDEX('부작 목록'!$C$2:$C$96,B192)</f>
        <v/>
      </c>
      <c r="D192" s="14" t="inlineStr">
        <is>
          <t>B 카를로스 사건집</t>
        </is>
      </c>
      <c r="E192" s="13" t="n">
        <v>8810</v>
      </c>
      <c r="F192" s="13" t="n">
        <v>9</v>
      </c>
      <c r="G192" s="15" t="inlineStr">
        <is>
          <t>몇 주 후, 야마이라 검찰과의 공조 작전이 실행됩니다.</t>
        </is>
      </c>
    </row>
    <row r="193" ht="15" customHeight="1" s="11">
      <c r="A193" s="13" t="n">
        <v>192</v>
      </c>
      <c r="B193" s="13" t="n">
        <v>16</v>
      </c>
      <c r="C193" s="14">
        <f>INDEX('부작 목록'!$C$2:$C$96,B193)</f>
        <v/>
      </c>
      <c r="D193" s="14" t="inlineStr">
        <is>
          <t>B 카를로스 사건집</t>
        </is>
      </c>
      <c r="E193" s="13" t="n">
        <v>8822</v>
      </c>
      <c r="F193" s="13" t="n">
        <v>8</v>
      </c>
      <c r="G193" s="17" t="inlineStr">
        <is>
          <t>알바로가 마드리드로 돌아와 늦은 밤 편집국에서 하비에르와 함께 일요일자 기사를 손보며 아크를 마무리합니다.</t>
        </is>
      </c>
    </row>
    <row r="194" ht="15" customHeight="1" s="11">
      <c r="A194" s="13" t="n">
        <v>193</v>
      </c>
      <c r="B194" s="13" t="n">
        <v>17</v>
      </c>
      <c r="C194" s="14">
        <f>INDEX('부작 목록'!$C$2:$C$96,B194)</f>
        <v/>
      </c>
      <c r="D194" s="14" t="inlineStr">
        <is>
          <t>B 카를로스 사건집</t>
        </is>
      </c>
      <c r="E194" s="13" t="n">
        <v>8832</v>
      </c>
      <c r="F194" s="13" t="n">
        <v>10</v>
      </c>
      <c r="G194" s="15" t="inlineStr">
        <is>
          <t>신규 아크: 스페인-아이슬란드 어업 쿼터 재협상 — 아이슬란드의 EU 가입 협상 재개를 계기로, 스페인 어업조합과 아이슬란드 측 사이에 어획 쿼 터 재분배 실무 협상이 시작됩니다. 알바로는 이 협상을 취재하는 기자로 참석합니다. 실존 정 치인은 등장하지 않습니다.</t>
        </is>
      </c>
    </row>
    <row r="195" ht="15" customHeight="1" s="11">
      <c r="A195" s="13" t="n">
        <v>194</v>
      </c>
      <c r="B195" s="13" t="n">
        <v>17</v>
      </c>
      <c r="C195" s="14">
        <f>INDEX('부작 목록'!$C$2:$C$96,B195)</f>
        <v/>
      </c>
      <c r="D195" s="14" t="inlineStr">
        <is>
          <t>B 카를로스 사건집</t>
        </is>
      </c>
      <c r="E195" s="13" t="n">
        <v>8845</v>
      </c>
      <c r="F195" s="13" t="n">
        <v>11</v>
      </c>
      <c r="G195" s="15" t="inlineStr">
        <is>
          <t>협상이 구체적인 수치를 놓고 팽팽하게 진행됩니다.</t>
        </is>
      </c>
    </row>
    <row r="196" ht="15" customHeight="1" s="11">
      <c r="A196" s="13" t="n">
        <v>195</v>
      </c>
      <c r="B196" s="13" t="n">
        <v>17</v>
      </c>
      <c r="C196" s="14">
        <f>INDEX('부작 목록'!$C$2:$C$96,B196)</f>
        <v/>
      </c>
      <c r="D196" s="14" t="inlineStr">
        <is>
          <t>B 카를로스 사건집</t>
        </is>
      </c>
      <c r="E196" s="13" t="n">
        <v>8859</v>
      </c>
      <c r="F196" s="13" t="n">
        <v>12</v>
      </c>
      <c r="G196" s="15" t="inlineStr">
        <is>
          <t>2주 후, 최종 협상 세션에서 절충안이 도출됩니다.</t>
        </is>
      </c>
    </row>
    <row r="197" ht="15" customHeight="1" s="11">
      <c r="A197" s="13" t="n">
        <v>196</v>
      </c>
      <c r="B197" s="13" t="n">
        <v>18</v>
      </c>
      <c r="C197" s="14">
        <f>INDEX('부작 목록'!$C$2:$C$96,B197)</f>
        <v/>
      </c>
      <c r="D197" s="14" t="inlineStr">
        <is>
          <t>B 카를로스 사건집</t>
        </is>
      </c>
      <c r="E197" s="13" t="n">
        <v>8874</v>
      </c>
      <c r="F197" s="13" t="n">
        <v>9</v>
      </c>
      <c r="G197" s="15" t="inlineStr">
        <is>
          <t>신규 아크: 가짜 자선단체·기부금 횡령 — 알바로가 어린이 의료지원을 명목으로 내세운 자선단체의 모금 캠페인에서 이상 정황을 포착합 니다. 감정 호소 화법과 설득 화법을 다루는 아크입니다.</t>
        </is>
      </c>
    </row>
    <row r="198" ht="41.75" customHeight="1" s="11">
      <c r="A198" s="13" t="n">
        <v>197</v>
      </c>
      <c r="B198" s="13" t="n">
        <v>18</v>
      </c>
      <c r="C198" s="14">
        <f>INDEX('부작 목록'!$C$2:$C$96,B198)</f>
        <v/>
      </c>
      <c r="D198" s="14" t="inlineStr">
        <is>
          <t>B 카를로스 사건집</t>
        </is>
      </c>
      <c r="E198" s="13" t="n">
        <v>8885</v>
      </c>
      <c r="F198" s="13" t="n">
        <v>10</v>
      </c>
      <c r="G198" s="15" t="inlineStr">
        <is>
          <t>알바로가 후원자로 위장해 재단 담당자와 접촉합니다.</t>
        </is>
      </c>
    </row>
    <row r="199" ht="15" customHeight="1" s="11">
      <c r="A199" s="13" t="n">
        <v>198</v>
      </c>
      <c r="B199" s="13" t="n">
        <v>18</v>
      </c>
      <c r="C199" s="14">
        <f>INDEX('부작 목록'!$C$2:$C$96,B199)</f>
        <v/>
      </c>
      <c r="D199" s="14" t="inlineStr">
        <is>
          <t>B 카를로스 사건집</t>
        </is>
      </c>
      <c r="E199" s="13" t="n">
        <v>8898</v>
      </c>
      <c r="F199" s="13" t="n">
        <v>9</v>
      </c>
      <c r="G199" s="15" t="inlineStr">
        <is>
          <t>알바로가 재단의 실제 재정 기록을 확인하며 유용 정황을 확보합니다.</t>
        </is>
      </c>
    </row>
    <row r="200" ht="15" customHeight="1" s="11">
      <c r="A200" s="13" t="n">
        <v>199</v>
      </c>
      <c r="B200" s="13" t="n">
        <v>18</v>
      </c>
      <c r="C200" s="14">
        <f>INDEX('부작 목록'!$C$2:$C$96,B200)</f>
        <v/>
      </c>
      <c r="D200" s="14" t="inlineStr">
        <is>
          <t>B 카를로스 사건집</t>
        </is>
      </c>
      <c r="E200" s="13" t="n">
        <v>8910</v>
      </c>
      <c r="F200" s="13" t="n">
        <v>10</v>
      </c>
      <c r="G200" s="15" t="inlineStr">
        <is>
          <t>확인 결과, 루카스라는 아이는 존재하지 않는다는 것이 드러나며 보도가 나갑니다.</t>
        </is>
      </c>
    </row>
    <row r="201" ht="15" customHeight="1" s="11">
      <c r="A201" s="13" t="n">
        <v>200</v>
      </c>
      <c r="B201" s="13" t="n">
        <v>18</v>
      </c>
      <c r="C201" s="14">
        <f>INDEX('부작 목록'!$C$2:$C$96,B201)</f>
        <v/>
      </c>
      <c r="D201" s="14" t="inlineStr">
        <is>
          <t>B 카를로스 사건집</t>
        </is>
      </c>
      <c r="E201" s="13" t="n">
        <v>8922</v>
      </c>
      <c r="F201" s="13" t="n">
        <v>59</v>
      </c>
      <c r="G201" s="15" t="inlineStr">
        <is>
          <t>몇 달 후, 늦은 오후의 편집국에서 알바로와 하비에르에게 텐진 노를하의 화상 전화가 걸려 옵니다. 국제적인 압력 끝에 아버지는 풀려났지만, 형 도르제는 여전히 구금 중이라는 소식입니다. 통화가 끝난 뒤, 두 사람은 그날 밤 대답하지 못했던 질문으로 돌아갑니다.</t>
        </is>
      </c>
    </row>
    <row r="202" ht="15" customHeight="1" s="11">
      <c r="A202" s="13" t="n">
        <v>201</v>
      </c>
      <c r="B202" s="13" t="n">
        <v>19</v>
      </c>
      <c r="C202" s="14">
        <f>INDEX('부작 목록'!$C$2:$C$96,B202)</f>
        <v/>
      </c>
      <c r="D202" s="14" t="inlineStr">
        <is>
          <t>B 카를로스 사건집</t>
        </is>
      </c>
      <c r="E202" s="13" t="n">
        <v>8983</v>
      </c>
      <c r="F202" s="13" t="n">
        <v>17</v>
      </c>
      <c r="G202" s="15" t="inlineStr">
        <is>
          <t>새로운 취재. 가상의 자치도시 '푸에르토 수르'에서 이주 위기 대응 명목으로 편성된 긴급자금이 수상한 방식으로 집행되고 있다는 제보를 하비에르가 입수합니다.</t>
        </is>
      </c>
    </row>
    <row r="203" ht="15" customHeight="1" s="11">
      <c r="A203" s="13" t="n">
        <v>202</v>
      </c>
      <c r="B203" s="13" t="n">
        <v>19</v>
      </c>
      <c r="C203" s="14">
        <f>INDEX('부작 목록'!$C$2:$C$96,B203)</f>
        <v/>
      </c>
      <c r="D203" s="14" t="inlineStr">
        <is>
          <t>B 카를로스 사건집</t>
        </is>
      </c>
      <c r="E203" s="13" t="n">
        <v>9003</v>
      </c>
      <c r="F203" s="13" t="n">
        <v>18</v>
      </c>
      <c r="G203" s="15" t="inlineStr">
        <is>
          <t>며칠 후, 알바로와 하비에르가 확보한 계약 서류를 함께 분석합니다.</t>
        </is>
      </c>
    </row>
    <row r="204" ht="15" customHeight="1" s="11">
      <c r="A204" s="13" t="n">
        <v>203</v>
      </c>
      <c r="B204" s="13" t="n">
        <v>19</v>
      </c>
      <c r="C204" s="14">
        <f>INDEX('부작 목록'!$C$2:$C$96,B204)</f>
        <v/>
      </c>
      <c r="D204" s="14" t="inlineStr">
        <is>
          <t>B 카를로스 사건집</t>
        </is>
      </c>
      <c r="E204" s="13" t="n">
        <v>9024</v>
      </c>
      <c r="F204" s="13" t="n">
        <v>16</v>
      </c>
      <c r="G204" s="15" t="inlineStr">
        <is>
          <t>알바로가 물류 공급업체 대표로 위장해 테오도로 니에바에게 접근합니다.</t>
        </is>
      </c>
    </row>
    <row r="205" ht="28.35" customHeight="1" s="11">
      <c r="A205" s="13" t="n">
        <v>204</v>
      </c>
      <c r="B205" s="13" t="n">
        <v>19</v>
      </c>
      <c r="C205" s="14">
        <f>INDEX('부작 목록'!$C$2:$C$96,B205)</f>
        <v/>
      </c>
      <c r="D205" s="14" t="inlineStr">
        <is>
          <t>B 카를로스 사건집</t>
        </is>
      </c>
      <c r="E205" s="13" t="n">
        <v>9043</v>
      </c>
      <c r="F205" s="13" t="n">
        <v>14</v>
      </c>
      <c r="G205" s="15" t="inlineStr">
        <is>
          <t>며칠 후, 하비에르가 니에바 소유 법인들의 자금 흐름을 추적한 결과를 알바로와 공유합니다.</t>
        </is>
      </c>
    </row>
    <row r="206" ht="15" customHeight="1" s="11">
      <c r="A206" s="13" t="n">
        <v>205</v>
      </c>
      <c r="B206" s="13" t="n">
        <v>19</v>
      </c>
      <c r="C206" s="14">
        <f>INDEX('부작 목록'!$C$2:$C$96,B206)</f>
        <v/>
      </c>
      <c r="D206" s="14" t="inlineStr">
        <is>
          <t>B 카를로스 사건집</t>
        </is>
      </c>
      <c r="E206" s="13" t="n">
        <v>9060</v>
      </c>
      <c r="F206" s="13" t="n">
        <v>11</v>
      </c>
      <c r="G206" s="15" t="inlineStr">
        <is>
          <t>몇 주 후, 수사와 보도가 결실을 향해 한 걸음 더 나아갑니다.</t>
        </is>
      </c>
    </row>
    <row r="207" ht="15" customHeight="1" s="11">
      <c r="A207" s="13" t="n">
        <v>206</v>
      </c>
      <c r="B207" s="13" t="n">
        <v>19</v>
      </c>
      <c r="C207" s="14">
        <f>INDEX('부작 목록'!$C$2:$C$96,B207)</f>
        <v/>
      </c>
      <c r="D207" s="14" t="inlineStr">
        <is>
          <t>B 카를로스 사건집</t>
        </is>
      </c>
      <c r="E207" s="13" t="n">
        <v>9073</v>
      </c>
      <c r="F207" s="13" t="n">
        <v>16</v>
      </c>
      <c r="G207" s="15" t="inlineStr">
        <is>
          <t>보도 준비 직전, 니에바가 알바로에게 뜻밖의 제안을 하며 결정적 증거를 스스로 제공하게 됩니 다.</t>
        </is>
      </c>
    </row>
    <row r="208" ht="15" customHeight="1" s="11">
      <c r="A208" s="13" t="n">
        <v>207</v>
      </c>
      <c r="B208" s="13" t="n">
        <v>19</v>
      </c>
      <c r="C208" s="14">
        <f>INDEX('부작 목록'!$C$2:$C$96,B208)</f>
        <v/>
      </c>
      <c r="D208" s="14" t="inlineStr">
        <is>
          <t>B 카를로스 사건집</t>
        </is>
      </c>
      <c r="E208" s="13" t="n">
        <v>9091</v>
      </c>
      <c r="F208" s="13" t="n">
        <v>13</v>
      </c>
      <c r="G208" s="15" t="inlineStr">
        <is>
          <t>체포와 보도 이후, 알바로와 하비에르가 바에서 다시 만나지만, 축배를 들 일은 없습니다. 계약은 중단됐어도 이주민들은 같은 조건의 다른 업체로 옮겨졌을 뿐입니다.</t>
        </is>
      </c>
    </row>
    <row r="209" ht="15" customHeight="1" s="11">
      <c r="A209" s="13" t="n">
        <v>208</v>
      </c>
      <c r="B209" s="13" t="n">
        <v>20</v>
      </c>
      <c r="C209" s="14">
        <f>INDEX('부작 목록'!$C$2:$C$96,B209)</f>
        <v/>
      </c>
      <c r="D209" s="14" t="inlineStr">
        <is>
          <t>B 카를로스 사건집</t>
        </is>
      </c>
      <c r="E209" s="13" t="n">
        <v>9107</v>
      </c>
      <c r="F209" s="13" t="n">
        <v>15</v>
      </c>
      <c r="G209" s="15" t="inlineStr">
        <is>
          <t>새로운 작전. 카를로스가 알바로에게 가장 무거운 국가안보급 사건을 제안합니다 — 가상의 원 자력 발전소 '페냐 알타'에서 안전 시스템 설계도가 외부로 유출될 조짐이 포착됐습니다.</t>
        </is>
      </c>
    </row>
    <row r="210" ht="15" customHeight="1" s="11">
      <c r="A210" s="13" t="n">
        <v>209</v>
      </c>
      <c r="B210" s="13" t="n">
        <v>20</v>
      </c>
      <c r="C210" s="14">
        <f>INDEX('부작 목록'!$C$2:$C$96,B210)</f>
        <v/>
      </c>
      <c r="D210" s="14" t="inlineStr">
        <is>
          <t>B 카를로스 사건집</t>
        </is>
      </c>
      <c r="E210" s="13" t="n">
        <v>9125</v>
      </c>
      <c r="F210" s="13" t="n">
        <v>15</v>
      </c>
      <c r="G210" s="15" t="inlineStr">
        <is>
          <t>다음 날, 전문가 인헤니에라 소니아 프라도가 알바로에게 원자력 발전소 보안 시스템과 관련 용 어를 속성으로 가르칩니다.</t>
        </is>
      </c>
    </row>
    <row r="211" ht="15" customHeight="1" s="11">
      <c r="A211" s="13" t="n">
        <v>210</v>
      </c>
      <c r="B211" s="13" t="n">
        <v>20</v>
      </c>
      <c r="C211" s="14">
        <f>INDEX('부작 목록'!$C$2:$C$96,B211)</f>
        <v/>
      </c>
      <c r="D211" s="14" t="inlineStr">
        <is>
          <t>B 카를로스 사건집</t>
        </is>
      </c>
      <c r="E211" s="13" t="n">
        <v>9143</v>
      </c>
      <c r="F211" s="13" t="n">
        <v>12</v>
      </c>
      <c r="G211" s="15" t="inlineStr">
        <is>
          <t>알바로가 컨설턴트 '휴고 라사르테'(이번 작전을 위해 새로 만든 위장 신분)로 페냐 알타 발전소에 처음 출입합니다. 보안 책임자 마우리시오 델가도가 그를 맞이합니다.</t>
        </is>
      </c>
    </row>
    <row r="212" ht="15" customHeight="1" s="11">
      <c r="A212" s="13" t="n">
        <v>211</v>
      </c>
      <c r="B212" s="13" t="n">
        <v>20</v>
      </c>
      <c r="C212" s="14">
        <f>INDEX('부작 목록'!$C$2:$C$96,B212)</f>
        <v/>
      </c>
      <c r="D212" s="14" t="inlineStr">
        <is>
          <t>B 카를로스 사건집</t>
        </is>
      </c>
      <c r="E212" s="13" t="n">
        <v>9157</v>
      </c>
      <c r="F212" s="13" t="n">
        <v>12</v>
      </c>
      <c r="G212" s="15" t="inlineStr">
        <is>
          <t>알바로가 사무실에서 지난 몇 주간의 출입 기록을 살펴보며, 의심스러운 패턴을 발견하기 시작 합니다.</t>
        </is>
      </c>
    </row>
    <row r="213" ht="15" customHeight="1" s="11">
      <c r="A213" s="13" t="n">
        <v>212</v>
      </c>
      <c r="B213" s="13" t="n">
        <v>20</v>
      </c>
      <c r="C213" s="14">
        <f>INDEX('부작 목록'!$C$2:$C$96,B213)</f>
        <v/>
      </c>
      <c r="D213" s="14" t="inlineStr">
        <is>
          <t>B 카를로스 사건집</t>
        </is>
      </c>
      <c r="E213" s="13" t="n">
        <v>9172</v>
      </c>
      <c r="F213" s="13" t="n">
        <v>13</v>
      </c>
      <c r="G213" s="15" t="inlineStr">
        <is>
          <t>다음 날, 알바로가 엘레나 페레르를 보안 감사 명목으로 인터뷰합니다.</t>
        </is>
      </c>
    </row>
    <row r="214" ht="15" customHeight="1" s="11">
      <c r="A214" s="13" t="n">
        <v>213</v>
      </c>
      <c r="B214" s="13" t="n">
        <v>20</v>
      </c>
      <c r="C214" s="14">
        <f>INDEX('부작 목록'!$C$2:$C$96,B214)</f>
        <v/>
      </c>
      <c r="D214" s="14" t="inlineStr">
        <is>
          <t>B 카를로스 사건집</t>
        </is>
      </c>
      <c r="E214" s="13" t="n">
        <v>9188</v>
      </c>
      <c r="F214" s="13" t="n">
        <v>12</v>
      </c>
      <c r="G214" s="15" t="inlineStr">
        <is>
          <t>알바로가 카를로스에게 엘레나에 대한 의심을 보고합니다.</t>
        </is>
      </c>
    </row>
    <row r="215" ht="28.35" customHeight="1" s="11">
      <c r="A215" s="13" t="n">
        <v>214</v>
      </c>
      <c r="B215" s="13" t="n">
        <v>20</v>
      </c>
      <c r="C215" s="14">
        <f>INDEX('부작 목록'!$C$2:$C$96,B215)</f>
        <v/>
      </c>
      <c r="D215" s="14" t="inlineStr">
        <is>
          <t>B 카를로스 사건집</t>
        </is>
      </c>
      <c r="E215" s="13" t="n">
        <v>9202</v>
      </c>
      <c r="F215" s="13" t="n">
        <v>12</v>
      </c>
      <c r="G215" s="15" t="inlineStr">
        <is>
          <t>카를로스의 지시로 CNI가 은밀히 엘레나를 감시하기 시작합니다.</t>
        </is>
      </c>
    </row>
    <row r="216" ht="15" customHeight="1" s="11">
      <c r="A216" s="13" t="n">
        <v>215</v>
      </c>
      <c r="B216" s="13" t="n">
        <v>20</v>
      </c>
      <c r="C216" s="14">
        <f>INDEX('부작 목록'!$C$2:$C$96,B216)</f>
        <v/>
      </c>
      <c r="D216" s="14" t="inlineStr">
        <is>
          <t>B 카를로스 사건집</t>
        </is>
      </c>
      <c r="E216" s="13" t="n">
        <v>9216</v>
      </c>
      <c r="F216" s="13" t="n">
        <v>11</v>
      </c>
      <c r="G216" s="15" t="inlineStr">
        <is>
          <t>며칠 후, 알바로가 늦게까지 남아 있다가 엘레나의 또 다른 야간 접근을 목격합니다.</t>
        </is>
      </c>
    </row>
    <row r="217" ht="15" customHeight="1" s="11">
      <c r="A217" s="13" t="n">
        <v>216</v>
      </c>
      <c r="B217" s="13" t="n">
        <v>20</v>
      </c>
      <c r="C217" s="14">
        <f>INDEX('부작 목록'!$C$2:$C$96,B217)</f>
        <v/>
      </c>
      <c r="D217" s="14" t="inlineStr">
        <is>
          <t>B 카를로스 사건집</t>
        </is>
      </c>
      <c r="E217" s="13" t="n">
        <v>9230</v>
      </c>
      <c r="F217" s="13" t="n">
        <v>12</v>
      </c>
      <c r="G217" s="15" t="inlineStr">
        <is>
          <t>다음 날, 보안 책임자 마우리시오가 알바로에게 뜻밖의 질문을 던지며 긴장이 고조됩니다.</t>
        </is>
      </c>
    </row>
    <row r="218" ht="15" customHeight="1" s="11">
      <c r="A218" s="13" t="n">
        <v>217</v>
      </c>
      <c r="B218" s="13" t="n">
        <v>20</v>
      </c>
      <c r="C218" s="14">
        <f>INDEX('부작 목록'!$C$2:$C$96,B218)</f>
        <v/>
      </c>
      <c r="D218" s="14" t="inlineStr">
        <is>
          <t>B 카를로스 사건집</t>
        </is>
      </c>
      <c r="E218" s="13" t="n">
        <v>9244</v>
      </c>
      <c r="F218" s="13" t="n">
        <v>12</v>
      </c>
      <c r="G218" s="15" t="inlineStr">
        <is>
          <t>알바로가 카를로스에게 정체가 의심받을 뻔한 상황을 보고합니다.</t>
        </is>
      </c>
    </row>
    <row r="219" ht="15" customHeight="1" s="11">
      <c r="A219" s="13" t="n">
        <v>218</v>
      </c>
      <c r="B219" s="13" t="n">
        <v>20</v>
      </c>
      <c r="C219" s="14">
        <f>INDEX('부작 목록'!$C$2:$C$96,B219)</f>
        <v/>
      </c>
      <c r="D219" s="14" t="inlineStr">
        <is>
          <t>B 카를로스 사건집</t>
        </is>
      </c>
      <c r="E219" s="13" t="n">
        <v>9258</v>
      </c>
      <c r="F219" s="13" t="n">
        <v>13</v>
      </c>
      <c r="G219" s="15" t="inlineStr">
        <is>
          <t>며칠 후, 카를로스가 엘레나의 다음 접선이 임박했다는 정보를 전합니다.</t>
        </is>
      </c>
    </row>
    <row r="220" ht="15" customHeight="1" s="11">
      <c r="A220" s="13" t="n">
        <v>219</v>
      </c>
      <c r="B220" s="13" t="n">
        <v>20</v>
      </c>
      <c r="C220" s="14">
        <f>INDEX('부작 목록'!$C$2:$C$96,B220)</f>
        <v/>
      </c>
      <c r="D220" s="14" t="inlineStr">
        <is>
          <t>B 카를로스 사건집</t>
        </is>
      </c>
      <c r="E220" s="13" t="n">
        <v>9274</v>
      </c>
      <c r="F220" s="13" t="n">
        <v>10</v>
      </c>
      <c r="G220" s="15" t="inlineStr">
        <is>
          <t>다음 날 밤, 알바로가 안전거리에서 지켜보는 가운데 CNI의 정보에 따라 치안경비대(Guardia Civil)가 접선 현장을 급습하고, 카를로스가 현장에 함께합니다.</t>
        </is>
      </c>
    </row>
    <row r="221" ht="15" customHeight="1" s="11">
      <c r="A221" s="13" t="n">
        <v>220</v>
      </c>
      <c r="B221" s="13" t="n">
        <v>20</v>
      </c>
      <c r="C221" s="14">
        <f>INDEX('부작 목록'!$C$2:$C$96,B221)</f>
        <v/>
      </c>
      <c r="D221" s="14" t="inlineStr">
        <is>
          <t>B 카를로스 사건집</t>
        </is>
      </c>
      <c r="E221" s="13" t="n">
        <v>9286</v>
      </c>
      <c r="F221" s="13" t="n">
        <v>12</v>
      </c>
      <c r="G221" s="15" t="inlineStr">
        <is>
          <t>체포 다음 날, 카를로스가 접선자의 신원과 배후 조직에 대한 정보를 알바로에게 전합니다.</t>
        </is>
      </c>
    </row>
    <row r="222" ht="28.35" customHeight="1" s="11">
      <c r="A222" s="13" t="n">
        <v>221</v>
      </c>
      <c r="B222" s="13" t="n">
        <v>20</v>
      </c>
      <c r="C222" s="14">
        <f>INDEX('부작 목록'!$C$2:$C$96,B222)</f>
        <v/>
      </c>
      <c r="D222" s="14" t="inlineStr">
        <is>
          <t>B 카를로스 사건집</t>
        </is>
      </c>
      <c r="E222" s="13" t="n">
        <v>9300</v>
      </c>
      <c r="F222" s="13" t="n">
        <v>10</v>
      </c>
      <c r="G222" s="15" t="inlineStr">
        <is>
          <t>알바로가 마우리시오와 마지막으로 만나 감사장 사업 마무리를 정리합니다.</t>
        </is>
      </c>
    </row>
    <row r="223" ht="15" customHeight="1" s="11">
      <c r="A223" s="13" t="n">
        <v>222</v>
      </c>
      <c r="B223" s="13" t="n">
        <v>20</v>
      </c>
      <c r="C223" s="14">
        <f>INDEX('부작 목록'!$C$2:$C$96,B223)</f>
        <v/>
      </c>
      <c r="D223" s="14" t="inlineStr">
        <is>
          <t>B 카를로스 사건집</t>
        </is>
      </c>
      <c r="E223" s="13" t="n">
        <v>9313</v>
      </c>
      <c r="F223" s="13" t="n">
        <v>12</v>
      </c>
      <c r="G223" s="15" t="inlineStr">
        <is>
          <t>알바로가 하비에르에게 이번 사건의 전모를 설명합니다. 이번엔 보도가 불가능한 국가안보 사안 임을 확인합니다.</t>
        </is>
      </c>
    </row>
    <row r="224" ht="15" customHeight="1" s="11">
      <c r="A224" s="13" t="n">
        <v>223</v>
      </c>
      <c r="B224" s="13" t="n">
        <v>20</v>
      </c>
      <c r="C224" s="14">
        <f>INDEX('부작 목록'!$C$2:$C$96,B224)</f>
        <v/>
      </c>
      <c r="D224" s="14" t="inlineStr">
        <is>
          <t>B 카를로스 사건집</t>
        </is>
      </c>
      <c r="E224" s="13" t="n">
        <v>9327</v>
      </c>
      <c r="F224" s="13" t="n">
        <v>12</v>
      </c>
      <c r="G224" s="15" t="inlineStr">
        <is>
          <t>며칠 후, 알바로가 카를로스와 소니아 프라도와 함께 저녁을 먹으며 사건을 마무리합니다.</t>
        </is>
      </c>
    </row>
    <row r="225" ht="15" customHeight="1" s="11">
      <c r="A225" s="13" t="n">
        <v>224</v>
      </c>
      <c r="B225" s="13" t="n">
        <v>21</v>
      </c>
      <c r="C225" s="14">
        <f>INDEX('부작 목록'!$C$2:$C$96,B225)</f>
        <v/>
      </c>
      <c r="D225" s="14" t="inlineStr">
        <is>
          <t>B 카를로스 사건집</t>
        </is>
      </c>
      <c r="E225" s="13" t="n">
        <v>9342</v>
      </c>
      <c r="F225" s="13" t="n">
        <v>12</v>
      </c>
      <c r="G225" s="15" t="inlineStr">
        <is>
          <t>새로운 취재. 라 리오하의 한 가상 와이너리 '보데가스 몬테알토'가 저가 포도주를 고급 리오하 원산지 인증(D.O.)으로 속여 판매하고 있다는 제보가 들어옵니다.</t>
        </is>
      </c>
    </row>
    <row r="226" ht="15" customHeight="1" s="11">
      <c r="A226" s="13" t="n">
        <v>225</v>
      </c>
      <c r="B226" s="13" t="n">
        <v>21</v>
      </c>
      <c r="C226" s="14">
        <f>INDEX('부작 목록'!$C$2:$C$96,B226)</f>
        <v/>
      </c>
      <c r="D226" s="14" t="inlineStr">
        <is>
          <t>B 카를로스 사건집</t>
        </is>
      </c>
      <c r="E226" s="13" t="n">
        <v>9357</v>
      </c>
      <c r="F226" s="13" t="n">
        <v>10</v>
      </c>
      <c r="G226" s="15" t="inlineStr">
        <is>
          <t>소믈리에 카르멘 이글레시아스와 함께 두 와인을 비교 시음합니다.</t>
        </is>
      </c>
    </row>
    <row r="227" ht="15" customHeight="1" s="11">
      <c r="A227" s="13" t="n">
        <v>226</v>
      </c>
      <c r="B227" s="13" t="n">
        <v>21</v>
      </c>
      <c r="C227" s="14">
        <f>INDEX('부작 목록'!$C$2:$C$96,B227)</f>
        <v/>
      </c>
      <c r="D227" s="14" t="inlineStr">
        <is>
          <t>B 카를로스 사건집</t>
        </is>
      </c>
      <c r="E227" s="13" t="n">
        <v>9369</v>
      </c>
      <c r="F227" s="13" t="n">
        <v>10</v>
      </c>
      <c r="G227" s="15" t="inlineStr">
        <is>
          <t>하비에르가 원산지 인증 규제위원회 기록을 조사한 결과를 공유합니다.</t>
        </is>
      </c>
    </row>
    <row r="228" ht="15" customHeight="1" s="11">
      <c r="A228" s="13" t="n">
        <v>227</v>
      </c>
      <c r="B228" s="13" t="n">
        <v>21</v>
      </c>
      <c r="C228" s="14">
        <f>INDEX('부작 목록'!$C$2:$C$96,B228)</f>
        <v/>
      </c>
      <c r="D228" s="14" t="inlineStr">
        <is>
          <t>B 카를로스 사건집</t>
        </is>
      </c>
      <c r="E228" s="13" t="n">
        <v>9382</v>
      </c>
      <c r="F228" s="13" t="n">
        <v>14</v>
      </c>
      <c r="G228" s="15" t="inlineStr">
        <is>
          <t>알바로와 하비에르가 몬테알토 와이너리를 방문해 대표 페르난도 로요와 대화합니다.</t>
        </is>
      </c>
    </row>
    <row r="229" ht="15" customHeight="1" s="11">
      <c r="A229" s="13" t="n">
        <v>228</v>
      </c>
      <c r="B229" s="13" t="n">
        <v>21</v>
      </c>
      <c r="C229" s="14">
        <f>INDEX('부작 목록'!$C$2:$C$96,B229)</f>
        <v/>
      </c>
      <c r="D229" s="14" t="inlineStr">
        <is>
          <t>B 카를로스 사건집</t>
        </is>
      </c>
      <c r="E229" s="13" t="n">
        <v>9399</v>
      </c>
      <c r="F229" s="13" t="n">
        <v>12</v>
      </c>
      <c r="G229" s="15" t="inlineStr">
        <is>
          <t>규제위원회가 조사에 착수하고, 보도가 이뤄집니다.</t>
        </is>
      </c>
    </row>
    <row r="230" ht="28.35" customHeight="1" s="11">
      <c r="A230" s="13" t="n">
        <v>229</v>
      </c>
      <c r="B230" s="13" t="n">
        <v>21</v>
      </c>
      <c r="C230" s="14">
        <f>INDEX('부작 목록'!$C$2:$C$96,B230)</f>
        <v/>
      </c>
      <c r="D230" s="14" t="inlineStr">
        <is>
          <t>B 카를로스 사건집</t>
        </is>
      </c>
      <c r="E230" s="13" t="n">
        <v>9413</v>
      </c>
      <c r="F230" s="13" t="n">
        <v>19</v>
      </c>
      <c r="G230" s="15" t="inlineStr">
        <is>
          <t>보도를 마친 뒤, 알바로와 하비에르, 카르멘이 로그로뇨의 한 술집에서 편하게 어울립니다. 이번 엔 사건 얘기 없이, 순수한 일상 잡담입니다.</t>
        </is>
      </c>
    </row>
    <row r="231" ht="28.35" customHeight="1" s="11">
      <c r="A231" s="13" t="n">
        <v>230</v>
      </c>
      <c r="B231" s="13" t="n">
        <v>22</v>
      </c>
      <c r="C231" s="14">
        <f>INDEX('부작 목록'!$C$2:$C$96,B231)</f>
        <v/>
      </c>
      <c r="D231" s="14" t="inlineStr">
        <is>
          <t>B 카를로스 사건집</t>
        </is>
      </c>
      <c r="E231" s="13" t="n">
        <v>9435</v>
      </c>
      <c r="F231" s="13" t="n">
        <v>50</v>
      </c>
      <c r="G231" s="15" t="inlineStr">
        <is>
          <t>새로운 작전. 카를로스가 알바로에게 역외 페이퍼컴퍼니를 이용한 대규모 탈세 네트워크를 조사해달라고 요청합니다. 이른 아침, 레티로 공원 옆의 한적한 카페에서 두 사람이 만납니다.</t>
        </is>
      </c>
    </row>
    <row r="232" ht="28.35" customHeight="1" s="11">
      <c r="A232" s="13" t="n">
        <v>231</v>
      </c>
      <c r="B232" s="13" t="n">
        <v>22</v>
      </c>
      <c r="C232" s="14">
        <f>INDEX('부작 목록'!$C$2:$C$96,B232)</f>
        <v/>
      </c>
      <c r="D232" s="14" t="inlineStr">
        <is>
          <t>B 카를로스 사건집</t>
        </is>
      </c>
      <c r="E232" s="13" t="n">
        <v>9487</v>
      </c>
      <c r="F232" s="13" t="n">
        <v>50</v>
      </c>
      <c r="G232" s="15" t="inlineStr">
        <is>
          <t>경제 전문가 로드리고 카살이 알바로에게 역외 금융·조세 구조 관련 지식을 속성으로 가르칩니다. 화살표로 가득한 화이트보드 앞에서, 로드리고는 위장 고객의 말투까지 연습시킵니다.</t>
        </is>
      </c>
    </row>
    <row r="233" ht="15" customHeight="1" s="11">
      <c r="A233" s="13" t="n">
        <v>232</v>
      </c>
      <c r="B233" s="13" t="n">
        <v>22</v>
      </c>
      <c r="C233" s="14">
        <f>INDEX('부작 목록'!$C$2:$C$96,B233)</f>
        <v/>
      </c>
      <c r="D233" s="14" t="inlineStr">
        <is>
          <t>B 카를로스 사건집</t>
        </is>
      </c>
      <c r="E233" s="13" t="n">
        <v>9539</v>
      </c>
      <c r="F233" s="13" t="n">
        <v>48</v>
      </c>
      <c r="G233" s="15" t="inlineStr">
        <is>
          <t>알바로가 '곤살로 발카르셀' 위장 신분으로 페란 이 아소시아도스 사무실을 방문해 대표 쿠스토디오 페란을 만납니다. 세라노 거리의 대리석 로비와 가죽 소파, 그리고 커피와 초콜릿이 그를 맞이합니다.</t>
        </is>
      </c>
    </row>
    <row r="234" ht="15" customHeight="1" s="11">
      <c r="A234" s="13" t="n">
        <v>233</v>
      </c>
      <c r="B234" s="13" t="n">
        <v>22</v>
      </c>
      <c r="C234" s="14">
        <f>INDEX('부작 목록'!$C$2:$C$96,B234)</f>
        <v/>
      </c>
      <c r="D234" s="14" t="inlineStr">
        <is>
          <t>B 카를로스 사건집</t>
        </is>
      </c>
      <c r="E234" s="13" t="n">
        <v>9589</v>
      </c>
      <c r="F234" s="13" t="n">
        <v>48</v>
      </c>
      <c r="G234" s="15" t="inlineStr">
        <is>
          <t>알바로가 카를로스에게 첫 접선 결과를 보고합니다. 두 사람은 참베리의 한 주차장 맨 위층에 세워 둔 카를로스의 차 안에서 이야기합니다.</t>
        </is>
      </c>
    </row>
    <row r="235" ht="15" customHeight="1" s="11">
      <c r="A235" s="13" t="n">
        <v>234</v>
      </c>
      <c r="B235" s="13" t="n">
        <v>22</v>
      </c>
      <c r="C235" s="14">
        <f>INDEX('부작 목록'!$C$2:$C$96,B235)</f>
        <v/>
      </c>
      <c r="D235" s="14" t="inlineStr">
        <is>
          <t>B 카를로스 사건집</t>
        </is>
      </c>
      <c r="E235" s="13" t="n">
        <v>9639</v>
      </c>
      <c r="F235" s="13" t="n">
        <v>48</v>
      </c>
      <c r="G235" s="15" t="inlineStr">
        <is>
          <t>두 번째 만남에서 페란이 구체적인 역외 구조를 제시합니다. 세라노 거리가 내려다보이는 회의실에서, 알바로는 한순간 너무 많이 아는 티를 내 페란의 의심 어린 눈길을 받습니다.</t>
        </is>
      </c>
    </row>
    <row r="236" ht="15" customHeight="1" s="11">
      <c r="A236" s="13" t="n">
        <v>235</v>
      </c>
      <c r="B236" s="13" t="n">
        <v>22</v>
      </c>
      <c r="C236" s="14">
        <f>INDEX('부작 목록'!$C$2:$C$96,B236)</f>
        <v/>
      </c>
      <c r="D236" s="14" t="inlineStr">
        <is>
          <t>B 카를로스 사건집</t>
        </is>
      </c>
      <c r="E236" s="13" t="n">
        <v>9689</v>
      </c>
      <c r="F236" s="13" t="n">
        <v>47</v>
      </c>
      <c r="G236" s="15" t="inlineStr">
        <is>
          <t>알바로가 카를로스에게 제시받은 구조의 세부사항을 보고합니다. 데보드 신전 옆 벤치에서 테이크아웃 커피를 마시며, 카를로스는 은행 정보의 중요성과 '조금 서툰 척'의 가치를 강조합니다.</t>
        </is>
      </c>
    </row>
    <row r="237" ht="15" customHeight="1" s="11">
      <c r="A237" s="13" t="n">
        <v>236</v>
      </c>
      <c r="B237" s="13" t="n">
        <v>22</v>
      </c>
      <c r="C237" s="14">
        <f>INDEX('부작 목록'!$C$2:$C$96,B237)</f>
        <v/>
      </c>
      <c r="D237" s="14" t="inlineStr">
        <is>
          <t>B 카를로스 사건집</t>
        </is>
      </c>
      <c r="E237" s="13" t="n">
        <v>9738</v>
      </c>
      <c r="F237" s="13" t="n">
        <v>50</v>
      </c>
      <c r="G237" s="15" t="inlineStr">
        <is>
          <t>세 번째 만남에서 페란이 무심코 다른 유명 고객을 언급합니다. 노란 서명 표시가 붙은 서류와 만년필이 테이블 위에 놓이지만, 알바로는 할아버지의 가르침을 핑계로 서명을 미룹니다.</t>
        </is>
      </c>
    </row>
    <row r="238" ht="15" customHeight="1" s="11">
      <c r="A238" s="13" t="n">
        <v>237</v>
      </c>
      <c r="B238" s="13" t="n">
        <v>22</v>
      </c>
      <c r="C238" s="14">
        <f>INDEX('부작 목록'!$C$2:$C$96,B238)</f>
        <v/>
      </c>
      <c r="D238" s="14" t="inlineStr">
        <is>
          <t>B 카를로스 사건집</t>
        </is>
      </c>
      <c r="E238" s="13" t="n">
        <v>9790</v>
      </c>
      <c r="F238" s="13" t="n">
        <v>48</v>
      </c>
      <c r="G238" s="15" t="inlineStr">
        <is>
          <t>알바로가 카를로스에게 제네바 은행에 대한 정보를 전달합니다. 블라인드를 내린 라바피에스의 안가에서, 두 사람은 마지막 만남에 대비한 전략을 세웁니다.</t>
        </is>
      </c>
    </row>
    <row r="239" ht="15" customHeight="1" s="11">
      <c r="A239" s="13" t="n">
        <v>238</v>
      </c>
      <c r="B239" s="13" t="n">
        <v>22</v>
      </c>
      <c r="C239" s="14">
        <f>INDEX('부작 목록'!$C$2:$C$96,B239)</f>
        <v/>
      </c>
      <c r="D239" s="14" t="inlineStr">
        <is>
          <t>B 카를로스 사건집</t>
        </is>
      </c>
      <c r="E239" s="13" t="n">
        <v>9840</v>
      </c>
      <c r="F239" s="13" t="n">
        <v>53</v>
      </c>
      <c r="G239" s="15" t="inlineStr">
        <is>
          <t>네 번째 만남에서 알바로가 서명 직전 결정적 문서를 확보합니다. 페란은 스위스 은행 계좌 정보까지 담긴 서류철을 건네며 서명을 재촉하고, 알바로는 마지막 질문들로 구조의 허점을 확인한 뒤 서류를 들고 사무실을 나섭니다.</t>
        </is>
      </c>
    </row>
    <row r="240" ht="15" customHeight="1" s="11">
      <c r="A240" s="13" t="n">
        <v>239</v>
      </c>
      <c r="B240" s="13" t="n">
        <v>22</v>
      </c>
      <c r="C240" s="14">
        <f>INDEX('부작 목록'!$C$2:$C$96,B240)</f>
        <v/>
      </c>
      <c r="D240" s="14" t="inlineStr">
        <is>
          <t>B 카를로스 사건집</t>
        </is>
      </c>
      <c r="E240" s="13" t="n">
        <v>9895</v>
      </c>
      <c r="F240" s="13" t="n">
        <v>49</v>
      </c>
      <c r="G240" s="15" t="inlineStr">
        <is>
          <t>알바로가 확보한 서류를 카를로스에게 전달합니다. 카를로스는 서류의 가치를 확인하고, 압수수색 영장 청구까지 남은 며칠 동안 '곤살로 발카르셀'이 어떻게 처신해야 할지 알바로에게 일러둡니다.</t>
        </is>
      </c>
    </row>
    <row r="241" ht="15" customHeight="1" s="11">
      <c r="A241" s="13" t="n">
        <v>240</v>
      </c>
      <c r="B241" s="13" t="n">
        <v>22</v>
      </c>
      <c r="C241" s="14">
        <f>INDEX('부작 목록'!$C$2:$C$96,B241)</f>
        <v/>
      </c>
      <c r="D241" s="14" t="inlineStr">
        <is>
          <t>B 카를로스 사건집</t>
        </is>
      </c>
      <c r="E241" s="13" t="n">
        <v>9946</v>
      </c>
      <c r="F241" s="13" t="n">
        <v>51</v>
      </c>
      <c r="G241" s="15" t="inlineStr">
        <is>
          <t>판사의 승인을 받아, 페란 이 아소시아도스 사무실에 대한 압수수색이 집행됩니다. 수색은 UCO와 세무청이 맡고, 카를로스는 정보만 공유합니다. 알바로는 건물 맞은편 카페 창가에 앉아 그 과정을 조용히 지켜봅니다.</t>
        </is>
      </c>
    </row>
    <row r="242" ht="15" customHeight="1" s="11">
      <c r="A242" s="13" t="n">
        <v>241</v>
      </c>
      <c r="B242" s="13" t="n">
        <v>22</v>
      </c>
      <c r="C242" s="14">
        <f>INDEX('부작 목록'!$C$2:$C$96,B242)</f>
        <v/>
      </c>
      <c r="D242" s="14" t="inlineStr">
        <is>
          <t>B 카를로스 사건집</t>
        </is>
      </c>
      <c r="E242" s="13" t="n">
        <v>9999</v>
      </c>
      <c r="F242" s="13" t="n">
        <v>48</v>
      </c>
      <c r="G242" s="15" t="inlineStr">
        <is>
          <t>며칠 후, 알바로와 카를로스가 법원 앞에서 페란의 출두 장면을 지켜보며 사건을 정리합니다. 카메라와 기자들 사이에서, 한 달 전 초콜릿을 내밀던 변호사의 몰락을 바라보는 알바로의 마음은 복잡합니다.</t>
        </is>
      </c>
    </row>
    <row r="243" ht="15" customHeight="1" s="11">
      <c r="A243" s="13" t="n">
        <v>242</v>
      </c>
      <c r="B243" s="13" t="n">
        <v>22</v>
      </c>
      <c r="C243" s="14">
        <f>INDEX('부작 목록'!$C$2:$C$96,B243)</f>
        <v/>
      </c>
      <c r="D243" s="14" t="inlineStr">
        <is>
          <t>B 카를로스 사건집</t>
        </is>
      </c>
      <c r="E243" s="13" t="n">
        <v>10049</v>
      </c>
      <c r="F243" s="13" t="n">
        <v>46</v>
      </c>
      <c r="G243" s="15" t="inlineStr">
        <is>
          <t>알바로가 하비에르에게 이번 사건의 전모를 설명하며, 언제 보도가 가능할지 논의합니다. 사법 비밀이 풀리기 전까지는 한 줄도 쓸 수 없지만, 두 사람은 그날을 위해 배경 기사를 미리 준비하기로 합니다.</t>
        </is>
      </c>
    </row>
    <row r="244" ht="15" customHeight="1" s="11">
      <c r="A244" s="13" t="n">
        <v>243</v>
      </c>
      <c r="B244" s="13" t="n">
        <v>22</v>
      </c>
      <c r="C244" s="14">
        <f>INDEX('부작 목록'!$C$2:$C$96,B244)</f>
        <v/>
      </c>
      <c r="D244" s="14" t="inlineStr">
        <is>
          <t>B 카를로스 사건집</t>
        </is>
      </c>
      <c r="E244" s="13" t="n">
        <v>10097</v>
      </c>
      <c r="F244" s="13" t="n">
        <v>49</v>
      </c>
      <c r="G244" s="15" t="inlineStr">
        <is>
          <t>알바로가 카를로스와의 마지막 대화에서, 이번 사건이 남긴 인상을 정리합니다. 햇살이 남아 있는 동네 광장의 테라스에서, 두 사람은 맥주를 앞에 두고 끝나지 않는 싸움에 대해 이야기합니다.</t>
        </is>
      </c>
    </row>
    <row r="245" ht="15" customHeight="1" s="11">
      <c r="A245" s="13" t="n">
        <v>244</v>
      </c>
      <c r="B245" s="13" t="n">
        <v>22</v>
      </c>
      <c r="C245" s="14">
        <f>INDEX('부작 목록'!$C$2:$C$96,B245)</f>
        <v/>
      </c>
      <c r="D245" s="14" t="inlineStr">
        <is>
          <t>B 카를로스 사건집</t>
        </is>
      </c>
      <c r="E245" s="13" t="n">
        <v>10148</v>
      </c>
      <c r="F245" s="13" t="n">
        <v>47</v>
      </c>
      <c r="G245" s="15" t="inlineStr">
        <is>
          <t>몇 달 후, 사법 비밀이 해제되며 사건이 최종적으로 마무리됩니다. 저녁 늦게 텅 빈 편집국에서 배경 기사를 다듬던 알바로에게 카를로스의 전화가 걸려 오고, 알바로는 곧바로 하비에르를 불러 밤샘 작업을 준비합니다.</t>
        </is>
      </c>
    </row>
    <row r="246" ht="28.35" customHeight="1" s="11">
      <c r="A246" s="13" t="n">
        <v>245</v>
      </c>
      <c r="B246" s="13" t="n">
        <v>22</v>
      </c>
      <c r="C246" s="14">
        <f>INDEX('부작 목록'!$C$2:$C$96,B246)</f>
        <v/>
      </c>
      <c r="D246" s="14" t="inlineStr">
        <is>
          <t>B 카를로스 사건집</t>
        </is>
      </c>
      <c r="E246" s="13" t="n">
        <v>10197</v>
      </c>
      <c r="F246" s="13" t="n">
        <v>60</v>
      </c>
      <c r="G246" s="15" t="inlineStr">
        <is>
          <t>몇 주 후, 보데가스 몬테알토의 명예훼손 소장이 실제로 신문사에 도착합니다. 국장의 사무실에 법무 자문 마르타와 알바로, 하비에르가 모여, 소장의 주장을 하나씩 짚어 가며 보도의 진실성과 반론권 기록, 숫자 대조 증거로 대응 전략을 세웁니다.</t>
        </is>
      </c>
    </row>
    <row r="247" ht="15" customHeight="1" s="11">
      <c r="A247" s="13" t="n">
        <v>246</v>
      </c>
      <c r="B247" s="13" t="n">
        <v>22</v>
      </c>
      <c r="C247" s="14">
        <f>INDEX('부작 목록'!$C$2:$C$96,B247)</f>
        <v/>
      </c>
      <c r="D247" s="14" t="inlineStr">
        <is>
          <t>B 카를로스 사건집</t>
        </is>
      </c>
      <c r="E247" s="13" t="n">
        <v>10259</v>
      </c>
      <c r="F247" s="13" t="n">
        <v>59</v>
      </c>
      <c r="G247" s="15" t="inlineStr">
        <is>
          <t>6개월 후, 알바로가 약속대로 하비에르와 함께 푸에르토 수르를 다시 찾아가 이번엔 누가 청구서에 서명하는지 확인합니다. 니에바의 업체 대신 들어온 새 업체는 같은 막사에서 같은 단가를 받고 있지만, 몇 가지는 실제로 나아졌습니다. 두 사람은 바람 부는 항구 카페에서 작은 후속 기사를 쓰기로 합니다.</t>
        </is>
      </c>
    </row>
    <row r="248" ht="15" customHeight="1" s="11">
      <c r="A248" s="13" t="n">
        <v>247</v>
      </c>
      <c r="B248" s="13" t="n">
        <v>23</v>
      </c>
      <c r="C248" s="14">
        <f>INDEX('부작 목록'!$C$2:$C$96,B248)</f>
        <v/>
      </c>
      <c r="D248" s="14" t="inlineStr">
        <is>
          <t>B 카를로스 사건집</t>
        </is>
      </c>
      <c r="E248" s="13" t="n">
        <v>10320</v>
      </c>
      <c r="F248" s="13" t="n">
        <v>50</v>
      </c>
      <c r="G248" s="15" t="inlineStr">
        <is>
          <t>페란 사건 특종이 보도된 직후, 예상치 못한 압박이 시작됩니다. 정치권 고객 중 한 명, 전직 장관 알베르토 에스키벨의 이름이 확인되면서 사건이 새로운 국면으로 접어듭니다. 이른 아침 하비에르의 전화로, 변호사 서한과 익명의 경고 전화가 거의 동시에 도착했다는 사실이 알려집니다.</t>
        </is>
      </c>
    </row>
    <row r="249" ht="15" customHeight="1" s="11">
      <c r="A249" s="13" t="n">
        <v>248</v>
      </c>
      <c r="B249" s="13" t="n">
        <v>23</v>
      </c>
      <c r="C249" s="14">
        <f>INDEX('부작 목록'!$C$2:$C$96,B249)</f>
        <v/>
      </c>
      <c r="D249" s="14" t="inlineStr">
        <is>
          <t>B 카를로스 사건집</t>
        </is>
      </c>
      <c r="E249" s="13" t="n">
        <v>10372</v>
      </c>
      <c r="F249" s="13" t="n">
        <v>47</v>
      </c>
      <c r="G249" s="15" t="inlineStr">
        <is>
          <t>알바로와 하비에르가 카를로스에게 협박 전화에 대해 알립니다. 세 사람은 레티로 공원의 한적한 벤치에서 만납니다.</t>
        </is>
      </c>
    </row>
    <row r="250" ht="15" customHeight="1" s="11">
      <c r="A250" s="13" t="n">
        <v>249</v>
      </c>
      <c r="B250" s="13" t="n">
        <v>23</v>
      </c>
      <c r="C250" s="14">
        <f>INDEX('부작 목록'!$C$2:$C$96,B250)</f>
        <v/>
      </c>
      <c r="D250" s="14" t="inlineStr">
        <is>
          <t>B 카를로스 사건집</t>
        </is>
      </c>
      <c r="E250" s="13" t="n">
        <v>10421</v>
      </c>
      <c r="F250" s="13" t="n">
        <v>46</v>
      </c>
      <c r="G250" s="15" t="inlineStr">
        <is>
          <t>알바로와 하비에르가 에스키벨 전 장관에게 공식 답변을 요청하며 직접 접촉을 시도합니다. 하비에르는 신문사 회의실에서 스피커폰으로 전화를 걸고, 알바로가 옆에서 듣습니다.</t>
        </is>
      </c>
    </row>
    <row r="251" ht="28.35" customHeight="1" s="11">
      <c r="A251" s="13" t="n">
        <v>250</v>
      </c>
      <c r="B251" s="13" t="n">
        <v>23</v>
      </c>
      <c r="C251" s="14">
        <f>INDEX('부작 목록'!$C$2:$C$96,B251)</f>
        <v/>
      </c>
      <c r="D251" s="14" t="inlineStr">
        <is>
          <t>B 카를로스 사건집</t>
        </is>
      </c>
      <c r="E251" s="13" t="n">
        <v>10469</v>
      </c>
      <c r="F251" s="13" t="n">
        <v>47</v>
      </c>
      <c r="G251" s="15" t="inlineStr">
        <is>
          <t>카를로스가 에스키벨 명의의 역외 구조에 대한 세부 정보를 알바로와 공유합니다. 두 사람은 카를로스가 고른 오래된 바의 구석 자리에서 만납니다.</t>
        </is>
      </c>
    </row>
    <row r="252" ht="28.35" customHeight="1" s="11">
      <c r="A252" s="13" t="n">
        <v>251</v>
      </c>
      <c r="B252" s="13" t="n">
        <v>23</v>
      </c>
      <c r="C252" s="14">
        <f>INDEX('부작 목록'!$C$2:$C$96,B252)</f>
        <v/>
      </c>
      <c r="D252" s="14" t="inlineStr">
        <is>
          <t>B 카를로스 사건집</t>
        </is>
      </c>
      <c r="E252" s="13" t="n">
        <v>10518</v>
      </c>
      <c r="F252" s="13" t="n">
        <v>46</v>
      </c>
      <c r="G252" s="15" t="inlineStr">
        <is>
          <t>이틀 후, 에스키벨 측에서 서면 답변이 도착합니다. 예상대로 회피성입니다. 마감 시한 3시간 전, 두 사람은 편집국에서 답변서를 한 줄씩 뜯어봅니다.</t>
        </is>
      </c>
    </row>
    <row r="253" ht="15" customHeight="1" s="11">
      <c r="A253" s="13" t="n">
        <v>252</v>
      </c>
      <c r="B253" s="13" t="n">
        <v>23</v>
      </c>
      <c r="C253" s="14">
        <f>INDEX('부작 목록'!$C$2:$C$96,B253)</f>
        <v/>
      </c>
      <c r="D253" s="14" t="inlineStr">
        <is>
          <t>B 카를로스 사건집</t>
        </is>
      </c>
      <c r="E253" s="13" t="n">
        <v>10566</v>
      </c>
      <c r="F253" s="13" t="n">
        <v>55</v>
      </c>
      <c r="G253" s="15" t="inlineStr">
        <is>
          <t>두 번째 보도가 나간 뒤, 위협의 수위가 높아집니다. 저녁에 귀가한 알바로가 우편함에서 발신인 없는 봉투를 발견하고, 곧바로 하비에르에게 전화를 겁니다.</t>
        </is>
      </c>
    </row>
    <row r="254" ht="15" customHeight="1" s="11">
      <c r="A254" s="13" t="n">
        <v>253</v>
      </c>
      <c r="B254" s="13" t="n">
        <v>23</v>
      </c>
      <c r="C254" s="14">
        <f>INDEX('부작 목록'!$C$2:$C$96,B254)</f>
        <v/>
      </c>
      <c r="D254" s="14" t="inlineStr">
        <is>
          <t>B 카를로스 사건집</t>
        </is>
      </c>
      <c r="E254" s="13" t="n">
        <v>10623</v>
      </c>
      <c r="F254" s="13" t="n">
        <v>46</v>
      </c>
      <c r="G254" s="15" t="inlineStr">
        <is>
          <t>카를로스가 리히텐슈타인 신탁회사에 대한 국제 공조 조사 결과를 전합니다. 경찰 보호가 시작된 지 며칠 뒤, 두 사람은 카를로스의 차 안에서 만납니다.</t>
        </is>
      </c>
    </row>
    <row r="255" ht="15" customHeight="1" s="11">
      <c r="A255" s="13" t="n">
        <v>254</v>
      </c>
      <c r="B255" s="13" t="n">
        <v>23</v>
      </c>
      <c r="C255" s="14">
        <f>INDEX('부작 목록'!$C$2:$C$96,B255)</f>
        <v/>
      </c>
      <c r="D255" s="14" t="inlineStr">
        <is>
          <t>B 카를로스 사건집</t>
        </is>
      </c>
      <c r="E255" s="13" t="n">
        <v>10671</v>
      </c>
      <c r="F255" s="13" t="n">
        <v>46</v>
      </c>
      <c r="G255" s="15" t="inlineStr">
        <is>
          <t>며칠 후, 하비에르가 문서에서 잠재적 협력 가능 인물을 발견합니다. 밤늦은 편집국에서, 서류 더미에 파묻혀 있던 하비에르가 알바로를 부릅니다.</t>
        </is>
      </c>
    </row>
    <row r="256" ht="15" customHeight="1" s="11">
      <c r="A256" s="13" t="n">
        <v>255</v>
      </c>
      <c r="B256" s="13" t="n">
        <v>23</v>
      </c>
      <c r="C256" s="14">
        <f>INDEX('부작 목록'!$C$2:$C$96,B256)</f>
        <v/>
      </c>
      <c r="D256" s="14" t="inlineStr">
        <is>
          <t>B 카를로스 사건집</t>
        </is>
      </c>
      <c r="E256" s="13" t="n">
        <v>10719</v>
      </c>
      <c r="F256" s="13" t="n">
        <v>46</v>
      </c>
      <c r="G256" s="15" t="inlineStr">
        <is>
          <t>공통 지인을 통해, 하비에르가 펠리시아노 루스와 조심스럽게 접선합니다. 장소는 과달라하라 외곽 국도변의 조용한 카페이고, 알바로는 멀리 떨어진 차 안에서 기다립니다.</t>
        </is>
      </c>
    </row>
    <row r="257" ht="15" customHeight="1" s="11">
      <c r="A257" s="13" t="n">
        <v>256</v>
      </c>
      <c r="B257" s="13" t="n">
        <v>23</v>
      </c>
      <c r="C257" s="14">
        <f>INDEX('부작 목록'!$C$2:$C$96,B257)</f>
        <v/>
      </c>
      <c r="D257" s="14" t="inlineStr">
        <is>
          <t>B 카를로스 사건집</t>
        </is>
      </c>
      <c r="E257" s="13" t="n">
        <v>10767</v>
      </c>
      <c r="F257" s="13" t="n">
        <v>53</v>
      </c>
      <c r="G257" s="15" t="inlineStr">
        <is>
          <t>펠리시아노가 결정적 실마리를 제공합니다. 같은 카페에서 대화가 이어지고, 망설이던 펠리시아노는 오래전 실수로 전달받은 이메일 한 통을 꺼내 보입니다.</t>
        </is>
      </c>
    </row>
    <row r="258" ht="15" customHeight="1" s="11">
      <c r="A258" s="13" t="n">
        <v>257</v>
      </c>
      <c r="B258" s="13" t="n">
        <v>23</v>
      </c>
      <c r="C258" s="14">
        <f>INDEX('부작 목록'!$C$2:$C$96,B258)</f>
        <v/>
      </c>
      <c r="D258" s="14" t="inlineStr">
        <is>
          <t>B 카를로스 사건집</t>
        </is>
      </c>
      <c r="E258" s="13" t="n">
        <v>10822</v>
      </c>
      <c r="F258" s="13" t="n">
        <v>49</v>
      </c>
      <c r="G258" s="15" t="inlineStr">
        <is>
          <t>카를로스와 기술 전문가가 확보한 이메일의 발신 경로를 분석합니다. 알바로는 카를로스가 마련한 사무실에서 분석 담당 기술자와 함께 결과를 듣습니다.</t>
        </is>
      </c>
    </row>
    <row r="259" ht="15" customHeight="1" s="11">
      <c r="A259" s="13" t="n">
        <v>258</v>
      </c>
      <c r="B259" s="13" t="n">
        <v>23</v>
      </c>
      <c r="C259" s="14">
        <f>INDEX('부작 목록'!$C$2:$C$96,B259)</f>
        <v/>
      </c>
      <c r="D259" s="14" t="inlineStr">
        <is>
          <t>B 카를로스 사건집</t>
        </is>
      </c>
      <c r="E259" s="13" t="n">
        <v>10873</v>
      </c>
      <c r="F259" s="13" t="n">
        <v>46</v>
      </c>
      <c r="G259" s="15" t="inlineStr">
        <is>
          <t>하비에르가 또 다른 형태의 협박을 받으며 긴장이 고조됩니다. 이번에는 개인이 아니라 신문사 자체가 표적이 됩니다.</t>
        </is>
      </c>
    </row>
    <row r="260" ht="15" customHeight="1" s="11">
      <c r="A260" s="13" t="n">
        <v>259</v>
      </c>
      <c r="B260" s="13" t="n">
        <v>23</v>
      </c>
      <c r="C260" s="14">
        <f>INDEX('부작 목록'!$C$2:$C$96,B260)</f>
        <v/>
      </c>
      <c r="D260" s="14" t="inlineStr">
        <is>
          <t>B 카를로스 사건집</t>
        </is>
      </c>
      <c r="E260" s="13" t="n">
        <v>10921</v>
      </c>
      <c r="F260" s="13" t="n">
        <v>50</v>
      </c>
      <c r="G260" s="15" t="inlineStr">
        <is>
          <t>카를로스가 런던 로펌의 실제 의뢰인을 추적한 결과를 전합니다. 일주일 뒤, 두 사람은 카를로스가 즐겨 찾는 마드리드 리오 강변 산책로에서 걸으며 이야기를 나눕니다.</t>
        </is>
      </c>
    </row>
    <row r="261" ht="15" customHeight="1" s="11">
      <c r="A261" s="13" t="n">
        <v>260</v>
      </c>
      <c r="B261" s="13" t="n">
        <v>23</v>
      </c>
      <c r="C261" s="14">
        <f>INDEX('부작 목록'!$C$2:$C$96,B261)</f>
        <v/>
      </c>
      <c r="D261" s="14" t="inlineStr">
        <is>
          <t>B 카를로스 사건집</t>
        </is>
      </c>
      <c r="E261" s="13" t="n">
        <v>10973</v>
      </c>
      <c r="F261" s="13" t="n">
        <v>50</v>
      </c>
      <c r="G261" s="15" t="inlineStr">
        <is>
          <t>며칠 후, 하비에르가 직접적인 협박 메시지를 받습니다. 알바로는 곧바로 카를로스를 통화에 연결하고, 경찰이 편집국으로 출동하는 동안 세 사람은 메시지의 의미를 따져봅니다.</t>
        </is>
      </c>
    </row>
    <row r="262" ht="15" customHeight="1" s="11">
      <c r="A262" s="13" t="n">
        <v>261</v>
      </c>
      <c r="B262" s="13" t="n">
        <v>23</v>
      </c>
      <c r="C262" s="14">
        <f>INDEX('부작 목록'!$C$2:$C$96,B262)</f>
        <v/>
      </c>
      <c r="D262" s="14" t="inlineStr">
        <is>
          <t>B 카를로스 사건집</t>
        </is>
      </c>
      <c r="E262" s="13" t="n">
        <v>11025</v>
      </c>
      <c r="F262" s="13" t="n">
        <v>49</v>
      </c>
      <c r="G262" s="15" t="inlineStr">
        <is>
          <t>카를로스가 협박 메시지를 보낸 발신자를 역추적한 결과를 전합니다. 바르셀로나에서 산 일회용 전화, 그리고 판매점 거울에 비친 한 남자의 모습이 단서가 됩니다.</t>
        </is>
      </c>
    </row>
    <row r="263" ht="15" customHeight="1" s="11">
      <c r="A263" s="13" t="n">
        <v>262</v>
      </c>
      <c r="B263" s="13" t="n">
        <v>23</v>
      </c>
      <c r="C263" s="14">
        <f>INDEX('부작 목록'!$C$2:$C$96,B263)</f>
        <v/>
      </c>
      <c r="D263" s="14" t="inlineStr">
        <is>
          <t>B 카를로스 사건집</t>
        </is>
      </c>
      <c r="E263" s="13" t="n">
        <v>11076</v>
      </c>
      <c r="F263" s="13" t="n">
        <v>51</v>
      </c>
      <c r="G263" s="15" t="inlineStr">
        <is>
          <t>알바로가 지금까지의 패턴을 되짚어보며, 예전 루에다 조직과의 연결 가능성을 카를로스에게 제기합니다. 이른 아침 공원을 함께 걸으며, 두 사람은 가설과 증거 사이의 거리를 신중하게 재봅니다.</t>
        </is>
      </c>
    </row>
    <row r="264" ht="15" customHeight="1" s="11">
      <c r="A264" s="13" t="n">
        <v>263</v>
      </c>
      <c r="B264" s="13" t="n">
        <v>23</v>
      </c>
      <c r="C264" s="14">
        <f>INDEX('부작 목록'!$C$2:$C$96,B264)</f>
        <v/>
      </c>
      <c r="D264" s="14" t="inlineStr">
        <is>
          <t>B 카를로스 사건집</t>
        </is>
      </c>
      <c r="E264" s="13" t="n">
        <v>11129</v>
      </c>
      <c r="F264" s="13" t="n">
        <v>50</v>
      </c>
      <c r="G264" s="15" t="inlineStr">
        <is>
          <t>며칠 후, 카를로스가 데이터 대조 결과를 알바로에게 전합니다. 리히텐슈타인 신탁과 루에다 조직의 계좌 사이에 오간 돈이 처음으로 확인됩니다.</t>
        </is>
      </c>
    </row>
    <row r="265" ht="15" customHeight="1" s="11">
      <c r="A265" s="13" t="n">
        <v>264</v>
      </c>
      <c r="B265" s="13" t="n">
        <v>23</v>
      </c>
      <c r="C265" s="14">
        <f>INDEX('부작 목록'!$C$2:$C$96,B265)</f>
        <v/>
      </c>
      <c r="D265" s="14" t="inlineStr">
        <is>
          <t>B 카를로스 사건집</t>
        </is>
      </c>
      <c r="E265" s="13" t="n">
        <v>11181</v>
      </c>
      <c r="F265" s="13" t="n">
        <v>48</v>
      </c>
      <c r="G265" s="15" t="inlineStr">
        <is>
          <t>뜻밖에도, 알바로가 익명의 인물로부터 직접 연락을 받습니다. 변조된 목소리의 남자는 정중한 말투로 알바로의 취재 내용과 경호 차량까지 꿰뚫고 있음을 드러냅니다.</t>
        </is>
      </c>
    </row>
    <row r="266" ht="15" customHeight="1" s="11">
      <c r="A266" s="13" t="n">
        <v>265</v>
      </c>
      <c r="B266" s="13" t="n">
        <v>23</v>
      </c>
      <c r="C266" s="14">
        <f>INDEX('부작 목록'!$C$2:$C$96,B266)</f>
        <v/>
      </c>
      <c r="D266" s="14" t="inlineStr">
        <is>
          <t>B 카를로스 사건집</t>
        </is>
      </c>
      <c r="E266" s="13" t="n">
        <v>11231</v>
      </c>
      <c r="F266" s="13" t="n">
        <v>48</v>
      </c>
      <c r="G266" s="15" t="inlineStr">
        <is>
          <t>알바로가 카를로스에게 직접 받은 전화를 보고하고, 함께 통화를 분석합니다. 카를로스는 그날 밤 바로 경호 체계를 바꾸고, 목소리와 배경음을 통해 상대의 윤곽을 그려나갑니다.</t>
        </is>
      </c>
    </row>
    <row r="267" ht="28.35" customHeight="1" s="11">
      <c r="A267" s="13" t="n">
        <v>266</v>
      </c>
      <c r="B267" s="13" t="n">
        <v>23</v>
      </c>
      <c r="C267" s="14">
        <f>INDEX('부작 목록'!$C$2:$C$96,B267)</f>
        <v/>
      </c>
      <c r="D267" s="14" t="inlineStr">
        <is>
          <t>B 카를로스 사건집</t>
        </is>
      </c>
      <c r="E267" s="13" t="n">
        <v>11281</v>
      </c>
      <c r="F267" s="13" t="n">
        <v>48</v>
      </c>
      <c r="G267" s="15" t="inlineStr">
        <is>
          <t>알바로가 하비에르와 함께, 위협에도 불구하고 계속 나아갈지 논의합니다. 사복 경찰이 옆 테이블을 지키는 카페에서, 두 사람은 두려움과 분노를 솔직하게 털어놓고 한 가지 조건을 정합니다.</t>
        </is>
      </c>
    </row>
    <row r="268" ht="15" customHeight="1" s="11">
      <c r="A268" s="13" t="n">
        <v>267</v>
      </c>
      <c r="B268" s="13" t="n">
        <v>23</v>
      </c>
      <c r="C268" s="14">
        <f>INDEX('부작 목록'!$C$2:$C$96,B268)</f>
        <v/>
      </c>
      <c r="D268" s="14" t="inlineStr">
        <is>
          <t>B 카를로스 사건집</t>
        </is>
      </c>
      <c r="E268" s="13" t="n">
        <v>11331</v>
      </c>
      <c r="F268" s="13" t="n">
        <v>48</v>
      </c>
      <c r="G268" s="15" t="inlineStr">
        <is>
          <t>몇 주 후, 스위스 당국과의 공조 수사가 결실을 맺습니다. 제네바와 리히텐슈타인에서 동시 압수수색이 결정되고, 알바로는 아무에게도 말하지 못한 채 결과를 기다립니다.</t>
        </is>
      </c>
    </row>
    <row r="269" ht="15" customHeight="1" s="11">
      <c r="A269" s="13" t="n">
        <v>268</v>
      </c>
      <c r="B269" s="13" t="n">
        <v>23</v>
      </c>
      <c r="C269" s="14">
        <f>INDEX('부작 목록'!$C$2:$C$96,B269)</f>
        <v/>
      </c>
      <c r="D269" s="14" t="inlineStr">
        <is>
          <t>B 카를로스 사건집</t>
        </is>
      </c>
      <c r="E269" s="13" t="n">
        <v>11381</v>
      </c>
      <c r="F269" s="13" t="n">
        <v>47</v>
      </c>
      <c r="G269" s="15" t="inlineStr">
        <is>
          <t>다음 날, 압수수색 결과가 전해집니다. 문서 속에서 '아드리안 로셀로'라는 이름이 처음 등장하고, 알바로는 이메일 서명 'A.'와의 연관성을 떠올립니다.</t>
        </is>
      </c>
    </row>
    <row r="270" ht="15" customHeight="1" s="11">
      <c r="A270" s="13" t="n">
        <v>269</v>
      </c>
      <c r="B270" s="13" t="n">
        <v>23</v>
      </c>
      <c r="C270" s="14">
        <f>INDEX('부작 목록'!$C$2:$C$96,B270)</f>
        <v/>
      </c>
      <c r="D270" s="14" t="inlineStr">
        <is>
          <t>B 카를로스 사건집</t>
        </is>
      </c>
      <c r="E270" s="13" t="n">
        <v>11430</v>
      </c>
      <c r="F270" s="13" t="n">
        <v>49</v>
      </c>
      <c r="G270" s="15" t="inlineStr">
        <is>
          <t>압수 자료를 근거로, 검찰이 에스키벨 전 장관에 대한 정식 수사를 개시합니다. 카를로스는 무엇을 언제 보도할 수 있는지 선을 분명히 긋습니다.</t>
        </is>
      </c>
    </row>
    <row r="271" ht="15" customHeight="1" s="11">
      <c r="A271" s="13" t="n">
        <v>270</v>
      </c>
      <c r="B271" s="13" t="n">
        <v>23</v>
      </c>
      <c r="C271" s="14">
        <f>INDEX('부작 목록'!$C$2:$C$96,B271)</f>
        <v/>
      </c>
      <c r="D271" s="14" t="inlineStr">
        <is>
          <t>B 카를로스 사건집</t>
        </is>
      </c>
      <c r="E271" s="13" t="n">
        <v>11481</v>
      </c>
      <c r="F271" s="13" t="n">
        <v>47</v>
      </c>
      <c r="G271" s="15" t="inlineStr">
        <is>
          <t>알바로가 하비에르에게 소식을 전하며, 함께 최종 보도를 준비합니다. 기사 구성, 익명 취재원 보호, 로셀로라는 이름을 다루는 원칙까지 하나하나 정합니다.</t>
        </is>
      </c>
    </row>
    <row r="272" ht="15" customHeight="1" s="11">
      <c r="A272" s="13" t="n">
        <v>271</v>
      </c>
      <c r="B272" s="13" t="n">
        <v>23</v>
      </c>
      <c r="C272" s="14">
        <f>INDEX('부작 목록'!$C$2:$C$96,B272)</f>
        <v/>
      </c>
      <c r="D272" s="14" t="inlineStr">
        <is>
          <t>B 카를로스 사건집</t>
        </is>
      </c>
      <c r="E272" s="13" t="n">
        <v>11530</v>
      </c>
      <c r="F272" s="13" t="n">
        <v>49</v>
      </c>
      <c r="G272" s="15" t="inlineStr">
        <is>
          <t>보도가 나간 뒤, 국내외에서 큰 반향이 일어납니다. 알바로는 기쁨 속에서도 그 목소리가 말한 '30년의 인내'를 떨쳐내지 못합니다.</t>
        </is>
      </c>
    </row>
    <row r="273" ht="15" customHeight="1" s="11">
      <c r="A273" s="13" t="n">
        <v>272</v>
      </c>
      <c r="B273" s="13" t="n">
        <v>23</v>
      </c>
      <c r="C273" s="14">
        <f>INDEX('부작 목록'!$C$2:$C$96,B273)</f>
        <v/>
      </c>
      <c r="D273" s="14" t="inlineStr">
        <is>
          <t>B 카를로스 사건집</t>
        </is>
      </c>
      <c r="E273" s="13" t="n">
        <v>11581</v>
      </c>
      <c r="F273" s="13" t="n">
        <v>53</v>
      </c>
      <c r="G273" s="15" t="inlineStr">
        <is>
          <t>며칠 후, 알바로·하비에르·카를로스가 카를로스의 차 안에서 조용히 만나 이 긴 여정을 정리합니다. 경호는 당분간 유지되고, 세 사람은 로셀로와 루에다를 향한 다음 걸음을 이야기합니다.</t>
        </is>
      </c>
    </row>
    <row r="274" ht="15" customHeight="1" s="11">
      <c r="A274" s="13" t="n">
        <v>273</v>
      </c>
      <c r="B274" s="13" t="n">
        <v>24</v>
      </c>
      <c r="C274" s="14">
        <f>INDEX('부작 목록'!$C$2:$C$96,B274)</f>
        <v/>
      </c>
      <c r="D274" s="14" t="inlineStr">
        <is>
          <t>B 카를로스 사건집</t>
        </is>
      </c>
      <c r="E274" s="13" t="n">
        <v>11636</v>
      </c>
      <c r="F274" s="13" t="n">
        <v>16</v>
      </c>
      <c r="G274" s="15" t="inlineStr">
        <is>
          <t>새로운 작전. 카를로스가 알바로에게 '가짜 주권 클라우드' 사건을 제안합니다. 스페인 공공기관 데이터를 EU 역내에만 저장한다고 광고해온 기업 '누베 이베리카'가, 실제로는 데이터를 역외로 우회시키고 있다는 의혹입니다.</t>
        </is>
      </c>
    </row>
    <row r="275" ht="15" customHeight="1" s="11">
      <c r="A275" s="13" t="n">
        <v>274</v>
      </c>
      <c r="B275" s="13" t="n">
        <v>24</v>
      </c>
      <c r="C275" s="14">
        <f>INDEX('부작 목록'!$C$2:$C$96,B275)</f>
        <v/>
      </c>
      <c r="D275" s="14" t="inlineStr">
        <is>
          <t>B 카를로스 사건집</t>
        </is>
      </c>
      <c r="E275" s="13" t="n">
        <v>11655</v>
      </c>
      <c r="F275" s="13" t="n">
        <v>14</v>
      </c>
      <c r="G275" s="15" t="inlineStr">
        <is>
          <t>기술 전문가 마르코스 우트레로가 알바로에게 클라우드 인프라와 데이터 주권 관련 지식을 속성으로 가르칩니다.</t>
        </is>
      </c>
    </row>
    <row r="276" ht="15" customHeight="1" s="11">
      <c r="A276" s="13" t="n">
        <v>275</v>
      </c>
      <c r="B276" s="13" t="n">
        <v>24</v>
      </c>
      <c r="C276" s="14">
        <f>INDEX('부작 목록'!$C$2:$C$96,B276)</f>
        <v/>
      </c>
      <c r="D276" s="14" t="inlineStr">
        <is>
          <t>B 카를로스 사건집</t>
        </is>
      </c>
      <c r="E276" s="13" t="n">
        <v>11671</v>
      </c>
      <c r="F276" s="13" t="n">
        <v>10</v>
      </c>
      <c r="G276" s="15" t="inlineStr">
        <is>
          <t>알바로가 컨설턴트 신분으로 누베 이베리카 본사에 출입합니다. 이번에는 새로 만든 위장 신분 '세르히오 알칸타라'를 씁니다. 기술이사 헤라르도 몰리나가 그를 맞이합니다.</t>
        </is>
      </c>
    </row>
    <row r="277" ht="15" customHeight="1" s="11">
      <c r="A277" s="13" t="n">
        <v>276</v>
      </c>
      <c r="B277" s="13" t="n">
        <v>24</v>
      </c>
      <c r="C277" s="14">
        <f>INDEX('부작 목록'!$C$2:$C$96,B277)</f>
        <v/>
      </c>
      <c r="D277" s="14" t="inlineStr">
        <is>
          <t>B 카를로스 사건집</t>
        </is>
      </c>
      <c r="E277" s="13" t="n">
        <v>11684</v>
      </c>
      <c r="F277" s="13" t="n">
        <v>8</v>
      </c>
      <c r="G277" s="15" t="inlineStr">
        <is>
          <t>알바로가 네트워크 트래픽 기록을 요청하지만, 접근 권한은 '검증 중'이라는 이유로 계속 미뤄집니다. 마르코스는 외부에서 직접 측정을 시작하자고 제안합니다.</t>
        </is>
      </c>
    </row>
    <row r="278" ht="15" customHeight="1" s="11">
      <c r="A278" s="13" t="n">
        <v>277</v>
      </c>
      <c r="B278" s="13" t="n">
        <v>24</v>
      </c>
      <c r="C278" s="14">
        <f>INDEX('부작 목록'!$C$2:$C$96,B278)</f>
        <v/>
      </c>
      <c r="D278" s="14" t="inlineStr">
        <is>
          <t>B 카를로스 사건집</t>
        </is>
      </c>
      <c r="E278" s="13" t="n">
        <v>11694</v>
      </c>
      <c r="F278" s="13" t="n">
        <v>13</v>
      </c>
      <c r="G278" s="15" t="inlineStr">
        <is>
          <t>알바로가 시스템 엔지니어 사무엘 로카와 자연스럽게 대화를 나누며 정보를 캐냅니다.</t>
        </is>
      </c>
    </row>
    <row r="279" ht="15" customHeight="1" s="11">
      <c r="A279" s="13" t="n">
        <v>278</v>
      </c>
      <c r="B279" s="13" t="n">
        <v>24</v>
      </c>
      <c r="C279" s="14">
        <f>INDEX('부작 목록'!$C$2:$C$96,B279)</f>
        <v/>
      </c>
      <c r="D279" s="14" t="inlineStr">
        <is>
          <t>B 카를로스 사건집</t>
        </is>
      </c>
      <c r="E279" s="13" t="n">
        <v>11709</v>
      </c>
      <c r="F279" s="13" t="n">
        <v>10</v>
      </c>
      <c r="G279" s="15" t="inlineStr">
        <is>
          <t>알바로가 카를로스에게 사무엘과의 대화 내용을 보고합니다.</t>
        </is>
      </c>
    </row>
    <row r="280" ht="15" customHeight="1" s="11">
      <c r="A280" s="13" t="n">
        <v>279</v>
      </c>
      <c r="B280" s="13" t="n">
        <v>24</v>
      </c>
      <c r="C280" s="14">
        <f>INDEX('부작 목록'!$C$2:$C$96,B280)</f>
        <v/>
      </c>
      <c r="D280" s="14" t="inlineStr">
        <is>
          <t>B 카를로스 사건집</t>
        </is>
      </c>
      <c r="E280" s="13" t="n">
        <v>11722</v>
      </c>
      <c r="F280" s="13" t="n">
        <v>11</v>
      </c>
      <c r="G280" s="15" t="inlineStr">
        <is>
          <t>알바로가 헤라르도에게 외부 컨설팅 계약서를 요청하며 반응을 살핍니다.</t>
        </is>
      </c>
    </row>
    <row r="281" ht="15" customHeight="1" s="11">
      <c r="A281" s="13" t="n">
        <v>280</v>
      </c>
      <c r="B281" s="13" t="n">
        <v>24</v>
      </c>
      <c r="C281" s="14">
        <f>INDEX('부작 목록'!$C$2:$C$96,B281)</f>
        <v/>
      </c>
      <c r="D281" s="14" t="inlineStr">
        <is>
          <t>B 카를로스 사건집</t>
        </is>
      </c>
      <c r="E281" s="13" t="n">
        <v>11735</v>
      </c>
      <c r="F281" s="13" t="n">
        <v>11</v>
      </c>
      <c r="G281" s="15" t="inlineStr">
        <is>
          <t>그날 밤, 알바로가 자신도 모르는 사이 위장 신분이 검증받고 있었다는 사실을 알게 됩니다.</t>
        </is>
      </c>
    </row>
    <row r="282" ht="15" customHeight="1" s="11">
      <c r="A282" s="13" t="n">
        <v>281</v>
      </c>
      <c r="B282" s="13" t="n">
        <v>24</v>
      </c>
      <c r="C282" s="14">
        <f>INDEX('부작 목록'!$C$2:$C$96,B282)</f>
        <v/>
      </c>
      <c r="D282" s="14" t="inlineStr">
        <is>
          <t>B 카를로스 사건집</t>
        </is>
      </c>
      <c r="E282" s="13" t="n">
        <v>11749</v>
      </c>
      <c r="F282" s="13" t="n">
        <v>11</v>
      </c>
      <c r="G282" s="15" t="inlineStr">
        <is>
          <t>며칠 후, 헤라르도가 마지못해 하는 얼굴로 알바로를 사무실로 불러, 신원 확인이 되지 않는다는 이유로 감사를 정중하게 종료합니다.</t>
        </is>
      </c>
    </row>
    <row r="283" ht="15" customHeight="1" s="11">
      <c r="A283" s="13" t="n">
        <v>282</v>
      </c>
      <c r="B283" s="13" t="n">
        <v>24</v>
      </c>
      <c r="C283" s="14">
        <f>INDEX('부작 목록'!$C$2:$C$96,B283)</f>
        <v/>
      </c>
      <c r="D283" s="14" t="inlineStr">
        <is>
          <t>B 카를로스 사건집</t>
        </is>
      </c>
      <c r="E283" s="13" t="n">
        <v>11762</v>
      </c>
      <c r="F283" s="13" t="n">
        <v>11</v>
      </c>
      <c r="G283" s="15" t="inlineStr">
        <is>
          <t>카를로스가 노르드링크 솔루션스에 대한 조사 결과를 전합니다. 그 이름은 감사에서 쫓겨난 알바로가 공공조달 문서의 하도급 부록에서 찾아낸 것입니다.</t>
        </is>
      </c>
    </row>
    <row r="284" ht="15" customHeight="1" s="11">
      <c r="A284" s="13" t="n">
        <v>283</v>
      </c>
      <c r="B284" s="13" t="n">
        <v>24</v>
      </c>
      <c r="C284" s="14">
        <f>INDEX('부작 목록'!$C$2:$C$96,B284)</f>
        <v/>
      </c>
      <c r="D284" s="14" t="inlineStr">
        <is>
          <t>B 카를로스 사건집</t>
        </is>
      </c>
      <c r="E284" s="13" t="n">
        <v>11775</v>
      </c>
      <c r="F284" s="13" t="n">
        <v>10</v>
      </c>
      <c r="G284" s="15" t="inlineStr">
        <is>
          <t>다음 날, 헤라르도가 알바로를 내보낸 그 회사를, 마르코스는 바깥에서 들여다봅니다. 외부에서 측정한 트래픽과 지연시간 분석 결과가 나옵니다.</t>
        </is>
      </c>
    </row>
    <row r="285" ht="15" customHeight="1" s="11">
      <c r="A285" s="13" t="n">
        <v>284</v>
      </c>
      <c r="B285" s="13" t="n">
        <v>24</v>
      </c>
      <c r="C285" s="14">
        <f>INDEX('부작 목록'!$C$2:$C$96,B285)</f>
        <v/>
      </c>
      <c r="D285" s="14" t="inlineStr">
        <is>
          <t>B 카를로스 사건집</t>
        </is>
      </c>
      <c r="E285" s="13" t="n">
        <v>11788</v>
      </c>
      <c r="F285" s="13" t="n">
        <v>9</v>
      </c>
      <c r="G285" s="15" t="inlineStr">
        <is>
          <t>알바로가 카를로스에게 상황을 보고하며, 회사를 떠난 전직 엔지니어 이레네를 찾아보자고 제안합니다. 보안 기관과의 재계약 서명까지 시간이 촉박합니다.</t>
        </is>
      </c>
    </row>
    <row r="286" ht="15" customHeight="1" s="11">
      <c r="A286" s="13" t="n">
        <v>285</v>
      </c>
      <c r="B286" s="13" t="n">
        <v>24</v>
      </c>
      <c r="C286" s="14">
        <f>INDEX('부작 목록'!$C$2:$C$96,B286)</f>
        <v/>
      </c>
      <c r="D286" s="14" t="inlineStr">
        <is>
          <t>B 카를로스 사건집</t>
        </is>
      </c>
      <c r="E286" s="13" t="n">
        <v>11799</v>
      </c>
      <c r="F286" s="13" t="n">
        <v>10</v>
      </c>
      <c r="G286" s="15" t="inlineStr">
        <is>
          <t>그날 밤, 알바로가 늦게까지 문을 여는 카페에서 누베 이베리카의 전직 엔지니어 이레네 바스티다를 만납니다.</t>
        </is>
      </c>
    </row>
    <row r="287" ht="15" customHeight="1" s="11">
      <c r="A287" s="13" t="n">
        <v>286</v>
      </c>
      <c r="B287" s="13" t="n">
        <v>24</v>
      </c>
      <c r="C287" s="14">
        <f>INDEX('부작 목록'!$C$2:$C$96,B287)</f>
        <v/>
      </c>
      <c r="D287" s="14" t="inlineStr">
        <is>
          <t>B 카를로스 사건집</t>
        </is>
      </c>
      <c r="E287" s="13" t="n">
        <v>11812</v>
      </c>
      <c r="F287" s="13" t="n">
        <v>10</v>
      </c>
      <c r="G287" s="15" t="inlineStr">
        <is>
          <t>다음 날, 카를로스와 마르코스가 알바로와 함께 지금까지 모은 증거—공공조달 문서, 외부 트래픽 측정, 이레네의 메모—를 맞춰 봅니다.</t>
        </is>
      </c>
    </row>
    <row r="288" ht="15" customHeight="1" s="11">
      <c r="A288" s="13" t="n">
        <v>287</v>
      </c>
      <c r="B288" s="13" t="n">
        <v>24</v>
      </c>
      <c r="C288" s="14">
        <f>INDEX('부작 목록'!$C$2:$C$96,B288)</f>
        <v/>
      </c>
      <c r="D288" s="14" t="inlineStr">
        <is>
          <t>B 카를로스 사건집</t>
        </is>
      </c>
      <c r="E288" s="13" t="n">
        <v>11824</v>
      </c>
      <c r="F288" s="13" t="n">
        <v>11</v>
      </c>
      <c r="G288" s="15" t="inlineStr">
        <is>
          <t>판사의 승인을 받아, 누베 이베리카 본사에 대한 개입이 이뤄집니다. 알바로는 현장 대신 휴대폰 속보로 소식을 접합니다.</t>
        </is>
      </c>
    </row>
    <row r="289" ht="15" customHeight="1" s="11">
      <c r="A289" s="13" t="n">
        <v>288</v>
      </c>
      <c r="B289" s="13" t="n">
        <v>24</v>
      </c>
      <c r="C289" s="14">
        <f>INDEX('부작 목록'!$C$2:$C$96,B289)</f>
        <v/>
      </c>
      <c r="D289" s="14" t="inlineStr">
        <is>
          <t>B 카를로스 사건집</t>
        </is>
      </c>
      <c r="E289" s="13" t="n">
        <v>11838</v>
      </c>
      <c r="F289" s="13" t="n">
        <v>12</v>
      </c>
      <c r="G289" s="15" t="inlineStr">
        <is>
          <t>며칠 후, 카를로스가 배후에 대한 최종 정보를 전합니다.</t>
        </is>
      </c>
    </row>
    <row r="290" ht="15" customHeight="1" s="11">
      <c r="A290" s="13" t="n">
        <v>289</v>
      </c>
      <c r="B290" s="13" t="n">
        <v>24</v>
      </c>
      <c r="C290" s="14">
        <f>INDEX('부작 목록'!$C$2:$C$96,B290)</f>
        <v/>
      </c>
      <c r="D290" s="14" t="inlineStr">
        <is>
          <t>B 카를로스 사건집</t>
        </is>
      </c>
      <c r="E290" s="13" t="n">
        <v>11853</v>
      </c>
      <c r="F290" s="13" t="n">
        <v>5</v>
      </c>
      <c r="G290" s="15" t="inlineStr">
        <is>
          <t>알바로가 하비에르에게 이번 사건의 1차 결과를 짧게 알립니다. 수사가 계속되는 동안 보도는 보류됩니다.</t>
        </is>
      </c>
    </row>
    <row r="291" ht="15" customHeight="1" s="11">
      <c r="A291" s="13" t="n">
        <v>290</v>
      </c>
      <c r="B291" s="13" t="n">
        <v>24</v>
      </c>
      <c r="C291" s="14">
        <f>INDEX('부작 목록'!$C$2:$C$96,B291)</f>
        <v/>
      </c>
      <c r="D291" s="14" t="inlineStr">
        <is>
          <t>B 카를로스 사건집</t>
        </is>
      </c>
      <c r="E291" s="13" t="n">
        <v>11860</v>
      </c>
      <c r="F291" s="13" t="n">
        <v>6</v>
      </c>
      <c r="G291" s="15" t="inlineStr">
        <is>
          <t>며칠 후, 알바로·카를로스·마르코스가 경찰청 근처 카페에서 잠깐 만납니다. 아직 끝난 사건이 아니어서 축하는 뒤로 미룹니다.</t>
        </is>
      </c>
    </row>
    <row r="292" ht="15" customHeight="1" s="11">
      <c r="A292" s="13" t="n">
        <v>291</v>
      </c>
      <c r="B292" s="13" t="n">
        <v>24</v>
      </c>
      <c r="C292" s="14">
        <f>INDEX('부작 목록'!$C$2:$C$96,B292)</f>
        <v/>
      </c>
      <c r="D292" s="14" t="inlineStr">
        <is>
          <t>B 카를로스 사건집</t>
        </is>
      </c>
      <c r="E292" s="13" t="n">
        <v>11869</v>
      </c>
      <c r="F292" s="13" t="n">
        <v>31</v>
      </c>
      <c r="G292" s="15" t="inlineStr">
        <is>
          <t>체포 이후, 헤라르도 몰리나가 수사에 전면 협조하며 예상보다 훨씬 큰 그림을 드러냅니다.</t>
        </is>
      </c>
    </row>
    <row r="293" ht="41.75" customHeight="1" s="11">
      <c r="A293" s="13" t="n">
        <v>292</v>
      </c>
      <c r="B293" s="13" t="n">
        <v>24</v>
      </c>
      <c r="C293" s="14">
        <f>INDEX('부작 목록'!$C$2:$C$96,B293)</f>
        <v/>
      </c>
      <c r="D293" s="14" t="inlineStr">
        <is>
          <t>B 카를로스 사건집</t>
        </is>
      </c>
      <c r="E293" s="13" t="n">
        <v>11904</v>
      </c>
      <c r="F293" s="13" t="n">
        <v>22</v>
      </c>
      <c r="G293" s="15" t="inlineStr">
        <is>
          <t>헤라르도의 이메일을 근거로, 카를로스가 포르투갈·이탈리아 정보기관과의 공조 회의를 주선합 니다. 알바로는 회의에 들어가지 않고, 나중에 카를로스에게 결과를 전해 듣습니다.</t>
        </is>
      </c>
    </row>
    <row r="294" ht="15" customHeight="1" s="11">
      <c r="A294" s="13" t="n">
        <v>293</v>
      </c>
      <c r="B294" s="13" t="n">
        <v>24</v>
      </c>
      <c r="C294" s="14">
        <f>INDEX('부작 목록'!$C$2:$C$96,B294)</f>
        <v/>
      </c>
      <c r="D294" s="14" t="inlineStr">
        <is>
          <t>B 카를로스 사건집</t>
        </is>
      </c>
      <c r="E294" s="13" t="n">
        <v>11929</v>
      </c>
      <c r="F294" s="13" t="n">
        <v>15</v>
      </c>
      <c r="G294" s="15" t="inlineStr">
        <is>
          <t>협조 중이던 헤라르도가 감옥 안에서 위협을 받으며 새로운 위기가 발생합니다.</t>
        </is>
      </c>
    </row>
    <row r="295" ht="15" customHeight="1" s="11">
      <c r="A295" s="13" t="n">
        <v>294</v>
      </c>
      <c r="B295" s="13" t="n">
        <v>24</v>
      </c>
      <c r="C295" s="14">
        <f>INDEX('부작 목록'!$C$2:$C$96,B295)</f>
        <v/>
      </c>
      <c r="D295" s="14" t="inlineStr">
        <is>
          <t>B 카를로스 사건집</t>
        </is>
      </c>
      <c r="E295" s="13" t="n">
        <v>11946</v>
      </c>
      <c r="F295" s="13" t="n">
        <v>7</v>
      </c>
      <c r="G295" s="15" t="inlineStr">
        <is>
          <t>몇 주간의 준비 끝에, 스페인·포르투갈·이탈리아가 동시에 관련 기업들을 급습합니다. 알바로는 뉴스 속보와 카를로스의 전화로 소식을 듣습니다.</t>
        </is>
      </c>
    </row>
    <row r="296" ht="15" customHeight="1" s="11">
      <c r="A296" s="13" t="n">
        <v>295</v>
      </c>
      <c r="B296" s="13" t="n">
        <v>24</v>
      </c>
      <c r="C296" s="14">
        <f>INDEX('부작 목록'!$C$2:$C$96,B296)</f>
        <v/>
      </c>
      <c r="D296" s="14" t="inlineStr">
        <is>
          <t>B 카를로스 사건집</t>
        </is>
      </c>
      <c r="E296" s="13" t="n">
        <v>11955</v>
      </c>
      <c r="F296" s="13" t="n">
        <v>17</v>
      </c>
      <c r="G296" s="15" t="inlineStr">
        <is>
          <t>며칠 후, 마르코스와 카를로스가 압수된 서버 장비 분석 결과를 알바로와 공유합니다.</t>
        </is>
      </c>
    </row>
    <row r="297" ht="15" customHeight="1" s="11">
      <c r="A297" s="13" t="n">
        <v>296</v>
      </c>
      <c r="B297" s="13" t="n">
        <v>24</v>
      </c>
      <c r="C297" s="14">
        <f>INDEX('부작 목록'!$C$2:$C$96,B297)</f>
        <v/>
      </c>
      <c r="D297" s="14" t="inlineStr">
        <is>
          <t>B 카를로스 사건집</t>
        </is>
      </c>
      <c r="E297" s="13" t="n">
        <v>11975</v>
      </c>
      <c r="F297" s="13" t="n">
        <v>16</v>
      </c>
      <c r="G297" s="15" t="inlineStr">
        <is>
          <t>알바로가 하비에르에게 이번 국제 사건의 전모를 상세히 설명합니다.</t>
        </is>
      </c>
    </row>
    <row r="298" ht="15" customHeight="1" s="11">
      <c r="A298" s="13" t="n">
        <v>297</v>
      </c>
      <c r="B298" s="13" t="n">
        <v>24</v>
      </c>
      <c r="C298" s="14">
        <f>INDEX('부작 목록'!$C$2:$C$96,B298)</f>
        <v/>
      </c>
      <c r="D298" s="14" t="inlineStr">
        <is>
          <t>B 카를로스 사건집</t>
        </is>
      </c>
      <c r="E298" s="13" t="n">
        <v>11994</v>
      </c>
      <c r="F298" s="13" t="n">
        <v>17</v>
      </c>
      <c r="G298" s="15" t="inlineStr">
        <is>
          <t>몇 주 후, 알바로·카를로스가 법원 앞에서, 증언을 마치고 나온 이레네를 기다립니다. 축배는 없지만, 짧은 인사로 충분합니다.</t>
        </is>
      </c>
    </row>
    <row r="299" ht="15" customHeight="1" s="11">
      <c r="A299" s="13" t="n">
        <v>298</v>
      </c>
      <c r="B299" s="13" t="n">
        <v>24</v>
      </c>
      <c r="C299" s="14">
        <f>INDEX('부작 목록'!$C$2:$C$96,B299)</f>
        <v/>
      </c>
      <c r="D299" s="14" t="inlineStr">
        <is>
          <t>B 카를로스 사건집</t>
        </is>
      </c>
      <c r="E299" s="13" t="n">
        <v>12014</v>
      </c>
      <c r="F299" s="13" t="n">
        <v>25</v>
      </c>
      <c r="G299" s="15" t="inlineStr">
        <is>
          <t>몇 주 후, 카를로스가 알바로에게 이번 사건이 남긴 정책적 여파를 설명합니다. 그날 밤 알바로는 새 인증 기준을 읽으며 마르코스와 짧게 통화합니다.</t>
        </is>
      </c>
    </row>
    <row r="300" ht="15" customHeight="1" s="11">
      <c r="A300" s="13" t="n">
        <v>299</v>
      </c>
      <c r="B300" s="13" t="n">
        <v>25</v>
      </c>
      <c r="C300" s="14">
        <f>INDEX('부작 목록'!$C$2:$C$96,B300)</f>
        <v/>
      </c>
      <c r="D300" s="14" t="inlineStr">
        <is>
          <t>B 카를로스 사건집</t>
        </is>
      </c>
      <c r="E300" s="13" t="n">
        <v>12042</v>
      </c>
      <c r="F300" s="13" t="n">
        <v>49</v>
      </c>
      <c r="G300" s="15" t="inlineStr">
        <is>
          <t>새로운 취재. 하비에르가 노동인권 NGO '푼다시온 암파로'로부터 제보를 받습니다. 남부 스페인의 한 채소 농장 지대에서 이주노동자들이 빚에 묶여 사실상 강제노동을 당하고 있다는 내용입니다. 루벤은 몇 달간 모은 증언과 전단, 한 전직 노동자가 그린 숙소 도면을 하비에르에게 보여 줍니다.</t>
        </is>
      </c>
    </row>
    <row r="301" ht="15" customHeight="1" s="11">
      <c r="A301" s="13" t="n">
        <v>300</v>
      </c>
      <c r="B301" s="13" t="n">
        <v>25</v>
      </c>
      <c r="C301" s="14">
        <f>INDEX('부작 목록'!$C$2:$C$96,B301)</f>
        <v/>
      </c>
      <c r="D301" s="14" t="inlineStr">
        <is>
          <t>B 카를로스 사건집</t>
        </is>
      </c>
      <c r="E301" s="13" t="n">
        <v>12093</v>
      </c>
      <c r="F301" s="13" t="n">
        <v>46</v>
      </c>
      <c r="G301" s="15" t="inlineStr">
        <is>
          <t>하비에르가 알바로에게 사건을 전하며, 이번엔 노동자로 위장 취업하는 방식을 논의합니다. 두 사람은 위장 신분 '마놀로 레케나'의 이력과 연락 방법, 안전 기한까지 하나씩 정합니다.</t>
        </is>
      </c>
    </row>
    <row r="302" ht="15" customHeight="1" s="11">
      <c r="A302" s="13" t="n">
        <v>301</v>
      </c>
      <c r="B302" s="13" t="n">
        <v>25</v>
      </c>
      <c r="C302" s="14">
        <f>INDEX('부작 목록'!$C$2:$C$96,B302)</f>
        <v/>
      </c>
      <c r="D302" s="14" t="inlineStr">
        <is>
          <t>B 카를로스 사건집</t>
        </is>
      </c>
      <c r="E302" s="13" t="n">
        <v>12141</v>
      </c>
      <c r="F302" s="13" t="n">
        <v>49</v>
      </c>
      <c r="G302" s="15" t="inlineStr">
        <is>
          <t>알바로가 위장 신분 '마놀로 레케나'로 마노스 세구라스 모집 사무소를 찾아갑니다. 채용 담당 오스왈도가 그를 맞이합니다. 오스왈도는 그의 이력을 슬쩍 떠보고, 계약서를 제대로 읽을 틈도 주지 않습니다.</t>
        </is>
      </c>
    </row>
    <row r="303" ht="15" customHeight="1" s="11">
      <c r="A303" s="13" t="n">
        <v>302</v>
      </c>
      <c r="B303" s="13" t="n">
        <v>25</v>
      </c>
      <c r="C303" s="14">
        <f>INDEX('부작 목록'!$C$2:$C$96,B303)</f>
        <v/>
      </c>
      <c r="D303" s="14" t="inlineStr">
        <is>
          <t>B 카를로스 사건집</t>
        </is>
      </c>
      <c r="E303" s="13" t="n">
        <v>12192</v>
      </c>
      <c r="F303" s="13" t="n">
        <v>51</v>
      </c>
      <c r="G303" s="15" t="inlineStr">
        <is>
          <t>다음 날 새벽, 알바로가 다른 노동자들과 함께 농장에 도착합니다. 열악한 실태를 처음 목격합니다. 승합차에 오르기 전에 여권부터 거두어 가고, 비닐하우스 안은 아침부터 찜통입니다.</t>
        </is>
      </c>
    </row>
    <row r="304" ht="15" customHeight="1" s="11">
      <c r="A304" s="13" t="n">
        <v>303</v>
      </c>
      <c r="B304" s="13" t="n">
        <v>25</v>
      </c>
      <c r="C304" s="14">
        <f>INDEX('부작 목록'!$C$2:$C$96,B304)</f>
        <v/>
      </c>
      <c r="D304" s="14" t="inlineStr">
        <is>
          <t>B 카를로스 사건집</t>
        </is>
      </c>
      <c r="E304" s="13" t="n">
        <v>12245</v>
      </c>
      <c r="F304" s="13" t="n">
        <v>45</v>
      </c>
      <c r="G304" s="15" t="inlineStr">
        <is>
          <t>그날 밤, 숙소에서 알바로가 다른 노동자들과 이야기를 나누며 실태를 더 파악합니다. 한 노동자가 매트리스 밑에 숨겨 둔 공책에는 설명 없는 공제 항목들이 빼곡합니다.</t>
        </is>
      </c>
    </row>
    <row r="305" ht="15" customHeight="1" s="11">
      <c r="A305" s="13" t="n">
        <v>304</v>
      </c>
      <c r="B305" s="13" t="n">
        <v>25</v>
      </c>
      <c r="C305" s="14">
        <f>INDEX('부작 목록'!$C$2:$C$96,B305)</f>
        <v/>
      </c>
      <c r="D305" s="14" t="inlineStr">
        <is>
          <t>B 카를로스 사건집</t>
        </is>
      </c>
      <c r="E305" s="13" t="n">
        <v>12292</v>
      </c>
      <c r="F305" s="13" t="n">
        <v>48</v>
      </c>
      <c r="G305" s="15" t="inlineStr">
        <is>
          <t>다음 날, 알바로가 감독관 페드로 사엔스와 처음으로 긴장된 상황을 겪습니다. 페드로는 상자 무게와 휴대전화를 따지고, 쓰러진 노동자를 거칠게 다루며, 퇴근길에는 가방까지 뒤집니다.</t>
        </is>
      </c>
    </row>
    <row r="306" ht="15" customHeight="1" s="11">
      <c r="A306" s="13" t="n">
        <v>305</v>
      </c>
      <c r="B306" s="13" t="n">
        <v>25</v>
      </c>
      <c r="C306" s="14">
        <f>INDEX('부작 목록'!$C$2:$C$96,B306)</f>
        <v/>
      </c>
      <c r="D306" s="14" t="inlineStr">
        <is>
          <t>B 카를로스 사건집</t>
        </is>
      </c>
      <c r="E306" s="13" t="n">
        <v>12342</v>
      </c>
      <c r="F306" s="13" t="n">
        <v>48</v>
      </c>
      <c r="G306" s="15" t="inlineStr">
        <is>
          <t>며칠 후, 알바로가 몰래 마을 상점 전화를 빌려 하비에르에게 상황을 전합니다. 토요일 오후 한 시간의 외출, 광장에서는 에이전시 사람이 담배를 피우며 노동자들을 지켜봅니다.</t>
        </is>
      </c>
    </row>
    <row r="307" ht="15" customHeight="1" s="11">
      <c r="A307" s="13" t="n">
        <v>306</v>
      </c>
      <c r="B307" s="13" t="n">
        <v>25</v>
      </c>
      <c r="C307" s="14">
        <f>INDEX('부작 목록'!$C$2:$C$96,B307)</f>
        <v/>
      </c>
      <c r="D307" s="14" t="inlineStr">
        <is>
          <t>B 카를로스 사건집</t>
        </is>
      </c>
      <c r="E307" s="13" t="n">
        <v>12392</v>
      </c>
      <c r="F307" s="13" t="n">
        <v>47</v>
      </c>
      <c r="G307" s="15" t="inlineStr">
        <is>
          <t>하비에르가 루벤에게 알바로의 보고 내용을 전하며, 실종된 노동자에 대한 대응을 논의합니다. 두 사람은 비상 신호와, 이번에는 사전 통보 없는 동시 점검이 필요하다는 데 뜻을 모읍니다.</t>
        </is>
      </c>
    </row>
    <row r="308" ht="15" customHeight="1" s="11">
      <c r="A308" s="13" t="n">
        <v>307</v>
      </c>
      <c r="B308" s="13" t="n">
        <v>25</v>
      </c>
      <c r="C308" s="14">
        <f>INDEX('부작 목록'!$C$2:$C$96,B308)</f>
        <v/>
      </c>
      <c r="D308" s="14" t="inlineStr">
        <is>
          <t>B 카를로스 사건집</t>
        </is>
      </c>
      <c r="E308" s="13" t="n">
        <v>12441</v>
      </c>
      <c r="F308" s="13" t="n">
        <v>48</v>
      </c>
      <c r="G308" s="15" t="inlineStr">
        <is>
          <t>알바로가 급여명세서 문제로 사무소를 다시 찾아가 오스왈도와 대화하며, 조직 규모를 파악합니다. 벽에 걸린 지도의 핀과 무심코 엿들은 전화 한 통이 조직의 규모를 짐작하게 합니다.</t>
        </is>
      </c>
    </row>
    <row r="309" ht="15" customHeight="1" s="11">
      <c r="A309" s="13" t="n">
        <v>308</v>
      </c>
      <c r="B309" s="13" t="n">
        <v>25</v>
      </c>
      <c r="C309" s="14">
        <f>INDEX('부작 목록'!$C$2:$C$96,B309)</f>
        <v/>
      </c>
      <c r="D309" s="14" t="inlineStr">
        <is>
          <t>B 카를로스 사건집</t>
        </is>
      </c>
      <c r="E309" s="13" t="n">
        <v>12491</v>
      </c>
      <c r="F309" s="13" t="n">
        <v>56</v>
      </c>
      <c r="G309" s="15" t="inlineStr">
        <is>
          <t>밤에, 알바로가 트라바하도르3과 실종된 동료에 대해 좀 더 깊이 이야기를 나눕니다. 숙소 뒤편, 빈 비료 포대 위에 앉아 낮은 목소리로 이야기하는 동안, 다른 노동자들은 이미 잠들어 있습니다.</t>
        </is>
      </c>
    </row>
    <row r="310" ht="15" customHeight="1" s="11">
      <c r="A310" s="13" t="n">
        <v>309</v>
      </c>
      <c r="B310" s="13" t="n">
        <v>25</v>
      </c>
      <c r="C310" s="14">
        <f>INDEX('부작 목록'!$C$2:$C$96,B310)</f>
        <v/>
      </c>
      <c r="D310" s="14" t="inlineStr">
        <is>
          <t>B 카를로스 사건집</t>
        </is>
      </c>
      <c r="E310" s="13" t="n">
        <v>12549</v>
      </c>
      <c r="F310" s="13" t="n">
        <v>45</v>
      </c>
      <c r="G310" s="15" t="inlineStr">
        <is>
          <t>알바로가 몰래 숨겨둔 소형 카메라로 숙소와 임금대장을 촬영합니다. 새벽 네 시, 모두가 잠든 틈을 타 움직이지만, 하마터면 들킬 뻔합니다.</t>
        </is>
      </c>
    </row>
    <row r="311" ht="15" customHeight="1" s="11">
      <c r="A311" s="13" t="n">
        <v>310</v>
      </c>
      <c r="B311" s="13" t="n">
        <v>25</v>
      </c>
      <c r="C311" s="14">
        <f>INDEX('부작 목록'!$C$2:$C$96,B311)</f>
        <v/>
      </c>
      <c r="D311" s="14" t="inlineStr">
        <is>
          <t>B 카를로스 사건집</t>
        </is>
      </c>
      <c r="E311" s="13" t="n">
        <v>12596</v>
      </c>
      <c r="F311" s="13" t="n">
        <v>49</v>
      </c>
      <c r="G311" s="15" t="inlineStr">
        <is>
          <t>며칠 후, 알바로가 마을에서 잠시 짬을 내 하비에르에게 증거 자료를 전달합니다. 일요일 오후, 광장의 작은 바에서 두 사람은 서로 모르는 사람인 척합니다.</t>
        </is>
      </c>
    </row>
    <row r="312" ht="28.35" customHeight="1" s="11">
      <c r="A312" s="13" t="n">
        <v>311</v>
      </c>
      <c r="B312" s="13" t="n">
        <v>25</v>
      </c>
      <c r="C312" s="14">
        <f>INDEX('부작 목록'!$C$2:$C$96,B312)</f>
        <v/>
      </c>
      <c r="D312" s="14" t="inlineStr">
        <is>
          <t>B 카를로스 사건집</t>
        </is>
      </c>
      <c r="E312" s="13" t="n">
        <v>12647</v>
      </c>
      <c r="F312" s="13" t="n">
        <v>49</v>
      </c>
      <c r="G312" s="15" t="inlineStr">
        <is>
          <t>며칠 후, 한 노동자가 작업 중 다쳐 아무런 의료 지원도 받지 못하는 상황이 벌어집니다. 한낮의 비닐하우스 안은 숨이 막힐 만큼 뜨겁습니다.</t>
        </is>
      </c>
    </row>
    <row r="313" ht="15" customHeight="1" s="11">
      <c r="A313" s="13" t="n">
        <v>312</v>
      </c>
      <c r="B313" s="13" t="n">
        <v>25</v>
      </c>
      <c r="C313" s="14">
        <f>INDEX('부작 목록'!$C$2:$C$96,B313)</f>
        <v/>
      </c>
      <c r="D313" s="14" t="inlineStr">
        <is>
          <t>B 카를로스 사건집</t>
        </is>
      </c>
      <c r="E313" s="13" t="n">
        <v>12698</v>
      </c>
      <c r="F313" s="13" t="n">
        <v>47</v>
      </c>
      <c r="G313" s="15" t="inlineStr">
        <is>
          <t>그날 밤, 부상당한 노동자의 상태가 악화되며 알바로가 결단을 내립니다. 약속했던 '평가'는 끝내 이루어지지 않습니다.</t>
        </is>
      </c>
    </row>
    <row r="314" ht="15" customHeight="1" s="11">
      <c r="A314" s="13" t="n">
        <v>313</v>
      </c>
      <c r="B314" s="13" t="n">
        <v>25</v>
      </c>
      <c r="C314" s="14">
        <f>INDEX('부작 목록'!$C$2:$C$96,B314)</f>
        <v/>
      </c>
      <c r="D314" s="14" t="inlineStr">
        <is>
          <t>B 카를로스 사건집</t>
        </is>
      </c>
      <c r="E314" s="13" t="n">
        <v>12747</v>
      </c>
      <c r="F314" s="13" t="n">
        <v>45</v>
      </c>
      <c r="G314" s="15" t="inlineStr">
        <is>
          <t>알바로가 부상당한 트라바하도르1을 인근 병원으로 데려가며, 차를 빌려준 이웃의 휴대전화로 하비에르에게 긴급 연락합니다.</t>
        </is>
      </c>
    </row>
    <row r="315" ht="15" customHeight="1" s="11">
      <c r="A315" s="13" t="n">
        <v>314</v>
      </c>
      <c r="B315" s="13" t="n">
        <v>25</v>
      </c>
      <c r="C315" s="14">
        <f>INDEX('부작 목록'!$C$2:$C$96,B315)</f>
        <v/>
      </c>
      <c r="D315" s="14" t="inlineStr">
        <is>
          <t>B 카를로스 사건집</t>
        </is>
      </c>
      <c r="E315" s="13" t="n">
        <v>12794</v>
      </c>
      <c r="F315" s="13" t="n">
        <v>49</v>
      </c>
      <c r="G315" s="15" t="inlineStr">
        <is>
          <t>병원에서 트라바하도르1(이제 실명으로 오마르라고 밝혀짐)의 상태를 확인하고, 향후 보호 방안을 논의합니다. 알바로도 처음으로 자신의 진짜 정체를 털어놓습니다.</t>
        </is>
      </c>
    </row>
    <row r="316" ht="15" customHeight="1" s="11">
      <c r="A316" s="13" t="n">
        <v>315</v>
      </c>
      <c r="B316" s="13" t="n">
        <v>25</v>
      </c>
      <c r="C316" s="14">
        <f>INDEX('부작 목록'!$C$2:$C$96,B316)</f>
        <v/>
      </c>
      <c r="D316" s="14" t="inlineStr">
        <is>
          <t>B 카를로스 사건집</t>
        </is>
      </c>
      <c r="E316" s="13" t="n">
        <v>12845</v>
      </c>
      <c r="F316" s="13" t="n">
        <v>48</v>
      </c>
      <c r="G316" s="15" t="inlineStr">
        <is>
          <t>루벤이 노동감독관 페르난도 로요와의 긴급 회의를 병원에서 주선합니다. 아침 여덟 시, 병원 카페테리아에서 작전의 세부 사항이 정해집니다.</t>
        </is>
      </c>
    </row>
    <row r="317" ht="15" customHeight="1" s="11">
      <c r="A317" s="13" t="n">
        <v>316</v>
      </c>
      <c r="B317" s="13" t="n">
        <v>25</v>
      </c>
      <c r="C317" s="14">
        <f>INDEX('부작 목록'!$C$2:$C$96,B317)</f>
        <v/>
      </c>
      <c r="D317" s="14" t="inlineStr">
        <is>
          <t>B 카를로스 사건집</t>
        </is>
      </c>
      <c r="E317" s="13" t="n">
        <v>12895</v>
      </c>
      <c r="F317" s="13" t="n">
        <v>45</v>
      </c>
      <c r="G317" s="15" t="inlineStr">
        <is>
          <t>페르난도가 유수프 트라오레에 대한 실종 신고 여부를 확인한 결과를 전합니다. 작전 전날 오후, 병원 주차장의 그늘 아래에서 세 사람이 다시 모입니다.</t>
        </is>
      </c>
    </row>
    <row r="318" ht="15" customHeight="1" s="11">
      <c r="A318" s="13" t="n">
        <v>317</v>
      </c>
      <c r="B318" s="13" t="n">
        <v>25</v>
      </c>
      <c r="C318" s="14">
        <f>INDEX('부작 목록'!$C$2:$C$96,B318)</f>
        <v/>
      </c>
      <c r="D318" s="14" t="inlineStr">
        <is>
          <t>B 카를로스 사건집</t>
        </is>
      </c>
      <c r="E318" s="13" t="n">
        <v>12942</v>
      </c>
      <c r="F318" s="13" t="n">
        <v>53</v>
      </c>
      <c r="G318" s="15" t="inlineStr">
        <is>
          <t>다음 날 새벽, 노동감독관과 경찰이 농장과 모집 사무소를 동시에 급습합니다. 알바로는 하비에르와 함께 마을 외곽에 세운 차 안에서 휴대전화만 바라보며 소식을 기다립니다.</t>
        </is>
      </c>
    </row>
    <row r="319" ht="41.75" customHeight="1" s="11">
      <c r="A319" s="13" t="n">
        <v>318</v>
      </c>
      <c r="B319" s="13" t="n">
        <v>25</v>
      </c>
      <c r="C319" s="14">
        <f>INDEX('부작 목록'!$C$2:$C$96,B319)</f>
        <v/>
      </c>
      <c r="D319" s="14" t="inlineStr">
        <is>
          <t>B 카를로스 사건집</t>
        </is>
      </c>
      <c r="E319" s="13" t="n">
        <v>12997</v>
      </c>
      <c r="F319" s="13" t="n">
        <v>48</v>
      </c>
      <c r="G319" s="15" t="inlineStr">
        <is>
          <t>며칠 후, 알바로가 안전한 임시 숙소에서 트라바하도르 2와 3, 그리고 회복 중인 오마르와 재회합니다.</t>
        </is>
      </c>
    </row>
    <row r="320" ht="15" customHeight="1" s="11">
      <c r="A320" s="13" t="n">
        <v>319</v>
      </c>
      <c r="B320" s="13" t="n">
        <v>25</v>
      </c>
      <c r="C320" s="14">
        <f>INDEX('부작 목록'!$C$2:$C$96,B320)</f>
        <v/>
      </c>
      <c r="D320" s="14" t="inlineStr">
        <is>
          <t>B 카를로스 사건집</t>
        </is>
      </c>
      <c r="E320" s="13" t="n">
        <v>13047</v>
      </c>
      <c r="F320" s="13" t="n">
        <v>46</v>
      </c>
      <c r="G320" s="15" t="inlineStr">
        <is>
          <t>몇 주 후, 페르난도가 유수프에 대한 소식을 전합니다.</t>
        </is>
      </c>
    </row>
    <row r="321" ht="28.35" customHeight="1" s="11">
      <c r="A321" s="13" t="n">
        <v>320</v>
      </c>
      <c r="B321" s="13" t="n">
        <v>25</v>
      </c>
      <c r="C321" s="14">
        <f>INDEX('부작 목록'!$C$2:$C$96,B321)</f>
        <v/>
      </c>
      <c r="D321" s="14" t="inlineStr">
        <is>
          <t>B 카를로스 사건집</t>
        </is>
      </c>
      <c r="E321" s="13" t="n">
        <v>13095</v>
      </c>
      <c r="F321" s="13" t="n">
        <v>46</v>
      </c>
      <c r="G321" s="15" t="inlineStr">
        <is>
          <t>몇 달 후, 오스왈도와 페드로에 대한 재판이 준비됩니다. 루벤이 알바로와 함께 진행 상황을 점검합니다.</t>
        </is>
      </c>
    </row>
    <row r="322" ht="15" customHeight="1" s="11">
      <c r="A322" s="13" t="n">
        <v>321</v>
      </c>
      <c r="B322" s="13" t="n">
        <v>25</v>
      </c>
      <c r="C322" s="14">
        <f>INDEX('부작 목록'!$C$2:$C$96,B322)</f>
        <v/>
      </c>
      <c r="D322" s="14" t="inlineStr">
        <is>
          <t>B 카를로스 사건집</t>
        </is>
      </c>
      <c r="E322" s="13" t="n">
        <v>13143</v>
      </c>
      <c r="F322" s="13" t="n">
        <v>49</v>
      </c>
      <c r="G322" s="15" t="inlineStr">
        <is>
          <t>재판이 시작됩니다. 알바로가 증인으로 출석합니다. 방청석에는 오마르를 비롯한 노동자 몇 명이 조용히 자리를 지키고 있습니다.</t>
        </is>
      </c>
    </row>
    <row r="323" ht="15" customHeight="1" s="11">
      <c r="A323" s="13" t="n">
        <v>322</v>
      </c>
      <c r="B323" s="13" t="n">
        <v>25</v>
      </c>
      <c r="C323" s="14">
        <f>INDEX('부작 목록'!$C$2:$C$96,B323)</f>
        <v/>
      </c>
      <c r="D323" s="14" t="inlineStr">
        <is>
          <t>B 카를로스 사건집</t>
        </is>
      </c>
      <c r="E323" s="13" t="n">
        <v>13194</v>
      </c>
      <c r="F323" s="13" t="n">
        <v>46</v>
      </c>
      <c r="G323" s="15" t="inlineStr">
        <is>
          <t>재판이 진행되는 동안, 알바로와 하비에르가 최종 보도를 준비합니다.</t>
        </is>
      </c>
    </row>
    <row r="324" ht="15" customHeight="1" s="11">
      <c r="A324" s="13" t="n">
        <v>323</v>
      </c>
      <c r="B324" s="13" t="n">
        <v>25</v>
      </c>
      <c r="C324" s="14">
        <f>INDEX('부작 목록'!$C$2:$C$96,B324)</f>
        <v/>
      </c>
      <c r="D324" s="14" t="inlineStr">
        <is>
          <t>B 카를로스 사건집</t>
        </is>
      </c>
      <c r="E324" s="13" t="n">
        <v>13242</v>
      </c>
      <c r="F324" s="13" t="n">
        <v>48</v>
      </c>
      <c r="G324" s="15" t="inlineStr">
        <is>
          <t>몇 주 후, 알바로·하비에르·루벤이 오마르의 새 일터인 협동조합 농장을 찾아가 이 긴 여정을 마무리합니다.</t>
        </is>
      </c>
    </row>
    <row r="325" ht="15" customHeight="1" s="11">
      <c r="A325" s="13" t="n">
        <v>324</v>
      </c>
      <c r="B325" s="13" t="n">
        <v>25</v>
      </c>
      <c r="C325" s="14">
        <f>INDEX('부작 목록'!$C$2:$C$96,B325)</f>
        <v/>
      </c>
      <c r="D325" s="14" t="inlineStr">
        <is>
          <t>B 카를로스 사건집</t>
        </is>
      </c>
      <c r="E325" s="13" t="n">
        <v>13292</v>
      </c>
      <c r="F325" s="13" t="n">
        <v>45</v>
      </c>
      <c r="G325" s="15" t="inlineStr">
        <is>
          <t>몇 달 후, 최종 판결이 내려집니다.</t>
        </is>
      </c>
    </row>
    <row r="326" ht="15" customHeight="1" s="11">
      <c r="A326" s="13" t="n">
        <v>325</v>
      </c>
      <c r="B326" s="13" t="n">
        <v>25</v>
      </c>
      <c r="C326" s="14">
        <f>INDEX('부작 목록'!$C$2:$C$96,B326)</f>
        <v/>
      </c>
      <c r="D326" s="14" t="inlineStr">
        <is>
          <t>B 카를로스 사건집</t>
        </is>
      </c>
      <c r="E326" s="13" t="n">
        <v>13339</v>
      </c>
      <c r="F326" s="13" t="n">
        <v>46</v>
      </c>
      <c r="G326" s="17" t="inlineStr">
        <is>
          <t>판결 이후, 알바로가 조용히 하비에르와 마지막 대화를 나눕니다.</t>
        </is>
      </c>
    </row>
    <row r="327" ht="15" customHeight="1" s="11">
      <c r="A327" s="13" t="n">
        <v>326</v>
      </c>
      <c r="B327" s="13" t="n">
        <v>25</v>
      </c>
      <c r="C327" s="14">
        <f>INDEX('부작 목록'!$C$2:$C$96,B327)</f>
        <v/>
      </c>
      <c r="D327" s="14" t="inlineStr">
        <is>
          <t>B 카를로스 사건집</t>
        </is>
      </c>
      <c r="E327" s="13" t="n">
        <v>13387</v>
      </c>
      <c r="F327" s="13" t="n">
        <v>56</v>
      </c>
      <c r="G327" s="15" t="inlineStr">
        <is>
          <t>그 무렵의 어느 저녁, 오스왈도 재판의 증언을 준비하던 알바로에게 누베 이베리카 사건의 내부고발자 이레네 바스티다가 몇 달 만에 전화를 겁니다. 증언 이후 새 직장의 채용이 갑자기 철회되었다는 소식에, 알바로는 다음 날 마르타를 찾아가 취재원 보호와 기자의 책임을 놓고 고민하고, 노동 전문 변호사를 데리고 알칼라로 향합니다.</t>
        </is>
      </c>
    </row>
    <row r="328" ht="15" customHeight="1" s="11">
      <c r="A328" s="13" t="n">
        <v>327</v>
      </c>
      <c r="B328" s="13" t="n">
        <v>26</v>
      </c>
      <c r="C328" s="14">
        <f>INDEX('부작 목록'!$C$2:$C$96,B328)</f>
        <v/>
      </c>
      <c r="D328" s="14" t="inlineStr">
        <is>
          <t>B 카를로스 사건집</t>
        </is>
      </c>
      <c r="E328" s="13" t="n">
        <v>13445</v>
      </c>
      <c r="F328" s="13" t="n">
        <v>58</v>
      </c>
      <c r="G328" s="15" t="inlineStr">
        <is>
          <t>새로운 작전. 카를로스가 알바로에게 콜롬비아-스페인 마약 유통 조직에 대한 마지막 브리핑을 합니다. 이번엔 통신이 극도로 제한되어, 알바로가 거의 혼자 작전을 수행해야 합니다.</t>
        </is>
      </c>
    </row>
    <row r="329" ht="15" customHeight="1" s="11">
      <c r="A329" s="13" t="n">
        <v>328</v>
      </c>
      <c r="B329" s="13" t="n">
        <v>26</v>
      </c>
      <c r="C329" s="14">
        <f>INDEX('부작 목록'!$C$2:$C$96,B329)</f>
        <v/>
      </c>
      <c r="D329" s="14" t="inlineStr">
        <is>
          <t>B 카를로스 사건집</t>
        </is>
      </c>
      <c r="E329" s="13" t="n">
        <v>13505</v>
      </c>
      <c r="F329" s="13" t="n">
        <v>47</v>
      </c>
      <c r="G329" s="15" t="inlineStr">
        <is>
          <t>알바로가 갈리시아의 한 항구 술집에서 중개인 시메온과 접선합니다. 비 내리는 저녁, 수염을 기르고 안경을 쓴 '마테오'의 첫 시험대입니다.</t>
        </is>
      </c>
    </row>
    <row r="330" ht="15" customHeight="1" s="11">
      <c r="A330" s="13" t="n">
        <v>329</v>
      </c>
      <c r="B330" s="13" t="n">
        <v>26</v>
      </c>
      <c r="C330" s="14">
        <f>INDEX('부작 목록'!$C$2:$C$96,B330)</f>
        <v/>
      </c>
      <c r="D330" s="14" t="inlineStr">
        <is>
          <t>B 카를로스 사건집</t>
        </is>
      </c>
      <c r="E330" s="13" t="n">
        <v>13554</v>
      </c>
      <c r="F330" s="13" t="n">
        <v>45</v>
      </c>
      <c r="G330" s="15" t="inlineStr">
        <is>
          <t>다음 날 밤, 알바로가 창고에서 조직의 리더 리고베르토 아리스티사발을 처음 만납니다.</t>
        </is>
      </c>
    </row>
    <row r="331" ht="15" customHeight="1" s="11">
      <c r="A331" s="13" t="n">
        <v>330</v>
      </c>
      <c r="B331" s="13" t="n">
        <v>26</v>
      </c>
      <c r="C331" s="14">
        <f>INDEX('부작 목록'!$C$2:$C$96,B331)</f>
        <v/>
      </c>
      <c r="D331" s="14" t="inlineStr">
        <is>
          <t>B 카를로스 사건집</t>
        </is>
      </c>
      <c r="E331" s="13" t="n">
        <v>13601</v>
      </c>
      <c r="F331" s="13" t="n">
        <v>46</v>
      </c>
      <c r="G331" s="15" t="inlineStr">
        <is>
          <t>창고에서 일을 시작한 알바로가 회계 담당 카밀라 레예스를 처음 만납니다.</t>
        </is>
      </c>
    </row>
    <row r="332" ht="15" customHeight="1" s="11">
      <c r="A332" s="13" t="n">
        <v>331</v>
      </c>
      <c r="B332" s="13" t="n">
        <v>26</v>
      </c>
      <c r="C332" s="14">
        <f>INDEX('부작 목록'!$C$2:$C$96,B332)</f>
        <v/>
      </c>
      <c r="D332" s="14" t="inlineStr">
        <is>
          <t>B 카를로스 사건집</t>
        </is>
      </c>
      <c r="E332" s="13" t="n">
        <v>13649</v>
      </c>
      <c r="F332" s="13" t="n">
        <v>46</v>
      </c>
      <c r="G332" s="15" t="inlineStr">
        <is>
          <t>그날 밤, 알바로가 처음으로 화물 하역 작업에 투입됩니다.</t>
        </is>
      </c>
    </row>
    <row r="333" ht="15" customHeight="1" s="11">
      <c r="A333" s="13" t="n">
        <v>332</v>
      </c>
      <c r="B333" s="13" t="n">
        <v>26</v>
      </c>
      <c r="C333" s="14">
        <f>INDEX('부작 목록'!$C$2:$C$96,B333)</f>
        <v/>
      </c>
      <c r="D333" s="14" t="inlineStr">
        <is>
          <t>B 카를로스 사건집</t>
        </is>
      </c>
      <c r="E333" s="13" t="n">
        <v>13697</v>
      </c>
      <c r="F333" s="13" t="n">
        <v>48</v>
      </c>
      <c r="G333" s="15" t="inlineStr">
        <is>
          <t>2주 후, 성실히 일해온 알바로에게 리고베르토가 더 큰 임무를 맡깁니다.</t>
        </is>
      </c>
    </row>
    <row r="334" ht="15" customHeight="1" s="11">
      <c r="A334" s="13" t="n">
        <v>333</v>
      </c>
      <c r="B334" s="13" t="n">
        <v>26</v>
      </c>
      <c r="C334" s="14">
        <f>INDEX('부작 목록'!$C$2:$C$96,B334)</f>
        <v/>
      </c>
      <c r="D334" s="14" t="inlineStr">
        <is>
          <t>B 카를로스 사건집</t>
        </is>
      </c>
      <c r="E334" s="13" t="n">
        <v>13747</v>
      </c>
      <c r="F334" s="13" t="n">
        <v>47</v>
      </c>
      <c r="G334" s="15" t="inlineStr">
        <is>
          <t>알바로와 카밀라가 함께 물류 세부사항을 준비하며, 조금씩 서로를 알아갑니다.</t>
        </is>
      </c>
    </row>
    <row r="335" ht="15" customHeight="1" s="11">
      <c r="A335" s="13" t="n">
        <v>334</v>
      </c>
      <c r="B335" s="13" t="n">
        <v>26</v>
      </c>
      <c r="C335" s="14">
        <f>INDEX('부작 목록'!$C$2:$C$96,B335)</f>
        <v/>
      </c>
      <c r="D335" s="14" t="inlineStr">
        <is>
          <t>B 카를로스 사건집</t>
        </is>
      </c>
      <c r="E335" s="13" t="n">
        <v>13796</v>
      </c>
      <c r="F335" s="13" t="n">
        <v>49</v>
      </c>
      <c r="G335" s="15" t="inlineStr">
        <is>
          <t>알바로가 첫 운송 임무를 수행하며, 검문소를 통과하는 긴장된 순간을 겪습니다.</t>
        </is>
      </c>
    </row>
    <row r="336" ht="15" customHeight="1" s="11">
      <c r="A336" s="13" t="n">
        <v>335</v>
      </c>
      <c r="B336" s="13" t="n">
        <v>26</v>
      </c>
      <c r="C336" s="14">
        <f>INDEX('부작 목록'!$C$2:$C$96,B336)</f>
        <v/>
      </c>
      <c r="D336" s="14" t="inlineStr">
        <is>
          <t>B 카를로스 사건집</t>
        </is>
      </c>
      <c r="E336" s="13" t="n">
        <v>13847</v>
      </c>
      <c r="F336" s="13" t="n">
        <v>46</v>
      </c>
      <c r="G336" s="15" t="inlineStr">
        <is>
          <t>화물을 무사히 인도한 뒤, 돌아오는 길에 알바로와 카밀라가 잠시 휴식을 취합니다.</t>
        </is>
      </c>
    </row>
    <row r="337" ht="15" customHeight="1" s="11">
      <c r="A337" s="13" t="n">
        <v>336</v>
      </c>
      <c r="B337" s="13" t="n">
        <v>26</v>
      </c>
      <c r="C337" s="14">
        <f>INDEX('부작 목록'!$C$2:$C$96,B337)</f>
        <v/>
      </c>
      <c r="D337" s="14" t="inlineStr">
        <is>
          <t>B 카를로스 사건집</t>
        </is>
      </c>
      <c r="E337" s="13" t="n">
        <v>13895</v>
      </c>
      <c r="F337" s="13" t="n">
        <v>46</v>
      </c>
      <c r="G337" s="15" t="inlineStr">
        <is>
          <t>창고로 돌아온 뒤, 시메온이 알바로에게 경계심을 드러냅니다.</t>
        </is>
      </c>
    </row>
    <row r="338" ht="15" customHeight="1" s="11">
      <c r="A338" s="13" t="n">
        <v>337</v>
      </c>
      <c r="B338" s="13" t="n">
        <v>26</v>
      </c>
      <c r="C338" s="14">
        <f>INDEX('부작 목록'!$C$2:$C$96,B338)</f>
        <v/>
      </c>
      <c r="D338" s="14" t="inlineStr">
        <is>
          <t>B 카를로스 사건집</t>
        </is>
      </c>
      <c r="E338" s="13" t="n">
        <v>13943</v>
      </c>
      <c r="F338" s="13" t="n">
        <v>49</v>
      </c>
      <c r="G338" s="15" t="inlineStr">
        <is>
          <t>며칠 후, 리고베르토가 알바로를 직접 심문합니다. 카밀라도 자리에 함께합니다.</t>
        </is>
      </c>
    </row>
    <row r="339" ht="15" customHeight="1" s="11">
      <c r="A339" s="13" t="n">
        <v>338</v>
      </c>
      <c r="B339" s="13" t="n">
        <v>26</v>
      </c>
      <c r="C339" s="14">
        <f>INDEX('부작 목록'!$C$2:$C$96,B339)</f>
        <v/>
      </c>
      <c r="D339" s="14" t="inlineStr">
        <is>
          <t>B 카를로스 사건집</t>
        </is>
      </c>
      <c r="E339" s="13" t="n">
        <v>13994</v>
      </c>
      <c r="F339" s="13" t="n">
        <v>52</v>
      </c>
      <c r="G339" s="15" t="inlineStr">
        <is>
          <t>심문 이후, 카밀라가 은밀히 알바로를 찾아와 경고와 위로를 전합니다. 발전기 소리가 울리는 창고 뒤편 복도에서, 두 사람은 누가 올까 귀를 기울이며 짧게 속삭입니다.</t>
        </is>
      </c>
    </row>
    <row r="340" ht="15" customHeight="1" s="11">
      <c r="A340" s="13" t="n">
        <v>339</v>
      </c>
      <c r="B340" s="13" t="n">
        <v>26</v>
      </c>
      <c r="C340" s="14">
        <f>INDEX('부작 목록'!$C$2:$C$96,B340)</f>
        <v/>
      </c>
      <c r="D340" s="14" t="inlineStr">
        <is>
          <t>B 카를로스 사건집</t>
        </is>
      </c>
      <c r="E340" s="13" t="n">
        <v>14048</v>
      </c>
      <c r="F340" s="13" t="n">
        <v>47</v>
      </c>
      <c r="G340" s="15" t="inlineStr">
        <is>
          <t>며칠 후, 리고베르토가 알바로에게 결정적인 충성 시험을 제시합니다. 사무실 책상 위에는 낡은 휴대전화 한 대와 트럭 열쇠가 놓여 있습니다.</t>
        </is>
      </c>
    </row>
    <row r="341" ht="15" customHeight="1" s="11">
      <c r="A341" s="13" t="n">
        <v>340</v>
      </c>
      <c r="B341" s="13" t="n">
        <v>26</v>
      </c>
      <c r="C341" s="14">
        <f>INDEX('부작 목록'!$C$2:$C$96,B341)</f>
        <v/>
      </c>
      <c r="D341" s="14" t="inlineStr">
        <is>
          <t>B 카를로스 사건집</t>
        </is>
      </c>
      <c r="E341" s="13" t="n">
        <v>14097</v>
      </c>
      <c r="F341" s="13" t="n">
        <v>48</v>
      </c>
      <c r="G341" s="15" t="inlineStr">
        <is>
          <t>다음 날 밤, 알바로가 혼자 마드리드로 향하던 중 예상치 못한 검문에 걸립니다. 이번엔 카밀라도, 카를로스도 없이 혼자 헤쳐나가야 합니다.</t>
        </is>
      </c>
    </row>
    <row r="342" ht="15" customHeight="1" s="11">
      <c r="A342" s="13" t="n">
        <v>341</v>
      </c>
      <c r="B342" s="13" t="n">
        <v>26</v>
      </c>
      <c r="C342" s="14">
        <f>INDEX('부작 목록'!$C$2:$C$96,B342)</f>
        <v/>
      </c>
      <c r="D342" s="14" t="inlineStr">
        <is>
          <t>B 카를로스 사건집</t>
        </is>
      </c>
      <c r="E342" s="13" t="n">
        <v>14147</v>
      </c>
      <c r="F342" s="13" t="n">
        <v>47</v>
      </c>
      <c r="G342" s="15" t="inlineStr">
        <is>
          <t>마드리드에 도착한 알바로가 혼자 화물을 인도하며, 새로운 위험 인물과 마주칩니다. 새벽 다섯 시가 조금 넘은 시각, 도시 외곽의 산업단지는 아직 어둠에 잠겨 있습니다.</t>
        </is>
      </c>
    </row>
    <row r="343" ht="15" customHeight="1" s="11">
      <c r="A343" s="13" t="n">
        <v>342</v>
      </c>
      <c r="B343" s="13" t="n">
        <v>26</v>
      </c>
      <c r="C343" s="14">
        <f>INDEX('부작 목록'!$C$2:$C$96,B343)</f>
        <v/>
      </c>
      <c r="D343" s="14" t="inlineStr">
        <is>
          <t>B 카를로스 사건집</t>
        </is>
      </c>
      <c r="E343" s="13" t="n">
        <v>14196</v>
      </c>
      <c r="F343" s="13" t="n">
        <v>47</v>
      </c>
      <c r="G343" s="15" t="inlineStr">
        <is>
          <t>갈리시아로 돌아온 알바로가 리고베르토에게 성공적인 임무 완수를 보고합니다. 밤새 운전한 탓에 눈은 충혈되어 있지만, 알바로는 피곤한 기색을 최대한 감춥니다.</t>
        </is>
      </c>
    </row>
    <row r="344" ht="15" customHeight="1" s="11">
      <c r="A344" s="13" t="n">
        <v>343</v>
      </c>
      <c r="B344" s="13" t="n">
        <v>26</v>
      </c>
      <c r="C344" s="14">
        <f>INDEX('부작 목록'!$C$2:$C$96,B344)</f>
        <v/>
      </c>
      <c r="D344" s="14" t="inlineStr">
        <is>
          <t>B 카를로스 사건집</t>
        </is>
      </c>
      <c r="E344" s="13" t="n">
        <v>14245</v>
      </c>
      <c r="F344" s="13" t="n">
        <v>48</v>
      </c>
      <c r="G344" s="15" t="inlineStr">
        <is>
          <t>그날 밤, 카밀라가 은밀히 알바로를 찾아와 안도감과 애정을 드러냅니다. 바닷바람이 차가운 부두 끝, 오직 파도 소리와 멀리 등대 불빛만이 두 사람을 지켜봅니다.</t>
        </is>
      </c>
    </row>
    <row r="345" ht="15" customHeight="1" s="11">
      <c r="A345" s="13" t="n">
        <v>344</v>
      </c>
      <c r="B345" s="13" t="n">
        <v>26</v>
      </c>
      <c r="C345" s="14">
        <f>INDEX('부작 목록'!$C$2:$C$96,B345)</f>
        <v/>
      </c>
      <c r="D345" s="14" t="inlineStr">
        <is>
          <t>B 카를로스 사건집</t>
        </is>
      </c>
      <c r="E345" s="13" t="n">
        <v>14295</v>
      </c>
      <c r="F345" s="13" t="n">
        <v>48</v>
      </c>
      <c r="G345" s="15" t="inlineStr">
        <is>
          <t>며칠 후, 조용한 순간에 알바로가 카밀라에게 자신의 진짜 임무를 털어놓습니다. 두 사람은 마을 위 언덕에 버려진 통조림 공장 뒤편에서 만납니다.</t>
        </is>
      </c>
    </row>
    <row r="346" ht="28.35" customHeight="1" s="11">
      <c r="A346" s="13" t="n">
        <v>345</v>
      </c>
      <c r="B346" s="13" t="n">
        <v>26</v>
      </c>
      <c r="C346" s="14">
        <f>INDEX('부작 목록'!$C$2:$C$96,B346)</f>
        <v/>
      </c>
      <c r="D346" s="14" t="inlineStr">
        <is>
          <t>B 카를로스 사건집</t>
        </is>
      </c>
      <c r="E346" s="13" t="n">
        <v>14345</v>
      </c>
      <c r="F346" s="13" t="n">
        <v>49</v>
      </c>
      <c r="G346" s="15" t="inlineStr">
        <is>
          <t>알바로와 카밀라가 함께 리고베르토를 무너뜨릴 증거 확보 계획을 세웁니다. 사무실에서 운송 경로를 검토하는 척하며, 두 사람은 낮은 목소리로 한 걸음씩 계획을 짜 맞춥니다.</t>
        </is>
      </c>
    </row>
    <row r="347" ht="15" customHeight="1" s="11">
      <c r="A347" s="13" t="n">
        <v>346</v>
      </c>
      <c r="B347" s="13" t="n">
        <v>26</v>
      </c>
      <c r="C347" s="14">
        <f>INDEX('부작 목록'!$C$2:$C$96,B347)</f>
        <v/>
      </c>
      <c r="D347" s="14" t="inlineStr">
        <is>
          <t>B 카를로스 사건집</t>
        </is>
      </c>
      <c r="E347" s="13" t="n">
        <v>14396</v>
      </c>
      <c r="F347" s="13" t="n">
        <v>48</v>
      </c>
      <c r="G347" s="15" t="inlineStr">
        <is>
          <t>일주일 후, 리고베르토가 비고로 떠난 밤. 카밀라가 금고를 열고 문서를 복사하는 동안 알바로가 주변을 경계합니다.</t>
        </is>
      </c>
    </row>
    <row r="348" ht="15" customHeight="1" s="11">
      <c r="A348" s="13" t="n">
        <v>347</v>
      </c>
      <c r="B348" s="13" t="n">
        <v>26</v>
      </c>
      <c r="C348" s="14">
        <f>INDEX('부작 목록'!$C$2:$C$96,B348)</f>
        <v/>
      </c>
      <c r="D348" s="14" t="inlineStr">
        <is>
          <t>B 카를로스 사건집</t>
        </is>
      </c>
      <c r="E348" s="13" t="n">
        <v>14446</v>
      </c>
      <c r="F348" s="13" t="n">
        <v>46</v>
      </c>
      <c r="G348" s="15" t="inlineStr">
        <is>
          <t>카밀라가 마지막 문서를 촬영하는 순간, 예상보다 일찍 시메온이 돌아옵니다. 창고 마당에 낯익은 차의 헤드라이트가 비칩니다.</t>
        </is>
      </c>
    </row>
    <row r="349" ht="15" customHeight="1" s="11">
      <c r="A349" s="13" t="n">
        <v>348</v>
      </c>
      <c r="B349" s="13" t="n">
        <v>26</v>
      </c>
      <c r="C349" s="14">
        <f>INDEX('부작 목록'!$C$2:$C$96,B349)</f>
        <v/>
      </c>
      <c r="D349" s="14" t="inlineStr">
        <is>
          <t>B 카를로스 사건집</t>
        </is>
      </c>
      <c r="E349" s="13" t="n">
        <v>14494</v>
      </c>
      <c r="F349" s="13" t="n">
        <v>46</v>
      </c>
      <c r="G349" s="15" t="inlineStr">
        <is>
          <t>알바로가 시메온의 주의를 끄는 동안, 카밀라가 겨우 사무실을 빠져나옵니다. 문 하나를 사이에 둔 몇 초가 몇 분처럼 길게 느껴집니다.</t>
        </is>
      </c>
    </row>
    <row r="350" ht="15" customHeight="1" s="11">
      <c r="A350" s="13" t="n">
        <v>349</v>
      </c>
      <c r="B350" s="13" t="n">
        <v>26</v>
      </c>
      <c r="C350" s="14">
        <f>INDEX('부작 목록'!$C$2:$C$96,B350)</f>
        <v/>
      </c>
      <c r="D350" s="14" t="inlineStr">
        <is>
          <t>B 카를로스 사건집</t>
        </is>
      </c>
      <c r="E350" s="13" t="n">
        <v>14542</v>
      </c>
      <c r="F350" s="13" t="n">
        <v>51</v>
      </c>
      <c r="G350" s="15" t="inlineStr">
        <is>
          <t>다음 날, 알바로가 극도로 조심스럽게 유일하게 허락된 비상 연락 수단을 사용합니다. 담배를 사러 간다는 핑계로 카밀라와 함께 마을로 내려온 알바로는, 광장의 낡은 공중전화 한 대에 모든 것을 걸어야 합니다.</t>
        </is>
      </c>
    </row>
    <row r="351" ht="15" customHeight="1" s="11">
      <c r="A351" s="13" t="n">
        <v>350</v>
      </c>
      <c r="B351" s="13" t="n">
        <v>26</v>
      </c>
      <c r="C351" s="14">
        <f>INDEX('부작 목록'!$C$2:$C$96,B351)</f>
        <v/>
      </c>
      <c r="D351" s="14" t="inlineStr">
        <is>
          <t>B 카를로스 사건집</t>
        </is>
      </c>
      <c r="E351" s="13" t="n">
        <v>14595</v>
      </c>
      <c r="F351" s="13" t="n">
        <v>51</v>
      </c>
      <c r="G351" s="15" t="inlineStr">
        <is>
          <t>리고베르토가 돌아온 다음 날, 시메온이 지난밤의 이상함을 다시 파고들며 위기가 고조됩니다. 컨테이너 옆에서 지게차 밑에 누워 호스를 갈던 알바로는 두 사람의 대화를 고스란히 엿듣게 됩니다.</t>
        </is>
      </c>
    </row>
    <row r="352" ht="15" customHeight="1" s="11">
      <c r="A352" s="13" t="n">
        <v>351</v>
      </c>
      <c r="B352" s="13" t="n">
        <v>26</v>
      </c>
      <c r="C352" s="14">
        <f>INDEX('부작 목록'!$C$2:$C$96,B352)</f>
        <v/>
      </c>
      <c r="D352" s="14" t="inlineStr">
        <is>
          <t>B 카를로스 사건집</t>
        </is>
      </c>
      <c r="E352" s="13" t="n">
        <v>14648</v>
      </c>
      <c r="F352" s="13" t="n">
        <v>48</v>
      </c>
      <c r="G352" s="15" t="inlineStr">
        <is>
          <t>몇 시간 후, 리고베르토가 알바로를 직접 대면하며 진실을 요구합니다. 그 몇 시간 동안 아무 일도 일어나지 않자, 알바로는 오히려 더 불안해집니다.</t>
        </is>
      </c>
    </row>
    <row r="353" ht="15" customHeight="1" s="11">
      <c r="A353" s="13" t="n">
        <v>352</v>
      </c>
      <c r="B353" s="13" t="n">
        <v>26</v>
      </c>
      <c r="C353" s="14">
        <f>INDEX('부작 목록'!$C$2:$C$96,B353)</f>
        <v/>
      </c>
      <c r="D353" s="14" t="inlineStr">
        <is>
          <t>B 카를로스 사건집</t>
        </is>
      </c>
      <c r="E353" s="13" t="n">
        <v>14698</v>
      </c>
      <c r="F353" s="13" t="n">
        <v>47</v>
      </c>
      <c r="G353" s="15" t="inlineStr">
        <is>
          <t>감시가 느슨해진 틈을 타, 알바로가 탈출을 시도합니다. 펌프실로 끌려가던 중 비고에서 온 트럭이 들어오며 창고가 어수선해지자, 알바로는 그 순간을 놓치지 않습니다.</t>
        </is>
      </c>
    </row>
    <row r="354" ht="15" customHeight="1" s="11">
      <c r="A354" s="13" t="n">
        <v>353</v>
      </c>
      <c r="B354" s="13" t="n">
        <v>26</v>
      </c>
      <c r="C354" s="14">
        <f>INDEX('부작 목록'!$C$2:$C$96,B354)</f>
        <v/>
      </c>
      <c r="D354" s="14" t="inlineStr">
        <is>
          <t>B 카를로스 사건집</t>
        </is>
      </c>
      <c r="E354" s="13" t="n">
        <v>14747</v>
      </c>
      <c r="F354" s="13" t="n">
        <v>46</v>
      </c>
      <c r="G354" s="15" t="inlineStr">
        <is>
          <t>긴박한 추격 끝에, 미리 예정된 접선 지점에서 구조대가 도착합니다. 두 대의 차량이 바짝 따라붙는 가운데, 버려진 주유소 옆 교차로에 마침내 불빛이 보입니다.</t>
        </is>
      </c>
    </row>
    <row r="355" ht="15" customHeight="1" s="11">
      <c r="A355" s="13" t="n">
        <v>354</v>
      </c>
      <c r="B355" s="13" t="n">
        <v>26</v>
      </c>
      <c r="C355" s="14">
        <f>INDEX('부작 목록'!$C$2:$C$96,B355)</f>
        <v/>
      </c>
      <c r="D355" s="14" t="inlineStr">
        <is>
          <t>B 카를로스 사건집</t>
        </is>
      </c>
      <c r="E355" s="13" t="n">
        <v>14795</v>
      </c>
      <c r="F355" s="13" t="n">
        <v>47</v>
      </c>
      <c r="G355" s="15" t="inlineStr">
        <is>
          <t>경찰이 리고베르토의 창고를 급습하고, 알바로가 마침내 카를로스와 재회합니다. 담요를 두른 채 몇 시간을 기다리던 두 사람 앞에 카를로스가 나타나고, 압수수색 소식이 하나씩 전해집니다.</t>
        </is>
      </c>
    </row>
    <row r="356" ht="15" customHeight="1" s="11">
      <c r="A356" s="13" t="n">
        <v>355</v>
      </c>
      <c r="B356" s="13" t="n">
        <v>26</v>
      </c>
      <c r="C356" s="14">
        <f>INDEX('부작 목록'!$C$2:$C$96,B356)</f>
        <v/>
      </c>
      <c r="D356" s="14" t="inlineStr">
        <is>
          <t>B 카를로스 사건집</t>
        </is>
      </c>
      <c r="E356" s="13" t="n">
        <v>14844</v>
      </c>
      <c r="F356" s="13" t="n">
        <v>48</v>
      </c>
      <c r="G356" s="15" t="inlineStr">
        <is>
          <t>몇 주 후, 카밀라의 증언을 위한 재판 준비 과정에서 두 사람이 다시 만납니다. 수염을 깎은 알바로가 찾아오고, 카밀라는 검사와의 긴 면담을 막 마치고 돌아온 참입니다.</t>
        </is>
      </c>
    </row>
    <row r="357" ht="15" customHeight="1" s="11">
      <c r="A357" s="13" t="n">
        <v>356</v>
      </c>
      <c r="B357" s="13" t="n">
        <v>26</v>
      </c>
      <c r="C357" s="14">
        <f>INDEX('부작 목록'!$C$2:$C$96,B357)</f>
        <v/>
      </c>
      <c r="D357" s="14" t="inlineStr">
        <is>
          <t>B 카를로스 사건집</t>
        </is>
      </c>
      <c r="E357" s="13" t="n">
        <v>14894</v>
      </c>
      <c r="F357" s="13" t="n">
        <v>49</v>
      </c>
      <c r="G357" s="15" t="inlineStr">
        <is>
          <t>재판이 시작됩니다. 카밀라가 증인으로 증언합니다. 방청석의 알바로와 카를로스는, 피고인석에서 쏟아지는 리고베르토의 시선을 정면으로 받아내는 카밀라를 지켜봅니다.</t>
        </is>
      </c>
    </row>
    <row r="358" ht="15" customHeight="1" s="11">
      <c r="A358" s="13" t="n">
        <v>357</v>
      </c>
      <c r="B358" s="13" t="n">
        <v>26</v>
      </c>
      <c r="C358" s="14">
        <f>INDEX('부작 목록'!$C$2:$C$96,B358)</f>
        <v/>
      </c>
      <c r="D358" s="14" t="inlineStr">
        <is>
          <t>B 카를로스 사건집</t>
        </is>
      </c>
      <c r="E358" s="13" t="n">
        <v>14945</v>
      </c>
      <c r="F358" s="13" t="n">
        <v>47</v>
      </c>
      <c r="G358" s="15" t="inlineStr">
        <is>
          <t>몇 달 후, 최종 판결이 내려집니다. 판결문이 낭독되는 동안 카밀라는 알바로의 손을 꼭 잡고 있습니다.</t>
        </is>
      </c>
    </row>
    <row r="359" ht="28.35" customHeight="1" s="11">
      <c r="A359" s="13" t="n">
        <v>358</v>
      </c>
      <c r="B359" s="13" t="n">
        <v>26</v>
      </c>
      <c r="C359" s="14">
        <f>INDEX('부작 목록'!$C$2:$C$96,B359)</f>
        <v/>
      </c>
      <c r="D359" s="14" t="inlineStr">
        <is>
          <t>B 카를로스 사건집</t>
        </is>
      </c>
      <c r="E359" s="13" t="n">
        <v>14994</v>
      </c>
      <c r="F359" s="13" t="n">
        <v>46</v>
      </c>
      <c r="G359" s="15" t="inlineStr">
        <is>
          <t>몇 주 후, 마드리드의 한 카페 테라스에서 알바로와 카밀라가 재판 이후 처음으로 편안한 시간을 보냅니다. 오후 햇살 아래, 두 사람은 처음으로 '다음'에 대해 이야기합니다.</t>
        </is>
      </c>
    </row>
    <row r="360" ht="15" customHeight="1" s="11">
      <c r="A360" s="13" t="n">
        <v>359</v>
      </c>
      <c r="B360" s="13" t="n">
        <v>26</v>
      </c>
      <c r="C360" s="14">
        <f>INDEX('부작 목록'!$C$2:$C$96,B360)</f>
        <v/>
      </c>
      <c r="D360" s="14" t="inlineStr">
        <is>
          <t>B 카를로스 사건집</t>
        </is>
      </c>
      <c r="E360" s="13" t="n">
        <v>15042</v>
      </c>
      <c r="F360" s="13" t="n">
        <v>57</v>
      </c>
      <c r="G360" s="15" t="inlineStr">
        <is>
          <t>몇 주 후의 어느 일요일, 알바로와 카밀라가 사건도 위장 신분도 없이 처음으로 마드리드에서 온전한 하루를 함께 보냅니다. 아침의 라스트로 벼룩시장에서 시작해 라 라티나의 바와 레티로 공원의 호수를 거쳐 동네 영화관까지, 두 사람은 서로의 과거와 사소한 취향을 하나씩 알아갑니다.</t>
        </is>
      </c>
    </row>
    <row r="361" ht="15" customHeight="1" s="11">
      <c r="A361" s="13" t="n">
        <v>360</v>
      </c>
      <c r="B361" s="13" t="n">
        <v>27</v>
      </c>
      <c r="C361" s="14">
        <f>INDEX('부작 목록'!$C$2:$C$96,B361)</f>
        <v/>
      </c>
      <c r="D361" s="14" t="inlineStr">
        <is>
          <t>C EU 로비</t>
        </is>
      </c>
      <c r="E361" s="13" t="n">
        <v>15101</v>
      </c>
      <c r="F361" s="13" t="n">
        <v>23</v>
      </c>
      <c r="G361" s="15" t="inlineStr">
        <is>
          <t>몇 달 후, 마드리드에 정착한 알바로와 카밀라. 하비에르가 '엘 아르키텍토' 네트워크가 EU 브뤼 셀 로비 조직과 연결됐다는 새 실마리를 갖고 옵니다. 16번 아크(역외 페이퍼컴퍼니)의 직접적인 후속편입니다.</t>
        </is>
      </c>
    </row>
    <row r="362" ht="15" customHeight="1" s="11">
      <c r="A362" s="13" t="n">
        <v>361</v>
      </c>
      <c r="B362" s="13" t="n">
        <v>27</v>
      </c>
      <c r="C362" s="14">
        <f>INDEX('부작 목록'!$C$2:$C$96,B362)</f>
        <v/>
      </c>
      <c r="D362" s="14" t="inlineStr">
        <is>
          <t>C EU 로비</t>
        </is>
      </c>
      <c r="E362" s="13" t="n">
        <v>15127</v>
      </c>
      <c r="F362" s="13" t="n">
        <v>20</v>
      </c>
      <c r="G362" s="15" t="inlineStr">
        <is>
          <t>알바로, 카밀라, 하비에르가 브뤼셀 취재 여행을 준비하며 상세한 전략을 세웁니다.</t>
        </is>
      </c>
    </row>
    <row r="363" ht="15" customHeight="1" s="11">
      <c r="A363" s="13" t="n">
        <v>362</v>
      </c>
      <c r="B363" s="13" t="n">
        <v>27</v>
      </c>
      <c r="C363" s="14">
        <f>INDEX('부작 목록'!$C$2:$C$96,B363)</f>
        <v/>
      </c>
      <c r="D363" s="14" t="inlineStr">
        <is>
          <t>C EU 로비</t>
        </is>
      </c>
      <c r="E363" s="13" t="n">
        <v>15150</v>
      </c>
      <c r="F363" s="13" t="n">
        <v>15</v>
      </c>
      <c r="G363" s="15" t="inlineStr">
        <is>
          <t>브뤼셀. 카밀라가 '엘레나 몬투리올'이라는 위장 신분으로 메리디안 퍼블릭 어페어스 주최 행사 에 참석해, 대표 이니고 카살스와 첫 대화를 나눕니다.</t>
        </is>
      </c>
    </row>
    <row r="364" ht="15" customHeight="1" s="11">
      <c r="A364" s="13" t="n">
        <v>363</v>
      </c>
      <c r="B364" s="13" t="n">
        <v>27</v>
      </c>
      <c r="C364" s="14">
        <f>INDEX('부작 목록'!$C$2:$C$96,B364)</f>
        <v/>
      </c>
      <c r="D364" s="14" t="inlineStr">
        <is>
          <t>C EU 로비</t>
        </is>
      </c>
      <c r="E364" s="13" t="n">
        <v>15168</v>
      </c>
      <c r="F364" s="13" t="n">
        <v>11</v>
      </c>
      <c r="G364" s="15" t="inlineStr">
        <is>
          <t>동시에, 하비에르가 유럽의회 투명성 등록부를 조사하며 관련 의원들을 파악합니다.</t>
        </is>
      </c>
    </row>
    <row r="365" ht="15" customHeight="1" s="11">
      <c r="A365" s="13" t="n">
        <v>364</v>
      </c>
      <c r="B365" s="13" t="n">
        <v>27</v>
      </c>
      <c r="C365" s="14">
        <f>INDEX('부작 목록'!$C$2:$C$96,B365)</f>
        <v/>
      </c>
      <c r="D365" s="14" t="inlineStr">
        <is>
          <t>C EU 로비</t>
        </is>
      </c>
      <c r="E365" s="13" t="n">
        <v>15182</v>
      </c>
      <c r="F365" s="13" t="n">
        <v>17</v>
      </c>
      <c r="G365" s="15" t="inlineStr">
        <is>
          <t>하비에르가 폴란드 출신 유럽의원 마레크 코발스키를 인터뷰합니다.</t>
        </is>
      </c>
    </row>
    <row r="366" ht="15" customHeight="1" s="11">
      <c r="A366" s="13" t="n">
        <v>365</v>
      </c>
      <c r="B366" s="13" t="n">
        <v>27</v>
      </c>
      <c r="C366" s="14">
        <f>INDEX('부작 목록'!$C$2:$C$96,B366)</f>
        <v/>
      </c>
      <c r="D366" s="14" t="inlineStr">
        <is>
          <t>C EU 로비</t>
        </is>
      </c>
      <c r="E366" s="13" t="n">
        <v>15202</v>
      </c>
      <c r="F366" s="13" t="n">
        <v>18</v>
      </c>
      <c r="G366" s="15" t="inlineStr">
        <is>
          <t>카밀라가 이니고 카살스와 두 번째로 만나 좀 더 깊은 대화를 나눕니다.</t>
        </is>
      </c>
    </row>
    <row r="367" ht="15" customHeight="1" s="11">
      <c r="A367" s="13" t="n">
        <v>366</v>
      </c>
      <c r="B367" s="13" t="n">
        <v>27</v>
      </c>
      <c r="C367" s="14">
        <f>INDEX('부작 목록'!$C$2:$C$96,B367)</f>
        <v/>
      </c>
      <c r="D367" s="14" t="inlineStr">
        <is>
          <t>C EU 로비</t>
        </is>
      </c>
      <c r="E367" s="13" t="n">
        <v>15223</v>
      </c>
      <c r="F367" s="13" t="n">
        <v>16</v>
      </c>
      <c r="G367" s="15" t="inlineStr">
        <is>
          <t>그날 밤, 브뤼셀의 호텔방에서 알바로와 카밀라가 하루 성과를 공유하며 서로를 걱정합니다.</t>
        </is>
      </c>
    </row>
    <row r="368" ht="15" customHeight="1" s="11">
      <c r="A368" s="13" t="n">
        <v>367</v>
      </c>
      <c r="B368" s="13" t="n">
        <v>27</v>
      </c>
      <c r="C368" s="14">
        <f>INDEX('부작 목록'!$C$2:$C$96,B368)</f>
        <v/>
      </c>
      <c r="D368" s="14" t="inlineStr">
        <is>
          <t>C EU 로비</t>
        </is>
      </c>
      <c r="E368" s="13" t="n">
        <v>15241</v>
      </c>
      <c r="F368" s="13" t="n">
        <v>16</v>
      </c>
      <c r="G368" s="15" t="inlineStr">
        <is>
          <t>며칠 후, 카밀라가 메리디안의 비공개 클라이언트 행사에 참석해 예상치 못한 인물을 마주칩니 다.</t>
        </is>
      </c>
    </row>
    <row r="369" ht="15" customHeight="1" s="11">
      <c r="A369" s="13" t="n">
        <v>368</v>
      </c>
      <c r="B369" s="13" t="n">
        <v>27</v>
      </c>
      <c r="C369" s="14">
        <f>INDEX('부작 목록'!$C$2:$C$96,B369)</f>
        <v/>
      </c>
      <c r="D369" s="14" t="inlineStr">
        <is>
          <t>C EU 로비</t>
        </is>
      </c>
      <c r="E369" s="13" t="n">
        <v>15260</v>
      </c>
      <c r="F369" s="13" t="n">
        <v>16</v>
      </c>
      <c r="G369" s="15" t="inlineStr">
        <is>
          <t>행사가 끝난 뒤, 카밀라가 알바로와 하비에르에게 결정적 소식을 전합니다.</t>
        </is>
      </c>
    </row>
    <row r="370" ht="15" customHeight="1" s="11">
      <c r="A370" s="13" t="n">
        <v>369</v>
      </c>
      <c r="B370" s="13" t="n">
        <v>27</v>
      </c>
      <c r="C370" s="14">
        <f>INDEX('부작 목록'!$C$2:$C$96,B370)</f>
        <v/>
      </c>
      <c r="D370" s="14" t="inlineStr">
        <is>
          <t>C EU 로비</t>
        </is>
      </c>
      <c r="E370" s="13" t="n">
        <v>15279</v>
      </c>
      <c r="F370" s="13" t="n">
        <v>13</v>
      </c>
      <c r="G370" s="15" t="inlineStr">
        <is>
          <t>알바로가 오랜만에 카를로스에게 연락해 결정적 소식을 전하고, 유럽 차원의 공조 수사를 준비 합니다.</t>
        </is>
      </c>
    </row>
    <row r="371" ht="15" customHeight="1" s="11">
      <c r="A371" s="13" t="n">
        <v>370</v>
      </c>
      <c r="B371" s="13" t="n">
        <v>27</v>
      </c>
      <c r="C371" s="14">
        <f>INDEX('부작 목록'!$C$2:$C$96,B371)</f>
        <v/>
      </c>
      <c r="D371" s="14" t="inlineStr">
        <is>
          <t>C EU 로비</t>
        </is>
      </c>
      <c r="E371" s="13" t="n">
        <v>15295</v>
      </c>
      <c r="F371" s="13" t="n">
        <v>13</v>
      </c>
      <c r="G371" s="15" t="inlineStr">
        <is>
          <t>며칠 후, 카를로스가 벨기에·스페인 당국과의 공조 회의를 주선합니다. 알바로와 하비에르가 배 석합니다.</t>
        </is>
      </c>
    </row>
    <row r="372" ht="15" customHeight="1" s="11">
      <c r="A372" s="13" t="n">
        <v>371</v>
      </c>
      <c r="B372" s="13" t="n">
        <v>27</v>
      </c>
      <c r="C372" s="14">
        <f>INDEX('부작 목록'!$C$2:$C$96,B372)</f>
        <v/>
      </c>
      <c r="D372" s="14" t="inlineStr">
        <is>
          <t>C EU 로비</t>
        </is>
      </c>
      <c r="E372" s="13" t="n">
        <v>15311</v>
      </c>
      <c r="F372" s="13" t="n">
        <v>17</v>
      </c>
      <c r="G372" s="15" t="inlineStr">
        <is>
          <t>며칠 후, 로셀요가 카밀라에게 직접 연락해 개인적인 만남을 제안합니다. 이번엔 훨씬 날카로운 대화입니다.</t>
        </is>
      </c>
    </row>
    <row r="373" ht="15" customHeight="1" s="11">
      <c r="A373" s="13" t="n">
        <v>372</v>
      </c>
      <c r="B373" s="13" t="n">
        <v>27</v>
      </c>
      <c r="C373" s="14">
        <f>INDEX('부작 목록'!$C$2:$C$96,B373)</f>
        <v/>
      </c>
      <c r="D373" s="14" t="inlineStr">
        <is>
          <t>C EU 로비</t>
        </is>
      </c>
      <c r="E373" s="13" t="n">
        <v>15331</v>
      </c>
      <c r="F373" s="13" t="n">
        <v>14</v>
      </c>
      <c r="G373" s="15" t="inlineStr">
        <is>
          <t>카밀라의 보고를 들은 알바로가 심각한 우려를 표하며, 작전을 계속할지 격렬하게 논의합니다.</t>
        </is>
      </c>
    </row>
    <row r="374" ht="15" customHeight="1" s="11">
      <c r="A374" s="13" t="n">
        <v>373</v>
      </c>
      <c r="B374" s="13" t="n">
        <v>27</v>
      </c>
      <c r="C374" s="14">
        <f>INDEX('부작 목록'!$C$2:$C$96,B374)</f>
        <v/>
      </c>
      <c r="D374" s="14" t="inlineStr">
        <is>
          <t>C EU 로비</t>
        </is>
      </c>
      <c r="E374" s="13" t="n">
        <v>15348</v>
      </c>
      <c r="F374" s="13" t="n">
        <v>13</v>
      </c>
      <c r="G374" s="15" t="inlineStr">
        <is>
          <t>일주일 후, 카밀라가 로셀요의 개인 사무실을 방문합니다. 알바로와 요원들이 근처에서 대기합 니다.</t>
        </is>
      </c>
    </row>
    <row r="375" ht="15" customHeight="1" s="11">
      <c r="A375" s="13" t="n">
        <v>374</v>
      </c>
      <c r="B375" s="13" t="n">
        <v>27</v>
      </c>
      <c r="C375" s="14">
        <f>INDEX('부작 목록'!$C$2:$C$96,B375)</f>
        <v/>
      </c>
      <c r="D375" s="14" t="inlineStr">
        <is>
          <t>C EU 로비</t>
        </is>
      </c>
      <c r="E375" s="13" t="n">
        <v>15363</v>
      </c>
      <c r="F375" s="13" t="n">
        <v>10</v>
      </c>
      <c r="G375" s="15" t="inlineStr">
        <is>
          <t>카밀라가 미리 정한 위기 신호를 보내며 상황이 급박해집니다.</t>
        </is>
      </c>
    </row>
    <row r="376" ht="15" customHeight="1" s="11">
      <c r="A376" s="13" t="n">
        <v>375</v>
      </c>
      <c r="B376" s="13" t="n">
        <v>27</v>
      </c>
      <c r="C376" s="14">
        <f>INDEX('부작 목록'!$C$2:$C$96,B376)</f>
        <v/>
      </c>
      <c r="D376" s="14" t="inlineStr">
        <is>
          <t>C EU 로비</t>
        </is>
      </c>
      <c r="E376" s="13" t="n">
        <v>15376</v>
      </c>
      <c r="F376" s="13" t="n">
        <v>11</v>
      </c>
      <c r="G376" s="15" t="inlineStr">
        <is>
          <t>바로 그 순간, 알바로와 요원들이 지켜보는 가운데 벨기에 경찰이 사무실로 진입합니다. 그러나 로셀요는 뒷문으로 빠져나가 사라지고, 밖의 차량에서 대기하던 알바로는 끝내 그와 마주치지 못합니다.</t>
        </is>
      </c>
    </row>
    <row r="377" ht="15" customHeight="1" s="11">
      <c r="A377" s="13" t="n">
        <v>376</v>
      </c>
      <c r="B377" s="13" t="n">
        <v>27</v>
      </c>
      <c r="C377" s="14">
        <f>INDEX('부작 목록'!$C$2:$C$96,B377)</f>
        <v/>
      </c>
      <c r="D377" s="14" t="inlineStr">
        <is>
          <t>C EU 로비</t>
        </is>
      </c>
      <c r="E377" s="13" t="n">
        <v>15390</v>
      </c>
      <c r="F377" s="13" t="n">
        <v>11</v>
      </c>
      <c r="G377" s="15" t="inlineStr">
        <is>
          <t>동시에, 벨기에 당국이 메리디안 퍼블릭 어페어스 사무실을 급습합니다.</t>
        </is>
      </c>
    </row>
    <row r="378" ht="28.35" customHeight="1" s="11">
      <c r="A378" s="13" t="n">
        <v>377</v>
      </c>
      <c r="B378" s="13" t="n">
        <v>27</v>
      </c>
      <c r="C378" s="14">
        <f>INDEX('부작 목록'!$C$2:$C$96,B378)</f>
        <v/>
      </c>
      <c r="D378" s="14" t="inlineStr">
        <is>
          <t>C EU 로비</t>
        </is>
      </c>
      <c r="E378" s="13" t="n">
        <v>15403</v>
      </c>
      <c r="F378" s="13" t="n">
        <v>13</v>
      </c>
      <c r="G378" s="15" t="inlineStr">
        <is>
          <t>몇 시간 후, 알바로가 카밀라와 재회하고, 하비에르가 사건의 전체 규모를 정리합니다.</t>
        </is>
      </c>
    </row>
    <row r="379" ht="15" customHeight="1" s="11">
      <c r="A379" s="13" t="n">
        <v>378</v>
      </c>
      <c r="B379" s="13" t="n">
        <v>27</v>
      </c>
      <c r="C379" s="14">
        <f>INDEX('부작 목록'!$C$2:$C$96,B379)</f>
        <v/>
      </c>
      <c r="D379" s="14" t="inlineStr">
        <is>
          <t>C EU 로비</t>
        </is>
      </c>
      <c r="E379" s="13" t="n">
        <v>15419</v>
      </c>
      <c r="F379" s="13" t="n">
        <v>13</v>
      </c>
      <c r="G379" s="15" t="inlineStr">
        <is>
          <t>몇 주 후, 유럽의회 반부패위원회가 소집한 공개 청문회에서 코발스키 의원이 질의를 받습니다. 알바로와 하비에르가 취재합니다.</t>
        </is>
      </c>
    </row>
    <row r="380" ht="28.35" customHeight="1" s="11">
      <c r="A380" s="13" t="n">
        <v>379</v>
      </c>
      <c r="B380" s="13" t="n">
        <v>27</v>
      </c>
      <c r="C380" s="14">
        <f>INDEX('부작 목록'!$C$2:$C$96,B380)</f>
        <v/>
      </c>
      <c r="D380" s="14" t="inlineStr">
        <is>
          <t>C EU 로비</t>
        </is>
      </c>
      <c r="E380" s="13" t="n">
        <v>15435</v>
      </c>
      <c r="F380" s="13" t="n">
        <v>12</v>
      </c>
      <c r="G380" s="15" t="inlineStr">
        <is>
          <t>몇 주 후, 카밀라가 벨기에 재판을 위한 증언 준비 과정에서 변호사와 상세히 논의합니다.</t>
        </is>
      </c>
    </row>
    <row r="381" ht="15" customHeight="1" s="11">
      <c r="A381" s="13" t="n">
        <v>380</v>
      </c>
      <c r="B381" s="13" t="n">
        <v>27</v>
      </c>
      <c r="C381" s="14">
        <f>INDEX('부작 목록'!$C$2:$C$96,B381)</f>
        <v/>
      </c>
      <c r="D381" s="14" t="inlineStr">
        <is>
          <t>C EU 로비</t>
        </is>
      </c>
      <c r="E381" s="13" t="n">
        <v>15450</v>
      </c>
      <c r="F381" s="13" t="n">
        <v>11</v>
      </c>
      <c r="G381" s="15" t="inlineStr">
        <is>
          <t>벨기에 재판이 시작됩니다. 카밀라가 증인으로 출석합니다.</t>
        </is>
      </c>
    </row>
    <row r="382" ht="15" customHeight="1" s="11">
      <c r="A382" s="13" t="n">
        <v>381</v>
      </c>
      <c r="B382" s="13" t="n">
        <v>27</v>
      </c>
      <c r="C382" s="14">
        <f>INDEX('부작 목록'!$C$2:$C$96,B382)</f>
        <v/>
      </c>
      <c r="D382" s="14" t="inlineStr">
        <is>
          <t>C EU 로비</t>
        </is>
      </c>
      <c r="E382" s="13" t="n">
        <v>15463</v>
      </c>
      <c r="F382" s="13" t="n">
        <v>13</v>
      </c>
      <c r="G382" s="15" t="inlineStr">
        <is>
          <t>재판 중, 로셀요가 직접 증언대에 설 수 없는 상황(도주 중)에서, 대신 카살스가 증언대에 서서 모든 책임을 로셀요에게 떠넘기려 합니다.</t>
        </is>
      </c>
    </row>
    <row r="383" ht="15" customHeight="1" s="11">
      <c r="A383" s="13" t="n">
        <v>382</v>
      </c>
      <c r="B383" s="13" t="n">
        <v>27</v>
      </c>
      <c r="C383" s="14">
        <f>INDEX('부작 목록'!$C$2:$C$96,B383)</f>
        <v/>
      </c>
      <c r="D383" s="14" t="inlineStr">
        <is>
          <t>C EU 로비</t>
        </is>
      </c>
      <c r="E383" s="13" t="n">
        <v>15479</v>
      </c>
      <c r="F383" s="13" t="n">
        <v>10</v>
      </c>
      <c r="G383" s="15" t="inlineStr">
        <is>
          <t>몇 달 후, 최종 판결이 내려집니다.</t>
        </is>
      </c>
    </row>
    <row r="384" ht="15" customHeight="1" s="11">
      <c r="A384" s="13" t="n">
        <v>383</v>
      </c>
      <c r="B384" s="13" t="n">
        <v>27</v>
      </c>
      <c r="C384" s="14">
        <f>INDEX('부작 목록'!$C$2:$C$96,B384)</f>
        <v/>
      </c>
      <c r="D384" s="14" t="inlineStr">
        <is>
          <t>C EU 로비</t>
        </is>
      </c>
      <c r="E384" s="13" t="n">
        <v>15492</v>
      </c>
      <c r="F384" s="13" t="n">
        <v>11</v>
      </c>
      <c r="G384" s="15" t="inlineStr">
        <is>
          <t>판결 이후, 카를로스가 알바로에게 이 사건의 광범위한 여파를 정리해줍니다.</t>
        </is>
      </c>
    </row>
    <row r="385" ht="15" customHeight="1" s="11">
      <c r="A385" s="13" t="n">
        <v>384</v>
      </c>
      <c r="B385" s="13" t="n">
        <v>27</v>
      </c>
      <c r="C385" s="14">
        <f>INDEX('부작 목록'!$C$2:$C$96,B385)</f>
        <v/>
      </c>
      <c r="D385" s="14" t="inlineStr">
        <is>
          <t>C EU 로비</t>
        </is>
      </c>
      <c r="E385" s="13" t="n">
        <v>15505</v>
      </c>
      <c r="F385" s="13" t="n">
        <v>12</v>
      </c>
      <c r="G385" s="15" t="inlineStr">
        <is>
          <t>알바로와 하비에르가 최종 보도를 준비하며, 이번 사건이 남긴 의미를 정리합니다.</t>
        </is>
      </c>
    </row>
    <row r="386" ht="15" customHeight="1" s="11">
      <c r="A386" s="13" t="n">
        <v>385</v>
      </c>
      <c r="B386" s="13" t="n">
        <v>27</v>
      </c>
      <c r="C386" s="14">
        <f>INDEX('부작 목록'!$C$2:$C$96,B386)</f>
        <v/>
      </c>
      <c r="D386" s="14" t="inlineStr">
        <is>
          <t>C EU 로비</t>
        </is>
      </c>
      <c r="E386" s="13" t="n">
        <v>15520</v>
      </c>
      <c r="F386" s="13" t="n">
        <v>19</v>
      </c>
      <c r="G386" s="15" t="inlineStr">
        <is>
          <t>몇 주 후, 마드리드의 작은 아파트에서 알바로와 카밀라가 함께 아침을 맞이합니다. 시리즈 전 체를 마무리하는 조용하고 따뜻한 장면입니다.</t>
        </is>
      </c>
    </row>
    <row r="387" ht="15" customHeight="1" s="11">
      <c r="A387" s="13" t="n">
        <v>386</v>
      </c>
      <c r="B387" s="13" t="n">
        <v>27</v>
      </c>
      <c r="C387" s="14">
        <f>INDEX('부작 목록'!$C$2:$C$96,B387)</f>
        <v/>
      </c>
      <c r="D387" s="14" t="inlineStr">
        <is>
          <t>C EU 로비</t>
        </is>
      </c>
      <c r="E387" s="13" t="n">
        <v>15542</v>
      </c>
      <c r="F387" s="13" t="n">
        <v>11</v>
      </c>
      <c r="G387" s="15" t="inlineStr">
        <is>
          <t>몇 주 후, 유럽위원회가 로비 투명성 개혁안을 발표하는 기자회견이 열립니다. 하비에르가 취재 합니다.</t>
        </is>
      </c>
    </row>
    <row r="388" ht="15" customHeight="1" s="11">
      <c r="A388" s="13" t="n">
        <v>387</v>
      </c>
      <c r="B388" s="13" t="n">
        <v>27</v>
      </c>
      <c r="C388" s="14">
        <f>INDEX('부작 목록'!$C$2:$C$96,B388)</f>
        <v/>
      </c>
      <c r="D388" s="14" t="inlineStr">
        <is>
          <t>C EU 로비</t>
        </is>
      </c>
      <c r="E388" s="13" t="n">
        <v>15556</v>
      </c>
      <c r="F388" s="13" t="n">
        <v>13</v>
      </c>
      <c r="G388" s="15" t="inlineStr">
        <is>
          <t>몇 달 후, 카를로스가 알바로에게 유럽 전역으로 확산된 수사 상황을 정리해줍니다.</t>
        </is>
      </c>
    </row>
    <row r="389" ht="15" customHeight="1" s="11">
      <c r="A389" s="13" t="n">
        <v>388</v>
      </c>
      <c r="B389" s="13" t="n">
        <v>27</v>
      </c>
      <c r="C389" s="14">
        <f>INDEX('부작 목록'!$C$2:$C$96,B389)</f>
        <v/>
      </c>
      <c r="D389" s="14" t="inlineStr">
        <is>
          <t>C EU 로비</t>
        </is>
      </c>
      <c r="E389" s="13" t="n">
        <v>15572</v>
      </c>
      <c r="F389" s="13" t="n">
        <v>13</v>
      </c>
      <c r="G389" s="15" t="inlineStr">
        <is>
          <t>몇 주 후, 알바로와 카밀라가 마드리드에서 루벤(노동착취 아크의 NGO 대표)과 우연히 재회합 니다.</t>
        </is>
      </c>
    </row>
    <row r="390" ht="15" customHeight="1" s="11">
      <c r="A390" s="13" t="n">
        <v>389</v>
      </c>
      <c r="B390" s="13" t="n">
        <v>27</v>
      </c>
      <c r="C390" s="14">
        <f>INDEX('부작 목록'!$C$2:$C$96,B390)</f>
        <v/>
      </c>
      <c r="D390" s="14" t="inlineStr">
        <is>
          <t>C EU 로비</t>
        </is>
      </c>
      <c r="E390" s="13" t="n">
        <v>15587</v>
      </c>
      <c r="F390" s="13" t="n">
        <v>14</v>
      </c>
      <c r="G390" s="15" t="inlineStr">
        <is>
          <t>몇 달 후, 카밀라가 합법적인 회계법인에서 새 직장 첫날을 마치고 돌아와 알바로와 저녁을 함 께합니다.</t>
        </is>
      </c>
    </row>
    <row r="391" ht="15" customHeight="1" s="11">
      <c r="A391" s="13" t="n">
        <v>390</v>
      </c>
      <c r="B391" s="13" t="n">
        <v>27</v>
      </c>
      <c r="C391" s="14">
        <f>INDEX('부작 목록'!$C$2:$C$96,B391)</f>
        <v/>
      </c>
      <c r="D391" s="14" t="inlineStr">
        <is>
          <t>C EU 로비</t>
        </is>
      </c>
      <c r="E391" s="13" t="n">
        <v>15604</v>
      </c>
      <c r="F391" s="13" t="n">
        <v>15</v>
      </c>
      <c r="G391" s="15" t="inlineStr">
        <is>
          <t>몇 달 후, 하비에르와 알바로의 연작 보도가 유럽 언론상을 수상하며, 모두가 함께 축하하는 자 리를 갖습니다.</t>
        </is>
      </c>
    </row>
    <row r="392" ht="15" customHeight="1" s="11">
      <c r="A392" s="13" t="n">
        <v>391</v>
      </c>
      <c r="B392" s="13" t="n">
        <v>27</v>
      </c>
      <c r="C392" s="14">
        <f>INDEX('부작 목록'!$C$2:$C$96,B392)</f>
        <v/>
      </c>
      <c r="D392" s="14" t="inlineStr">
        <is>
          <t>C EU 로비</t>
        </is>
      </c>
      <c r="E392" s="13" t="n">
        <v>15622</v>
      </c>
      <c r="F392" s="13" t="n">
        <v>15</v>
      </c>
      <c r="G392" s="15" t="inlineStr">
        <is>
          <t>몇 주 후, 카밀라의 오빠 안드레스가 마드리드에 정착한 뒤 처음으로 함께 저녁 식사를 합니다.</t>
        </is>
      </c>
    </row>
    <row r="393" ht="15" customHeight="1" s="11">
      <c r="A393" s="13" t="n">
        <v>392</v>
      </c>
      <c r="B393" s="13" t="n">
        <v>27</v>
      </c>
      <c r="C393" s="14">
        <f>INDEX('부작 목록'!$C$2:$C$96,B393)</f>
        <v/>
      </c>
      <c r="D393" s="14" t="inlineStr">
        <is>
          <t>C EU 로비</t>
        </is>
      </c>
      <c r="E393" s="13" t="n">
        <v>15640</v>
      </c>
      <c r="F393" s="13" t="n">
        <v>14</v>
      </c>
      <c r="G393" s="15" t="inlineStr">
        <is>
          <t>몇 달 후, 카를로스가 로셀요의 압수 자료에서 마침내 루에다와의 직접적 연결 정황을 발견했다 는 소식을 전합니다. 시리즈 전체의 다음 장을 예고합니다.</t>
        </is>
      </c>
    </row>
    <row r="394" ht="15" customHeight="1" s="11">
      <c r="A394" s="13" t="n">
        <v>393</v>
      </c>
      <c r="B394" s="13" t="n">
        <v>27</v>
      </c>
      <c r="C394" s="14">
        <f>INDEX('부작 목록'!$C$2:$C$96,B394)</f>
        <v/>
      </c>
      <c r="D394" s="14" t="inlineStr">
        <is>
          <t>C EU 로비</t>
        </is>
      </c>
      <c r="E394" s="13" t="n">
        <v>15657</v>
      </c>
      <c r="F394" s="13" t="n">
        <v>14</v>
      </c>
      <c r="G394" s="15" t="inlineStr">
        <is>
          <t>그날 밤, 알바로가 카밀라에게 루에다 관련 새 소식을 조심스럽게 전하며 미래에 대해 이야기합 니다.</t>
        </is>
      </c>
    </row>
    <row r="395" ht="15" customHeight="1" s="11">
      <c r="A395" s="13" t="n">
        <v>394</v>
      </c>
      <c r="B395" s="13" t="n">
        <v>27</v>
      </c>
      <c r="C395" s="14">
        <f>INDEX('부작 목록'!$C$2:$C$96,B395)</f>
        <v/>
      </c>
      <c r="D395" s="14" t="inlineStr">
        <is>
          <t>C EU 로비</t>
        </is>
      </c>
      <c r="E395" s="13" t="n">
        <v>15673</v>
      </c>
      <c r="F395" s="13" t="n">
        <v>16</v>
      </c>
      <c r="G395" s="15" t="inlineStr">
        <is>
          <t>며칠 후, 알바로가 하비에르와 함께 지금까지의 모든 여정을 돌아보는 긴 대화를 나눕니다.</t>
        </is>
      </c>
    </row>
    <row r="396" ht="28.35" customHeight="1" s="11">
      <c r="A396" s="13" t="n">
        <v>395</v>
      </c>
      <c r="B396" s="13" t="n">
        <v>27</v>
      </c>
      <c r="C396" s="14">
        <f>INDEX('부작 목록'!$C$2:$C$96,B396)</f>
        <v/>
      </c>
      <c r="D396" s="14" t="inlineStr">
        <is>
          <t>C EU 로비</t>
        </is>
      </c>
      <c r="E396" s="13" t="n">
        <v>15692</v>
      </c>
      <c r="F396" s="13" t="n">
        <v>15</v>
      </c>
      <c r="G396" s="15" t="inlineStr">
        <is>
          <t>몇 주 후, 카밀라가 비슷한 상황에 처한 다른 사람들을 돕기 위한 새로운 프로젝트를 알바로에 게 제안합니다.</t>
        </is>
      </c>
    </row>
    <row r="397" ht="15" customHeight="1" s="11">
      <c r="A397" s="13" t="n">
        <v>396</v>
      </c>
      <c r="B397" s="13" t="n">
        <v>27</v>
      </c>
      <c r="C397" s="14">
        <f>INDEX('부작 목록'!$C$2:$C$96,B397)</f>
        <v/>
      </c>
      <c r="D397" s="14" t="inlineStr">
        <is>
          <t>C EU 로비</t>
        </is>
      </c>
      <c r="E397" s="13" t="n">
        <v>15710</v>
      </c>
      <c r="F397" s="13" t="n">
        <v>16</v>
      </c>
      <c r="G397" s="15" t="inlineStr">
        <is>
          <t>몇 달 후, 새로운 실마리. '엘 아르키텍토'(아드리안 로셀요)가 메리디안 급습 때 도주한 뒤, 이번에는 다른 브뤼셀 로비 회사를 통해 EU 금융규제 완화를 위해 움직이고 있다는 정황이 포착됩니다.</t>
        </is>
      </c>
    </row>
    <row r="398" ht="15" customHeight="1" s="11">
      <c r="A398" s="13" t="n">
        <v>397</v>
      </c>
      <c r="B398" s="13" t="n">
        <v>27</v>
      </c>
      <c r="C398" s="14">
        <f>INDEX('부작 목록'!$C$2:$C$96,B398)</f>
        <v/>
      </c>
      <c r="D398" s="14" t="inlineStr">
        <is>
          <t>C EU 로비</t>
        </is>
      </c>
      <c r="E398" s="13" t="n">
        <v>15729</v>
      </c>
      <c r="F398" s="13" t="n">
        <v>18</v>
      </c>
      <c r="G398" s="15" t="inlineStr">
        <is>
          <t>알바로가 카밀라에게 새로운 사건을 설명하며, 도움을 요청합니다.</t>
        </is>
      </c>
    </row>
    <row r="399" ht="15" customHeight="1" s="11">
      <c r="A399" s="13" t="n">
        <v>398</v>
      </c>
      <c r="B399" s="13" t="n">
        <v>27</v>
      </c>
      <c r="C399" s="14">
        <f>INDEX('부작 목록'!$C$2:$C$96,B399)</f>
        <v/>
      </c>
      <c r="D399" s="14" t="inlineStr">
        <is>
          <t>C EU 로비</t>
        </is>
      </c>
      <c r="E399" s="13" t="n">
        <v>15750</v>
      </c>
      <c r="F399" s="13" t="n">
        <v>19</v>
      </c>
      <c r="G399" s="15" t="inlineStr">
        <is>
          <t>카밀라가 확보된 문서를 분석하며, 브뤼셀 로비 회사와 재단의 자금 구조를 설명합니다.</t>
        </is>
      </c>
    </row>
    <row r="400" ht="15" customHeight="1" s="11">
      <c r="A400" s="13" t="n">
        <v>399</v>
      </c>
      <c r="B400" s="13" t="n">
        <v>27</v>
      </c>
      <c r="C400" s="14">
        <f>INDEX('부작 목록'!$C$2:$C$96,B400)</f>
        <v/>
      </c>
      <c r="D400" s="14" t="inlineStr">
        <is>
          <t>C EU 로비</t>
        </is>
      </c>
      <c r="E400" s="13" t="n">
        <v>15772</v>
      </c>
      <c r="F400" s="13" t="n">
        <v>14</v>
      </c>
      <c r="G400" s="15" t="inlineStr">
        <is>
          <t>알바로가 하비에르의 브뤼셀 특파원 동료 이니고 사라비아와 연결해, 카밀라와 함께 3자 화상회 의를 합니다.</t>
        </is>
      </c>
    </row>
    <row r="401" ht="15" customHeight="1" s="11">
      <c r="A401" s="13" t="n">
        <v>400</v>
      </c>
      <c r="B401" s="13" t="n">
        <v>27</v>
      </c>
      <c r="C401" s="14">
        <f>INDEX('부작 목록'!$C$2:$C$96,B401)</f>
        <v/>
      </c>
      <c r="D401" s="14" t="inlineStr">
        <is>
          <t>C EU 로비</t>
        </is>
      </c>
      <c r="E401" s="13" t="n">
        <v>15789</v>
      </c>
      <c r="F401" s="13" t="n">
        <v>13</v>
      </c>
      <c r="G401" s="15" t="inlineStr">
        <is>
          <t>며칠 후, 이니고가 J. 베르호벤의 신원을 확인한 결과를 전합니다.</t>
        </is>
      </c>
    </row>
    <row r="402" ht="15" customHeight="1" s="11">
      <c r="A402" s="13" t="n">
        <v>401</v>
      </c>
      <c r="B402" s="13" t="n">
        <v>27</v>
      </c>
      <c r="C402" s="14">
        <f>INDEX('부작 목록'!$C$2:$C$96,B402)</f>
        <v/>
      </c>
      <c r="D402" s="14" t="inlineStr">
        <is>
          <t>C EU 로비</t>
        </is>
      </c>
      <c r="E402" s="13" t="n">
        <v>15805</v>
      </c>
      <c r="F402" s="13" t="n">
        <v>12</v>
      </c>
      <c r="G402" s="15" t="inlineStr">
        <is>
          <t>알바로가 카를로스에게 상황을 보고하며, 이 사건이 국가 차원을 넘어선다는 걸 확인합니다.</t>
        </is>
      </c>
    </row>
    <row r="403" ht="28.35" customHeight="1" s="11">
      <c r="A403" s="13" t="n">
        <v>402</v>
      </c>
      <c r="B403" s="13" t="n">
        <v>27</v>
      </c>
      <c r="C403" s="14">
        <f>INDEX('부작 목록'!$C$2:$C$96,B403)</f>
        <v/>
      </c>
      <c r="D403" s="14" t="inlineStr">
        <is>
          <t>C EU 로비</t>
        </is>
      </c>
      <c r="E403" s="13" t="n">
        <v>15819</v>
      </c>
      <c r="F403" s="13" t="n">
        <v>10</v>
      </c>
      <c r="G403" s="15" t="inlineStr">
        <is>
          <t>며칠 후, 카밀라가 익명의 메시지를 받으며 위협이 재개됩니다.</t>
        </is>
      </c>
    </row>
    <row r="404" ht="15" customHeight="1" s="11">
      <c r="A404" s="13" t="n">
        <v>403</v>
      </c>
      <c r="B404" s="13" t="n">
        <v>27</v>
      </c>
      <c r="C404" s="14">
        <f>INDEX('부작 목록'!$C$2:$C$96,B404)</f>
        <v/>
      </c>
      <c r="D404" s="14" t="inlineStr">
        <is>
          <t>C EU 로비</t>
        </is>
      </c>
      <c r="E404" s="13" t="n">
        <v>15832</v>
      </c>
      <c r="F404" s="13" t="n">
        <v>11</v>
      </c>
      <c r="G404" s="15" t="inlineStr">
        <is>
          <t>카를로스가 신속하게 카밀라 보호 조치를 강화하고, 알바로와 카밀라가 계속 조사할지 논의합니 다.</t>
        </is>
      </c>
    </row>
    <row r="405" ht="15" customHeight="1" s="11">
      <c r="A405" s="13" t="n">
        <v>404</v>
      </c>
      <c r="B405" s="13" t="n">
        <v>27</v>
      </c>
      <c r="C405" s="14">
        <f>INDEX('부작 목록'!$C$2:$C$96,B405)</f>
        <v/>
      </c>
      <c r="D405" s="14" t="inlineStr">
        <is>
          <t>C EU 로비</t>
        </is>
      </c>
      <c r="E405" s="13" t="n">
        <v>15846</v>
      </c>
      <c r="F405" s="13" t="n">
        <v>11</v>
      </c>
      <c r="G405" s="15" t="inlineStr">
        <is>
          <t>이니고가 벨기에 정보원을 통해 추가 정보를 확보합니다.</t>
        </is>
      </c>
    </row>
    <row r="406" ht="15" customHeight="1" s="11">
      <c r="A406" s="13" t="n">
        <v>405</v>
      </c>
      <c r="B406" s="13" t="n">
        <v>27</v>
      </c>
      <c r="C406" s="14">
        <f>INDEX('부작 목록'!$C$2:$C$96,B406)</f>
        <v/>
      </c>
      <c r="D406" s="14" t="inlineStr">
        <is>
          <t>C EU 로비</t>
        </is>
      </c>
      <c r="E406" s="13" t="n">
        <v>15859</v>
      </c>
      <c r="F406" s="13" t="n">
        <v>13</v>
      </c>
      <c r="G406" s="15" t="inlineStr">
        <is>
          <t>이니고가 EU 내부 제보자 마르턴 데브리스와의 접선을 성사시킵니다. 알바로가 직접 브뤼셀로 가서 만납니다.</t>
        </is>
      </c>
    </row>
    <row r="407" ht="15" customHeight="1" s="11">
      <c r="A407" s="13" t="n">
        <v>406</v>
      </c>
      <c r="B407" s="13" t="n">
        <v>27</v>
      </c>
      <c r="C407" s="14">
        <f>INDEX('부작 목록'!$C$2:$C$96,B407)</f>
        <v/>
      </c>
      <c r="D407" s="14" t="inlineStr">
        <is>
          <t>C EU 로비</t>
        </is>
      </c>
      <c r="E407" s="13" t="n">
        <v>15875</v>
      </c>
      <c r="F407" s="13" t="n">
        <v>18</v>
      </c>
      <c r="G407" s="15" t="inlineStr">
        <is>
          <t>알바로가 자스퍼 베르호벤에게 공식 인터뷰를 요청하며 직접 대면합니다.</t>
        </is>
      </c>
    </row>
    <row r="408" ht="15" customHeight="1" s="11">
      <c r="A408" s="13" t="n">
        <v>407</v>
      </c>
      <c r="B408" s="13" t="n">
        <v>27</v>
      </c>
      <c r="C408" s="14">
        <f>INDEX('부작 목록'!$C$2:$C$96,B408)</f>
        <v/>
      </c>
      <c r="D408" s="14" t="inlineStr">
        <is>
          <t>C EU 로비</t>
        </is>
      </c>
      <c r="E408" s="13" t="n">
        <v>15896</v>
      </c>
      <c r="F408" s="13" t="n">
        <v>10</v>
      </c>
      <c r="G408" s="15" t="inlineStr">
        <is>
          <t>카밀라가 마르턴이 넘긴 문서를 분석하며, 로셀요와의 직접적 연결고리를 발견합니다.</t>
        </is>
      </c>
    </row>
    <row r="409" ht="28.35" customHeight="1" s="11">
      <c r="A409" s="13" t="n">
        <v>408</v>
      </c>
      <c r="B409" s="13" t="n">
        <v>27</v>
      </c>
      <c r="C409" s="14">
        <f>INDEX('부작 목록'!$C$2:$C$96,B409)</f>
        <v/>
      </c>
      <c r="D409" s="14" t="inlineStr">
        <is>
          <t>C EU 로비</t>
        </is>
      </c>
      <c r="E409" s="13" t="n">
        <v>15909</v>
      </c>
      <c r="F409" s="13" t="n">
        <v>12</v>
      </c>
      <c r="G409" s="15" t="inlineStr">
        <is>
          <t>카를로스가 EU 반부패기구와의 공식 공조를 성사시킵니다.</t>
        </is>
      </c>
    </row>
    <row r="410" ht="28.35" customHeight="1" s="11">
      <c r="A410" s="13" t="n">
        <v>409</v>
      </c>
      <c r="B410" s="13" t="n">
        <v>27</v>
      </c>
      <c r="C410" s="14">
        <f>INDEX('부작 목록'!$C$2:$C$96,B410)</f>
        <v/>
      </c>
      <c r="D410" s="14" t="inlineStr">
        <is>
          <t>C EU 로비</t>
        </is>
      </c>
      <c r="E410" s="13" t="n">
        <v>15923</v>
      </c>
      <c r="F410" s="13" t="n">
        <v>9</v>
      </c>
      <c r="G410" s="15" t="inlineStr">
        <is>
          <t>몇 주 후, 마르턴 데브리스가 자신이 감시당하고 있다는 걸 눈치채며 위기가 발생합니다.</t>
        </is>
      </c>
    </row>
    <row r="411" ht="15" customHeight="1" s="11">
      <c r="A411" s="13" t="n">
        <v>410</v>
      </c>
      <c r="B411" s="13" t="n">
        <v>27</v>
      </c>
      <c r="C411" s="14">
        <f>INDEX('부작 목록'!$C$2:$C$96,B411)</f>
        <v/>
      </c>
      <c r="D411" s="14" t="inlineStr">
        <is>
          <t>C EU 로비</t>
        </is>
      </c>
      <c r="E411" s="13" t="n">
        <v>15935</v>
      </c>
      <c r="F411" s="13" t="n">
        <v>10</v>
      </c>
      <c r="G411" s="15" t="inlineStr">
        <is>
          <t>알바로, 카를로스, 이니고가 마르턴 보호를 위한 긴급 대응을 논의합니다.</t>
        </is>
      </c>
    </row>
    <row r="412" ht="15" customHeight="1" s="11">
      <c r="A412" s="13" t="n">
        <v>411</v>
      </c>
      <c r="B412" s="13" t="n">
        <v>27</v>
      </c>
      <c r="C412" s="14">
        <f>INDEX('부작 목록'!$C$2:$C$96,B412)</f>
        <v/>
      </c>
      <c r="D412" s="14" t="inlineStr">
        <is>
          <t>C EU 로비</t>
        </is>
      </c>
      <c r="E412" s="13" t="n">
        <v>15947</v>
      </c>
      <c r="F412" s="13" t="n">
        <v>10</v>
      </c>
      <c r="G412" s="15" t="inlineStr">
        <is>
          <t>며칠 후, 벨기에와 스페인 양국 법원이 개입을 승인합니다.</t>
        </is>
      </c>
    </row>
    <row r="413" ht="15" customHeight="1" s="11">
      <c r="A413" s="13" t="n">
        <v>412</v>
      </c>
      <c r="B413" s="13" t="n">
        <v>27</v>
      </c>
      <c r="C413" s="14">
        <f>INDEX('부작 목록'!$C$2:$C$96,B413)</f>
        <v/>
      </c>
      <c r="D413" s="14" t="inlineStr">
        <is>
          <t>C EU 로비</t>
        </is>
      </c>
      <c r="E413" s="13" t="n">
        <v>15959</v>
      </c>
      <c r="F413" s="13" t="n">
        <v>11</v>
      </c>
      <c r="G413" s="15" t="inlineStr">
        <is>
          <t>작전을 앞둔 밤, 알바로와 카밀라가 조용히 대화를 나눕니다.</t>
        </is>
      </c>
    </row>
    <row r="414" ht="28.35" customHeight="1" s="11">
      <c r="A414" s="13" t="n">
        <v>413</v>
      </c>
      <c r="B414" s="13" t="n">
        <v>27</v>
      </c>
      <c r="C414" s="14">
        <f>INDEX('부작 목록'!$C$2:$C$96,B414)</f>
        <v/>
      </c>
      <c r="D414" s="14" t="inlineStr">
        <is>
          <t>C EU 로비</t>
        </is>
      </c>
      <c r="E414" s="13" t="n">
        <v>15973</v>
      </c>
      <c r="F414" s="13" t="n">
        <v>14</v>
      </c>
      <c r="G414" s="15" t="inlineStr">
        <is>
          <t>개입 당일. 벨기에·룩셈부르크·스페인이 동시에 작전을 실행합니다. 알바로가 브뤼셀 현장에서 지켜봅니다.</t>
        </is>
      </c>
    </row>
    <row r="415" ht="15" customHeight="1" s="11">
      <c r="A415" s="13" t="n">
        <v>414</v>
      </c>
      <c r="B415" s="13" t="n">
        <v>27</v>
      </c>
      <c r="C415" s="14">
        <f>INDEX('부작 목록'!$C$2:$C$96,B415)</f>
        <v/>
      </c>
      <c r="D415" s="14" t="inlineStr">
        <is>
          <t>C EU 로비</t>
        </is>
      </c>
      <c r="E415" s="13" t="n">
        <v>15989</v>
      </c>
      <c r="F415" s="13" t="n">
        <v>11</v>
      </c>
      <c r="G415" s="15" t="inlineStr">
        <is>
          <t>며칠 후, 카밀라와 마르턴이 압수된 자료를 함께 분석하며 로셀요의 흔적을 추적합니다.</t>
        </is>
      </c>
    </row>
    <row r="416" ht="15" customHeight="1" s="11">
      <c r="A416" s="13" t="n">
        <v>415</v>
      </c>
      <c r="B416" s="13" t="n">
        <v>27</v>
      </c>
      <c r="C416" s="14">
        <f>INDEX('부작 목록'!$C$2:$C$96,B416)</f>
        <v/>
      </c>
      <c r="D416" s="14" t="inlineStr">
        <is>
          <t>C EU 로비</t>
        </is>
      </c>
      <c r="E416" s="13" t="n">
        <v>16003</v>
      </c>
      <c r="F416" s="13" t="n">
        <v>12</v>
      </c>
      <c r="G416" s="15" t="inlineStr">
        <is>
          <t>마르턴이 예약 패턴을 대조해 회의 장소를 특정합니다.</t>
        </is>
      </c>
    </row>
    <row r="417" ht="15" customHeight="1" s="11">
      <c r="A417" s="13" t="n">
        <v>416</v>
      </c>
      <c r="B417" s="13" t="n">
        <v>27</v>
      </c>
      <c r="C417" s="14">
        <f>INDEX('부작 목록'!$C$2:$C$96,B417)</f>
        <v/>
      </c>
      <c r="D417" s="14" t="inlineStr">
        <is>
          <t>C EU 로비</t>
        </is>
      </c>
      <c r="E417" s="13" t="n">
        <v>16018</v>
      </c>
      <c r="F417" s="13" t="n">
        <v>11</v>
      </c>
      <c r="G417" s="15" t="inlineStr">
        <is>
          <t>카를로스가 스위스 당국과의 협력을 조율하며, 최종 작전을 준비합니다.</t>
        </is>
      </c>
    </row>
    <row r="418" ht="15" customHeight="1" s="11">
      <c r="A418" s="13" t="n">
        <v>417</v>
      </c>
      <c r="B418" s="13" t="n">
        <v>27</v>
      </c>
      <c r="C418" s="14">
        <f>INDEX('부작 목록'!$C$2:$C$96,B418)</f>
        <v/>
      </c>
      <c r="D418" s="14" t="inlineStr">
        <is>
          <t>C EU 로비</t>
        </is>
      </c>
      <c r="E418" s="13" t="n">
        <v>16031</v>
      </c>
      <c r="F418" s="13" t="n">
        <v>11</v>
      </c>
      <c r="G418" s="15" t="inlineStr">
        <is>
          <t>알바로가 학회 참가자로 위장해 제네바 호텔에 도착합니다.</t>
        </is>
      </c>
    </row>
    <row r="419" ht="15" customHeight="1" s="11">
      <c r="A419" s="13" t="n">
        <v>418</v>
      </c>
      <c r="B419" s="13" t="n">
        <v>27</v>
      </c>
      <c r="C419" s="14">
        <f>INDEX('부작 목록'!$C$2:$C$96,B419)</f>
        <v/>
      </c>
      <c r="D419" s="14" t="inlineStr">
        <is>
          <t>C EU 로비</t>
        </is>
      </c>
      <c r="E419" s="13" t="n">
        <v>16044</v>
      </c>
      <c r="F419" s="13" t="n">
        <v>10</v>
      </c>
      <c r="G419" s="15" t="inlineStr">
        <is>
          <t>카를로스와 마르코스가 사진을 분석해 정체를 확인합니다.</t>
        </is>
      </c>
    </row>
    <row r="420" ht="15" customHeight="1" s="11">
      <c r="A420" s="13" t="n">
        <v>419</v>
      </c>
      <c r="B420" s="13" t="n">
        <v>27</v>
      </c>
      <c r="C420" s="14">
        <f>INDEX('부작 목록'!$C$2:$C$96,B420)</f>
        <v/>
      </c>
      <c r="D420" s="14" t="inlineStr">
        <is>
          <t>C EU 로비</t>
        </is>
      </c>
      <c r="E420" s="13" t="n">
        <v>16057</v>
      </c>
      <c r="F420" s="13" t="n">
        <v>11</v>
      </c>
      <c r="G420" s="15" t="inlineStr">
        <is>
          <t>다음 날, 알바로가 감시하던 중 로셀요의 경호원으로 보이는 남자에게 정체를 의심받을 뻔한 순간이 벌어집니다.</t>
        </is>
      </c>
    </row>
    <row r="421" ht="15" customHeight="1" s="11">
      <c r="A421" s="13" t="n">
        <v>420</v>
      </c>
      <c r="B421" s="13" t="n">
        <v>27</v>
      </c>
      <c r="C421" s="14">
        <f>INDEX('부작 목록'!$C$2:$C$96,B421)</f>
        <v/>
      </c>
      <c r="D421" s="14" t="inlineStr">
        <is>
          <t>C EU 로비</t>
        </is>
      </c>
      <c r="E421" s="13" t="n">
        <v>16070</v>
      </c>
      <c r="F421" s="13" t="n">
        <v>11</v>
      </c>
      <c r="G421" s="15" t="inlineStr">
        <is>
          <t>알바로가 안전하게 철수한 뒤, 스위스 당국이 정식으로 감시를 인계받습니다.</t>
        </is>
      </c>
    </row>
    <row r="422" ht="15" customHeight="1" s="11">
      <c r="A422" s="13" t="n">
        <v>421</v>
      </c>
      <c r="B422" s="13" t="n">
        <v>27</v>
      </c>
      <c r="C422" s="14">
        <f>INDEX('부작 목록'!$C$2:$C$96,B422)</f>
        <v/>
      </c>
      <c r="D422" s="14" t="inlineStr">
        <is>
          <t>C EU 로비</t>
        </is>
      </c>
      <c r="E422" s="13" t="n">
        <v>16084</v>
      </c>
      <c r="F422" s="13" t="n">
        <v>11</v>
      </c>
      <c r="G422" s="15" t="inlineStr">
        <is>
          <t>마드리드로 돌아온 알바로가 카밀라와 재회하며, 제네바에서 있었던 일을 전합니다.</t>
        </is>
      </c>
    </row>
    <row r="423" ht="15" customHeight="1" s="11">
      <c r="A423" s="13" t="n">
        <v>422</v>
      </c>
      <c r="B423" s="13" t="n">
        <v>27</v>
      </c>
      <c r="C423" s="14">
        <f>INDEX('부작 목록'!$C$2:$C$96,B423)</f>
        <v/>
      </c>
      <c r="D423" s="14" t="inlineStr">
        <is>
          <t>C EU 로비</t>
        </is>
      </c>
      <c r="E423" s="13" t="n">
        <v>16098</v>
      </c>
      <c r="F423" s="13" t="n">
        <v>11</v>
      </c>
      <c r="G423" s="15" t="inlineStr">
        <is>
          <t>이니고가 마르턴의 안전한 이전 상황을 확인합니다.</t>
        </is>
      </c>
    </row>
    <row r="424" ht="15" customHeight="1" s="11">
      <c r="A424" s="13" t="n">
        <v>423</v>
      </c>
      <c r="B424" s="13" t="n">
        <v>27</v>
      </c>
      <c r="C424" s="14">
        <f>INDEX('부작 목록'!$C$2:$C$96,B424)</f>
        <v/>
      </c>
      <c r="D424" s="14" t="inlineStr">
        <is>
          <t>C EU 로비</t>
        </is>
      </c>
      <c r="E424" s="13" t="n">
        <v>16111</v>
      </c>
      <c r="F424" s="13" t="n">
        <v>23</v>
      </c>
      <c r="G424" s="15" t="inlineStr">
        <is>
          <t>자스퍼 베르호벤이 변호사와 상담 후 전면 협조를 결정하며, 로셀요에 대한 새로운 정보를 제공합니다. 신문은 벨기에 수사관이 맡고, 카를로스와 알바로는 검찰의 허가를 받아 유리창 너머에서 지켜봅니다.</t>
        </is>
      </c>
    </row>
    <row r="425" ht="15" customHeight="1" s="11">
      <c r="A425" s="13" t="n">
        <v>424</v>
      </c>
      <c r="B425" s="13" t="n">
        <v>27</v>
      </c>
      <c r="C425" s="14">
        <f>INDEX('부작 목록'!$C$2:$C$96,B425)</f>
        <v/>
      </c>
      <c r="D425" s="14" t="inlineStr">
        <is>
          <t>C EU 로비</t>
        </is>
      </c>
      <c r="E425" s="13" t="n">
        <v>16137</v>
      </c>
      <c r="F425" s="13" t="n">
        <v>13</v>
      </c>
      <c r="G425" s="15" t="inlineStr">
        <is>
          <t>알바로가 하비에르에게 이번 국제 사건의 전모를 상세히 설명하며 보도를 준비합니다.</t>
        </is>
      </c>
    </row>
    <row r="426" ht="15" customHeight="1" s="11">
      <c r="A426" s="13" t="n">
        <v>425</v>
      </c>
      <c r="B426" s="13" t="n">
        <v>27</v>
      </c>
      <c r="C426" s="14">
        <f>INDEX('부작 목록'!$C$2:$C$96,B426)</f>
        <v/>
      </c>
      <c r="D426" s="14" t="inlineStr">
        <is>
          <t>C EU 로비</t>
        </is>
      </c>
      <c r="E426" s="13" t="n">
        <v>16153</v>
      </c>
      <c r="F426" s="13" t="n">
        <v>12</v>
      </c>
      <c r="G426" s="15" t="inlineStr">
        <is>
          <t>보도가 나간 뒤, 유럽 전역에서 큰 반향이 일어납니다.</t>
        </is>
      </c>
    </row>
    <row r="427" ht="15" customHeight="1" s="11">
      <c r="A427" s="13" t="n">
        <v>426</v>
      </c>
      <c r="B427" s="13" t="n">
        <v>27</v>
      </c>
      <c r="C427" s="14">
        <f>INDEX('부작 목록'!$C$2:$C$96,B427)</f>
        <v/>
      </c>
      <c r="D427" s="14" t="inlineStr">
        <is>
          <t>C EU 로비</t>
        </is>
      </c>
      <c r="E427" s="13" t="n">
        <v>16168</v>
      </c>
      <c r="F427" s="13" t="n">
        <v>15</v>
      </c>
      <c r="G427" s="15" t="inlineStr">
        <is>
          <t>몇 주 후, 카를로스가 이번 사건이 가져온 제도적 변화를 자세히 설명합니다.</t>
        </is>
      </c>
    </row>
    <row r="428" ht="15" customHeight="1" s="11">
      <c r="A428" s="13" t="n">
        <v>427</v>
      </c>
      <c r="B428" s="13" t="n">
        <v>27</v>
      </c>
      <c r="C428" s="14">
        <f>INDEX('부작 목록'!$C$2:$C$96,B428)</f>
        <v/>
      </c>
      <c r="D428" s="14" t="inlineStr">
        <is>
          <t>C EU 로비</t>
        </is>
      </c>
      <c r="E428" s="13" t="n">
        <v>16186</v>
      </c>
      <c r="F428" s="13" t="n">
        <v>12</v>
      </c>
      <c r="G428" s="15" t="inlineStr">
        <is>
          <t>카를로스가 카밀라에게 CNI 자문으로 정식 협력할 것을 제안합니다.</t>
        </is>
      </c>
    </row>
    <row r="429" ht="15" customHeight="1" s="11">
      <c r="A429" s="13" t="n">
        <v>428</v>
      </c>
      <c r="B429" s="13" t="n">
        <v>27</v>
      </c>
      <c r="C429" s="14">
        <f>INDEX('부작 목록'!$C$2:$C$96,B429)</f>
        <v/>
      </c>
      <c r="D429" s="14" t="inlineStr">
        <is>
          <t>C EU 로비</t>
        </is>
      </c>
      <c r="E429" s="13" t="n">
        <v>16200</v>
      </c>
      <c r="F429" s="13" t="n">
        <v>16</v>
      </c>
      <c r="G429" s="15" t="inlineStr">
        <is>
          <t>몇 주 후, 알바로·카밀라·하비에르·카를로스·이니고(화상)가 함께 모여 이 긴 국제 수사를 자축합 니다.</t>
        </is>
      </c>
    </row>
    <row r="430" ht="15" customHeight="1" s="11">
      <c r="A430" s="13" t="n">
        <v>429</v>
      </c>
      <c r="B430" s="13" t="n">
        <v>27</v>
      </c>
      <c r="C430" s="14">
        <f>INDEX('부작 목록'!$C$2:$C$96,B430)</f>
        <v/>
      </c>
      <c r="D430" s="14" t="inlineStr">
        <is>
          <t>C EU 로비</t>
        </is>
      </c>
      <c r="E430" s="13" t="n">
        <v>16219</v>
      </c>
      <c r="F430" s="13" t="n">
        <v>13</v>
      </c>
      <c r="G430" s="15" t="inlineStr">
        <is>
          <t>몇 달 후, 카밀라가 CNI 자문으로 일하며 새로운 이상 패턴을 발견합니다.</t>
        </is>
      </c>
    </row>
    <row r="431" ht="15" customHeight="1" s="11">
      <c r="A431" s="13" t="n">
        <v>430</v>
      </c>
      <c r="B431" s="13" t="n">
        <v>27</v>
      </c>
      <c r="C431" s="14">
        <f>INDEX('부작 목록'!$C$2:$C$96,B431)</f>
        <v/>
      </c>
      <c r="D431" s="14" t="inlineStr">
        <is>
          <t>C EU 로비</t>
        </is>
      </c>
      <c r="E431" s="13" t="n">
        <v>16235</v>
      </c>
      <c r="F431" s="13" t="n">
        <v>12</v>
      </c>
      <c r="G431" s="15" t="inlineStr">
        <is>
          <t>카를로스가 아일랜드 당국과의 초기 협조를 시작하며, 새로운 국면이 열립니다.</t>
        </is>
      </c>
    </row>
    <row r="432" ht="15" customHeight="1" s="11">
      <c r="A432" s="13" t="n">
        <v>431</v>
      </c>
      <c r="B432" s="13" t="n">
        <v>27</v>
      </c>
      <c r="C432" s="14">
        <f>INDEX('부작 목록'!$C$2:$C$96,B432)</f>
        <v/>
      </c>
      <c r="D432" s="14" t="inlineStr">
        <is>
          <t>C EU 로비</t>
        </is>
      </c>
      <c r="E432" s="13" t="n">
        <v>16250</v>
      </c>
      <c r="F432" s="13" t="n">
        <v>12</v>
      </c>
      <c r="G432" s="15" t="inlineStr">
        <is>
          <t>카밀라가 핀테크 오로라의 자금 구조를 분석하며, 이전보다 더 정교해진 패턴을 발견합니다.</t>
        </is>
      </c>
    </row>
    <row r="433" ht="15" customHeight="1" s="11">
      <c r="A433" s="13" t="n">
        <v>432</v>
      </c>
      <c r="B433" s="13" t="n">
        <v>27</v>
      </c>
      <c r="C433" s="14">
        <f>INDEX('부작 목록'!$C$2:$C$96,B433)</f>
        <v/>
      </c>
      <c r="D433" s="14" t="inlineStr">
        <is>
          <t>C EU 로비</t>
        </is>
      </c>
      <c r="E433" s="13" t="n">
        <v>16264</v>
      </c>
      <c r="F433" s="13" t="n">
        <v>12</v>
      </c>
      <c r="G433" s="15" t="inlineStr">
        <is>
          <t>카를로스가 아일랜드 금융감독 당국과 공식 회의를 주선합니다. 알바로와 카밀라도 참석합니다.</t>
        </is>
      </c>
    </row>
    <row r="434" ht="15" customHeight="1" s="11">
      <c r="A434" s="13" t="n">
        <v>433</v>
      </c>
      <c r="B434" s="13" t="n">
        <v>27</v>
      </c>
      <c r="C434" s="14">
        <f>INDEX('부작 목록'!$C$2:$C$96,B434)</f>
        <v/>
      </c>
      <c r="D434" s="14" t="inlineStr">
        <is>
          <t>C EU 로비</t>
        </is>
      </c>
      <c r="E434" s="13" t="n">
        <v>16279</v>
      </c>
      <c r="F434" s="13" t="n">
        <v>10</v>
      </c>
      <c r="G434" s="15" t="inlineStr">
        <is>
          <t>협조 중인 베르호벤이 로셀요 조직의 새로운 통신 방식에 대한 마지막 정보를 제공합니다.</t>
        </is>
      </c>
    </row>
    <row r="435" ht="15" customHeight="1" s="11">
      <c r="A435" s="13" t="n">
        <v>434</v>
      </c>
      <c r="B435" s="13" t="n">
        <v>27</v>
      </c>
      <c r="C435" s="14">
        <f>INDEX('부작 목록'!$C$2:$C$96,B435)</f>
        <v/>
      </c>
      <c r="D435" s="14" t="inlineStr">
        <is>
          <t>C EU 로비</t>
        </is>
      </c>
      <c r="E435" s="13" t="n">
        <v>16292</v>
      </c>
      <c r="F435" s="13" t="n">
        <v>12</v>
      </c>
      <c r="G435" s="15" t="inlineStr">
        <is>
          <t>카밀라와 마르코스가 몬테 디지털 옥션스의 경매 목록을 분석하며 암호화된 메시지 패턴을 찾 습니다.</t>
        </is>
      </c>
    </row>
    <row r="436" ht="15" customHeight="1" s="11">
      <c r="A436" s="13" t="n">
        <v>435</v>
      </c>
      <c r="B436" s="13" t="n">
        <v>27</v>
      </c>
      <c r="C436" s="14">
        <f>INDEX('부작 목록'!$C$2:$C$96,B436)</f>
        <v/>
      </c>
      <c r="D436" s="14" t="inlineStr">
        <is>
          <t>C EU 로비</t>
        </is>
      </c>
      <c r="E436" s="13" t="n">
        <v>16306</v>
      </c>
      <c r="F436" s="13" t="n">
        <v>13</v>
      </c>
      <c r="G436" s="15" t="inlineStr">
        <is>
          <t>카를로스가 세 개의 의심스러운 경매 계정을 추적한 결과를 전합니다.</t>
        </is>
      </c>
    </row>
    <row r="437" ht="15" customHeight="1" s="11">
      <c r="A437" s="13" t="n">
        <v>436</v>
      </c>
      <c r="B437" s="13" t="n">
        <v>27</v>
      </c>
      <c r="C437" s="14">
        <f>INDEX('부작 목록'!$C$2:$C$96,B437)</f>
        <v/>
      </c>
      <c r="D437" s="14" t="inlineStr">
        <is>
          <t>C EU 로비</t>
        </is>
      </c>
      <c r="E437" s="13" t="n">
        <v>16322</v>
      </c>
      <c r="F437" s="13" t="n">
        <v>12</v>
      </c>
      <c r="G437" s="15" t="inlineStr">
        <is>
          <t>프랑스 당국의 감시 결과, 니스 주소에 대한 새로운 정보가 전해집니다.</t>
        </is>
      </c>
    </row>
    <row r="438" ht="15" customHeight="1" s="11">
      <c r="A438" s="13" t="n">
        <v>437</v>
      </c>
      <c r="B438" s="13" t="n">
        <v>27</v>
      </c>
      <c r="C438" s="14">
        <f>INDEX('부작 목록'!$C$2:$C$96,B438)</f>
        <v/>
      </c>
      <c r="D438" s="14" t="inlineStr">
        <is>
          <t>C EU 로비</t>
        </is>
      </c>
      <c r="E438" s="13" t="n">
        <v>16337</v>
      </c>
      <c r="F438" s="13" t="n">
        <v>10</v>
      </c>
      <c r="G438" s="15" t="inlineStr">
        <is>
          <t>며칠 후, 프랑스 당국이 니스 주소에 대한 개입을 승인합니다.</t>
        </is>
      </c>
    </row>
    <row r="439" ht="15" customHeight="1" s="11">
      <c r="A439" s="13" t="n">
        <v>438</v>
      </c>
      <c r="B439" s="13" t="n">
        <v>27</v>
      </c>
      <c r="C439" s="14">
        <f>INDEX('부작 목록'!$C$2:$C$96,B439)</f>
        <v/>
      </c>
      <c r="D439" s="14" t="inlineStr">
        <is>
          <t>C EU 로비</t>
        </is>
      </c>
      <c r="E439" s="13" t="n">
        <v>16349</v>
      </c>
      <c r="F439" s="13" t="n">
        <v>13</v>
      </c>
      <c r="G439" s="15" t="inlineStr">
        <is>
          <t>다음 날 아침, 급습이 실행되고 결과가 전해집니다.</t>
        </is>
      </c>
    </row>
    <row r="440" ht="15" customHeight="1" s="11">
      <c r="A440" s="13" t="n">
        <v>439</v>
      </c>
      <c r="B440" s="13" t="n">
        <v>27</v>
      </c>
      <c r="C440" s="14">
        <f>INDEX('부작 목록'!$C$2:$C$96,B440)</f>
        <v/>
      </c>
      <c r="D440" s="14" t="inlineStr">
        <is>
          <t>C EU 로비</t>
        </is>
      </c>
      <c r="E440" s="13" t="n">
        <v>16365</v>
      </c>
      <c r="F440" s="13" t="n">
        <v>12</v>
      </c>
      <c r="G440" s="15" t="inlineStr">
        <is>
          <t>며칠 후, 압수된 노트북 분석 결과가 결정적 단서를 제공합니다.</t>
        </is>
      </c>
    </row>
    <row r="441" ht="15" customHeight="1" s="11">
      <c r="A441" s="13" t="n">
        <v>440</v>
      </c>
      <c r="B441" s="13" t="n">
        <v>27</v>
      </c>
      <c r="C441" s="14">
        <f>INDEX('부작 목록'!$C$2:$C$96,B441)</f>
        <v/>
      </c>
      <c r="D441" s="14" t="inlineStr">
        <is>
          <t>C EU 로비</t>
        </is>
      </c>
      <c r="E441" s="13" t="n">
        <v>16380</v>
      </c>
      <c r="F441" s="13" t="n">
        <v>15</v>
      </c>
      <c r="G441" s="15" t="inlineStr">
        <is>
          <t>몇 주 후, 알바로와 카밀라가 마드리드 자택에서 조용한 저녁을 보내며, 새로운 국제 수사의 시 작을 함께 맞이합니다.</t>
        </is>
      </c>
    </row>
    <row r="442" ht="15" customHeight="1" s="11">
      <c r="A442" s="13" t="n">
        <v>441</v>
      </c>
      <c r="B442" s="13" t="n">
        <v>27</v>
      </c>
      <c r="C442" s="14">
        <f>INDEX('부작 목록'!$C$2:$C$96,B442)</f>
        <v/>
      </c>
      <c r="D442" s="14" t="inlineStr">
        <is>
          <t>C EU 로비</t>
        </is>
      </c>
      <c r="E442" s="13" t="n">
        <v>16397</v>
      </c>
      <c r="F442" s="13" t="n">
        <v>10</v>
      </c>
      <c r="G442" s="15" t="inlineStr">
        <is>
          <t>알바로가 하비에르에게 독일 수사 확대 소식을 전하며, 다음 장을 예고합니다.</t>
        </is>
      </c>
    </row>
    <row r="443" ht="15" customHeight="1" s="11">
      <c r="A443" s="13" t="n">
        <v>442</v>
      </c>
      <c r="B443" s="13" t="n">
        <v>27</v>
      </c>
      <c r="C443" s="14">
        <f>INDEX('부작 목록'!$C$2:$C$96,B443)</f>
        <v/>
      </c>
      <c r="D443" s="14" t="inlineStr">
        <is>
          <t>C EU 로비</t>
        </is>
      </c>
      <c r="E443" s="13" t="n">
        <v>16409</v>
      </c>
      <c r="F443" s="13" t="n">
        <v>13</v>
      </c>
      <c r="G443" s="15" t="inlineStr">
        <is>
          <t>카를로스가 독일·네덜란드·폴란드·미국과의 공조 체계 구성 계획을 알바로와 카밀라에게 설명합 니다.</t>
        </is>
      </c>
    </row>
    <row r="444" ht="15" customHeight="1" s="11">
      <c r="A444" s="13" t="n">
        <v>443</v>
      </c>
      <c r="B444" s="13" t="n">
        <v>27</v>
      </c>
      <c r="C444" s="14">
        <f>INDEX('부작 목록'!$C$2:$C$96,B444)</f>
        <v/>
      </c>
      <c r="D444" s="14" t="inlineStr">
        <is>
          <t>C EU 로비</t>
        </is>
      </c>
      <c r="E444" s="13" t="n">
        <v>16425</v>
      </c>
      <c r="F444" s="13" t="n">
        <v>8</v>
      </c>
      <c r="G444" s="15" t="inlineStr">
        <is>
          <t>그날 밤, 알바로와 카밀라가 창가에 서서 앞으로의 여정을 되새깁니다.</t>
        </is>
      </c>
    </row>
    <row r="445" ht="15" customHeight="1" s="11">
      <c r="A445" s="13" t="n">
        <v>444</v>
      </c>
      <c r="B445" s="13" t="n">
        <v>28</v>
      </c>
      <c r="C445" s="14">
        <f>INDEX('부작 목록'!$C$2:$C$96,B445)</f>
        <v/>
      </c>
      <c r="D445" s="14" t="inlineStr">
        <is>
          <t>D 엘 아르키텍토 추적</t>
        </is>
      </c>
      <c r="E445" s="13" t="n">
        <v>16435</v>
      </c>
      <c r="F445" s="13" t="n">
        <v>21</v>
      </c>
      <c r="G445" s="15" t="inlineStr">
        <is>
          <t>새로운 작전. 카를로스가 알바로에게 '엘 아르키텍토'(아드리안 로셀요)가 스페인 중앙은행을 겨 냥한 공작을 벌이고 있다는 정보를 갖고 옵니다. 이번엔 알바로가 완전히 혼자 작전을 수행해야 합니다.</t>
        </is>
      </c>
    </row>
    <row r="446" ht="15" customHeight="1" s="11">
      <c r="A446" s="13" t="n">
        <v>445</v>
      </c>
      <c r="B446" s="13" t="n">
        <v>28</v>
      </c>
      <c r="C446" s="14">
        <f>INDEX('부작 목록'!$C$2:$C$96,B446)</f>
        <v/>
      </c>
      <c r="D446" s="14" t="inlineStr">
        <is>
          <t>D 엘 아르키텍토 추적</t>
        </is>
      </c>
      <c r="E446" s="13" t="n">
        <v>16459</v>
      </c>
      <c r="F446" s="13" t="n">
        <v>17</v>
      </c>
      <c r="G446" s="15" t="inlineStr">
        <is>
          <t>알바로가 '토마스 브라보' 신분으로 스페인 중앙은행에 처음 출입합니다. IT보안팀장 라파엘 몬 포르테가 그를 맞이합니다.</t>
        </is>
      </c>
    </row>
    <row r="447" ht="15" customHeight="1" s="11">
      <c r="A447" s="13" t="n">
        <v>446</v>
      </c>
      <c r="B447" s="13" t="n">
        <v>28</v>
      </c>
      <c r="C447" s="14">
        <f>INDEX('부작 목록'!$C$2:$C$96,B447)</f>
        <v/>
      </c>
      <c r="D447" s="14" t="inlineStr">
        <is>
          <t>D 엘 아르키텍토 추적</t>
        </is>
      </c>
      <c r="E447" s="13" t="n">
        <v>16479</v>
      </c>
      <c r="F447" s="13" t="n">
        <v>10</v>
      </c>
      <c r="G447" s="15" t="inlineStr">
        <is>
          <t>알바로가 사무실에서 접근 기록을 분석하며, 이그나시오 베르메호와 관련된 이상 패턴을 발견합 니다.</t>
        </is>
      </c>
    </row>
    <row r="448" ht="15" customHeight="1" s="11">
      <c r="A448" s="13" t="n">
        <v>447</v>
      </c>
      <c r="B448" s="13" t="n">
        <v>28</v>
      </c>
      <c r="C448" s="14">
        <f>INDEX('부작 목록'!$C$2:$C$96,B448)</f>
        <v/>
      </c>
      <c r="D448" s="14" t="inlineStr">
        <is>
          <t>D 엘 아르키텍토 추적</t>
        </is>
      </c>
      <c r="E448" s="13" t="n">
        <v>16492</v>
      </c>
      <c r="F448" s="13" t="n">
        <v>15</v>
      </c>
      <c r="G448" s="15" t="inlineStr">
        <is>
          <t>라파엘이 알바로를 이그나시오 베르메호에게 소개합니다.</t>
        </is>
      </c>
    </row>
    <row r="449" ht="15" customHeight="1" s="11">
      <c r="A449" s="13" t="n">
        <v>448</v>
      </c>
      <c r="B449" s="13" t="n">
        <v>28</v>
      </c>
      <c r="C449" s="14">
        <f>INDEX('부작 목록'!$C$2:$C$96,B449)</f>
        <v/>
      </c>
      <c r="D449" s="14" t="inlineStr">
        <is>
          <t>D 엘 아르키텍토 추적</t>
        </is>
      </c>
      <c r="E449" s="13" t="n">
        <v>16510</v>
      </c>
      <c r="F449" s="13" t="n">
        <v>9</v>
      </c>
      <c r="G449" s="15" t="inlineStr">
        <is>
          <t>알바로가 다른 경로로 전화 기록을 확보하며, 외부 연락처를 확인합니다.</t>
        </is>
      </c>
    </row>
    <row r="450" ht="15" customHeight="1" s="11">
      <c r="A450" s="13" t="n">
        <v>449</v>
      </c>
      <c r="B450" s="13" t="n">
        <v>28</v>
      </c>
      <c r="C450" s="14">
        <f>INDEX('부작 목록'!$C$2:$C$96,B450)</f>
        <v/>
      </c>
      <c r="D450" s="14" t="inlineStr">
        <is>
          <t>D 엘 아르키텍토 추적</t>
        </is>
      </c>
      <c r="E450" s="13" t="n">
        <v>16521</v>
      </c>
      <c r="F450" s="13" t="n">
        <v>16</v>
      </c>
      <c r="G450" s="15" t="inlineStr">
        <is>
          <t>알바로가 베르메호의 동료 엘레나 두케와 자연스럽게 대화를 나누며 정보를 캐냅니다.</t>
        </is>
      </c>
    </row>
    <row r="451" ht="15" customHeight="1" s="11">
      <c r="A451" s="13" t="n">
        <v>450</v>
      </c>
      <c r="B451" s="13" t="n">
        <v>28</v>
      </c>
      <c r="C451" s="14">
        <f>INDEX('부작 목록'!$C$2:$C$96,B451)</f>
        <v/>
      </c>
      <c r="D451" s="14" t="inlineStr">
        <is>
          <t>D 엘 아르키텍토 추적</t>
        </is>
      </c>
      <c r="E451" s="13" t="n">
        <v>16540</v>
      </c>
      <c r="F451" s="13" t="n">
        <v>12</v>
      </c>
      <c r="G451" s="15" t="inlineStr">
        <is>
          <t>그날 밤, 알바로가 늦게까지 남아 베르메호의 사무실 근처에서 정보를 얻으려 시도합니다.</t>
        </is>
      </c>
    </row>
    <row r="452" ht="15" customHeight="1" s="11">
      <c r="A452" s="13" t="n">
        <v>451</v>
      </c>
      <c r="B452" s="13" t="n">
        <v>28</v>
      </c>
      <c r="C452" s="14">
        <f>INDEX('부작 목록'!$C$2:$C$96,B452)</f>
        <v/>
      </c>
      <c r="D452" s="14" t="inlineStr">
        <is>
          <t>D 엘 아르키텍토 추적</t>
        </is>
      </c>
      <c r="E452" s="13" t="n">
        <v>16555</v>
      </c>
      <c r="F452" s="13" t="n">
        <v>13</v>
      </c>
      <c r="G452" s="15" t="inlineStr">
        <is>
          <t>알바로가 보안 시스템 취약점 점검을 명목으로 문서 열람 권한을 확보합니다.</t>
        </is>
      </c>
    </row>
    <row r="453" ht="15" customHeight="1" s="11">
      <c r="A453" s="13" t="n">
        <v>452</v>
      </c>
      <c r="B453" s="13" t="n">
        <v>28</v>
      </c>
      <c r="C453" s="14">
        <f>INDEX('부작 목록'!$C$2:$C$96,B453)</f>
        <v/>
      </c>
      <c r="D453" s="14" t="inlineStr">
        <is>
          <t>D 엘 아르키텍토 추적</t>
        </is>
      </c>
      <c r="E453" s="13" t="n">
        <v>16571</v>
      </c>
      <c r="F453" s="13" t="n">
        <v>12</v>
      </c>
      <c r="G453" s="15" t="inlineStr">
        <is>
          <t>알바로가 확보한 정보를 분석하며, 시간이 얼마 남지 않았음을 깨닫습니다.</t>
        </is>
      </c>
    </row>
    <row r="454" ht="15" customHeight="1" s="11">
      <c r="A454" s="13" t="n">
        <v>453</v>
      </c>
      <c r="B454" s="13" t="n">
        <v>28</v>
      </c>
      <c r="C454" s="14">
        <f>INDEX('부작 목록'!$C$2:$C$96,B454)</f>
        <v/>
      </c>
      <c r="D454" s="14" t="inlineStr">
        <is>
          <t>D 엘 아르키텍토 추적</t>
        </is>
      </c>
      <c r="E454" s="13" t="n">
        <v>16585</v>
      </c>
      <c r="F454" s="13" t="n">
        <v>12</v>
      </c>
      <c r="G454" s="15" t="inlineStr">
        <is>
          <t>다음 날, 베르메호가 알바로에게 직접 의심을 드러내며 긴장이 고조됩니다.</t>
        </is>
      </c>
    </row>
    <row r="455" ht="15" customHeight="1" s="11">
      <c r="A455" s="13" t="n">
        <v>454</v>
      </c>
      <c r="B455" s="13" t="n">
        <v>28</v>
      </c>
      <c r="C455" s="14">
        <f>INDEX('부작 목록'!$C$2:$C$96,B455)</f>
        <v/>
      </c>
      <c r="D455" s="14" t="inlineStr">
        <is>
          <t>D 엘 아르키텍토 추적</t>
        </is>
      </c>
      <c r="E455" s="13" t="n">
        <v>16599</v>
      </c>
      <c r="F455" s="13" t="n">
        <v>8</v>
      </c>
      <c r="G455" s="15" t="inlineStr">
        <is>
          <t>위험을 감지한 알바로가 남은 시간 동안 결정적 증거를 확보하기 위해 서두릅니다.</t>
        </is>
      </c>
    </row>
    <row r="456" ht="15" customHeight="1" s="11">
      <c r="A456" s="13" t="n">
        <v>455</v>
      </c>
      <c r="B456" s="13" t="n">
        <v>28</v>
      </c>
      <c r="C456" s="14">
        <f>INDEX('부작 목록'!$C$2:$C$96,B456)</f>
        <v/>
      </c>
      <c r="D456" s="14" t="inlineStr">
        <is>
          <t>D 엘 아르키텍토 추적</t>
        </is>
      </c>
      <c r="E456" s="13" t="n">
        <v>16610</v>
      </c>
      <c r="F456" s="13" t="n">
        <v>21</v>
      </c>
      <c r="G456" s="15" t="inlineStr">
        <is>
          <t>알바로가 이그나시오 베르메호를 개인적으로 찾아가 직접 대치합니다.</t>
        </is>
      </c>
    </row>
    <row r="457" ht="15" customHeight="1" s="11">
      <c r="A457" s="13" t="n">
        <v>456</v>
      </c>
      <c r="B457" s="13" t="n">
        <v>28</v>
      </c>
      <c r="C457" s="14">
        <f>INDEX('부작 목록'!$C$2:$C$96,B457)</f>
        <v/>
      </c>
      <c r="D457" s="14" t="inlineStr">
        <is>
          <t>D 엘 아르키텍토 추적</t>
        </is>
      </c>
      <c r="E457" s="13" t="n">
        <v>16634</v>
      </c>
      <c r="F457" s="13" t="n">
        <v>15</v>
      </c>
      <c r="G457" s="15" t="inlineStr">
        <is>
          <t>알바로와 이그나시오가 함께 조작 내역을 정리하며 위원회에 보낼 공식 통보를 준비하던 중, 예상치 못한 전화가 걸려 옵니다.</t>
        </is>
      </c>
    </row>
    <row r="458" ht="15" customHeight="1" s="11">
      <c r="A458" s="13" t="n">
        <v>457</v>
      </c>
      <c r="B458" s="13" t="n">
        <v>28</v>
      </c>
      <c r="C458" s="14">
        <f>INDEX('부작 목록'!$C$2:$C$96,B458)</f>
        <v/>
      </c>
      <c r="D458" s="14" t="inlineStr">
        <is>
          <t>D 엘 아르키텍토 추적</t>
        </is>
      </c>
      <c r="E458" s="13" t="n">
        <v>16652</v>
      </c>
      <c r="F458" s="13" t="n">
        <v>12</v>
      </c>
      <c r="G458" s="15" t="inlineStr">
        <is>
          <t>이그나시오가 서류 수정을 마지막 하나까지 되짚은 보고서를 완성하고, 알바로가 그동안의 증거를 최종 정리합니다. 원본 서류는 손대지 않은 채 증거로 남깁니다.</t>
        </is>
      </c>
    </row>
    <row r="459" ht="15" customHeight="1" s="11">
      <c r="A459" s="13" t="n">
        <v>458</v>
      </c>
      <c r="B459" s="13" t="n">
        <v>28</v>
      </c>
      <c r="C459" s="14">
        <f>INDEX('부작 목록'!$C$2:$C$96,B459)</f>
        <v/>
      </c>
      <c r="D459" s="14" t="inlineStr">
        <is>
          <t>D 엘 아르키텍토 추적</t>
        </is>
      </c>
      <c r="E459" s="13" t="n">
        <v>16667</v>
      </c>
      <c r="F459" s="13" t="n">
        <v>12</v>
      </c>
      <c r="G459" s="15" t="inlineStr">
        <is>
          <t>알바로가 문서를 챙기던 중, 라파엘이 예상치 못하게 사무실 근처에 나타나며 긴장이 고조됩니 다.</t>
        </is>
      </c>
    </row>
    <row r="460" ht="15" customHeight="1" s="11">
      <c r="A460" s="13" t="n">
        <v>459</v>
      </c>
      <c r="B460" s="13" t="n">
        <v>28</v>
      </c>
      <c r="C460" s="14">
        <f>INDEX('부작 목록'!$C$2:$C$96,B460)</f>
        <v/>
      </c>
      <c r="D460" s="14" t="inlineStr">
        <is>
          <t>D 엘 아르키텍토 추적</t>
        </is>
      </c>
      <c r="E460" s="13" t="n">
        <v>16681</v>
      </c>
      <c r="F460" s="13" t="n">
        <v>14</v>
      </c>
      <c r="G460" s="15" t="inlineStr">
        <is>
          <t>알바로가 이번 작전에서 처음으로 카를로스에게 연락해 상황을 전합니다.</t>
        </is>
      </c>
    </row>
    <row r="461" ht="15" customHeight="1" s="11">
      <c r="A461" s="13" t="n">
        <v>460</v>
      </c>
      <c r="B461" s="13" t="n">
        <v>28</v>
      </c>
      <c r="C461" s="14">
        <f>INDEX('부작 목록'!$C$2:$C$96,B461)</f>
        <v/>
      </c>
      <c r="D461" s="14" t="inlineStr">
        <is>
          <t>D 엘 아르키텍토 추적</t>
        </is>
      </c>
      <c r="E461" s="13" t="n">
        <v>16698</v>
      </c>
      <c r="F461" s="13" t="n">
        <v>14</v>
      </c>
      <c r="G461" s="15" t="inlineStr">
        <is>
          <t>사흘 후, 이사회 투표일. 알바로가 은행에 남아 결과를 지켜봅니다. 위원회는 이미 검찰의 공식 통보를 받은 상태입니다.</t>
        </is>
      </c>
    </row>
    <row r="462" ht="28.35" customHeight="1" s="11">
      <c r="A462" s="13" t="n">
        <v>461</v>
      </c>
      <c r="B462" s="13" t="n">
        <v>28</v>
      </c>
      <c r="C462" s="14">
        <f>INDEX('부작 목록'!$C$2:$C$96,B462)</f>
        <v/>
      </c>
      <c r="D462" s="14" t="inlineStr">
        <is>
          <t>D 엘 아르키텍토 추적</t>
        </is>
      </c>
      <c r="E462" s="13" t="n">
        <v>16715</v>
      </c>
      <c r="F462" s="13" t="n">
        <v>19</v>
      </c>
      <c r="G462" s="15" t="inlineStr">
        <is>
          <t>작전 종료 후, 알바로가 카를로스와 다시 만나 결과를 정리합니다.</t>
        </is>
      </c>
    </row>
    <row r="463" ht="28.35" customHeight="1" s="11">
      <c r="A463" s="13" t="n">
        <v>462</v>
      </c>
      <c r="B463" s="13" t="n">
        <v>28</v>
      </c>
      <c r="C463" s="14">
        <f>INDEX('부작 목록'!$C$2:$C$96,B463)</f>
        <v/>
      </c>
      <c r="D463" s="14" t="inlineStr">
        <is>
          <t>D 엘 아르키텍토 추적</t>
        </is>
      </c>
      <c r="E463" s="13" t="n">
        <v>16737</v>
      </c>
      <c r="F463" s="13" t="n">
        <v>16</v>
      </c>
      <c r="G463" s="15" t="inlineStr">
        <is>
          <t>며칠 후, 알바로가 마드리드 자택에서 카밀라와 재회하며 이번 단독 작전에 대해 이야기합니다.</t>
        </is>
      </c>
    </row>
    <row r="464" ht="15" customHeight="1" s="11">
      <c r="A464" s="13" t="n">
        <v>463</v>
      </c>
      <c r="B464" s="13" t="n">
        <v>28</v>
      </c>
      <c r="C464" s="14">
        <f>INDEX('부작 목록'!$C$2:$C$96,B464)</f>
        <v/>
      </c>
      <c r="D464" s="14" t="inlineStr">
        <is>
          <t>D 엘 아르키텍토 추적</t>
        </is>
      </c>
      <c r="E464" s="13" t="n">
        <v>16756</v>
      </c>
      <c r="F464" s="13" t="n">
        <v>16</v>
      </c>
      <c r="G464" s="15" t="inlineStr">
        <is>
          <t>몇 주 후, 카를로스가 알바로에게 스위스 연결고리에 대한 심화 조사 결과를 전합니다.</t>
        </is>
      </c>
    </row>
    <row r="465" ht="15" customHeight="1" s="11">
      <c r="A465" s="13" t="n">
        <v>464</v>
      </c>
      <c r="B465" s="13" t="n">
        <v>28</v>
      </c>
      <c r="C465" s="14">
        <f>INDEX('부작 목록'!$C$2:$C$96,B465)</f>
        <v/>
      </c>
      <c r="D465" s="14" t="inlineStr">
        <is>
          <t>D 엘 아르키텍토 추적</t>
        </is>
      </c>
      <c r="E465" s="13" t="n">
        <v>16775</v>
      </c>
      <c r="F465" s="13" t="n">
        <v>12</v>
      </c>
      <c r="G465" s="15" t="inlineStr">
        <is>
          <t>알바로가 하비에르에게 이번 단독 작전에 대해 뒤늦게 설명합니다.</t>
        </is>
      </c>
    </row>
    <row r="466" ht="15" customHeight="1" s="11">
      <c r="A466" s="13" t="n">
        <v>465</v>
      </c>
      <c r="B466" s="13" t="n">
        <v>28</v>
      </c>
      <c r="C466" s="14">
        <f>INDEX('부작 목록'!$C$2:$C$96,B466)</f>
        <v/>
      </c>
      <c r="D466" s="14" t="inlineStr">
        <is>
          <t>D 엘 아르키텍토 추적</t>
        </is>
      </c>
      <c r="E466" s="13" t="n">
        <v>16789</v>
      </c>
      <c r="F466" s="13" t="n">
        <v>13</v>
      </c>
      <c r="G466" s="15" t="inlineStr">
        <is>
          <t>몇 달 후, 이그나시오 베르메호의 재판을 앞두고 알바로가 마지막으로 그를 방문합니다.</t>
        </is>
      </c>
    </row>
    <row r="467" ht="15" customHeight="1" s="11">
      <c r="A467" s="13" t="n">
        <v>466</v>
      </c>
      <c r="B467" s="13" t="n">
        <v>28</v>
      </c>
      <c r="C467" s="14">
        <f>INDEX('부작 목록'!$C$2:$C$96,B467)</f>
        <v/>
      </c>
      <c r="D467" s="14" t="inlineStr">
        <is>
          <t>D 엘 아르키텍토 추적</t>
        </is>
      </c>
      <c r="E467" s="13" t="n">
        <v>16805</v>
      </c>
      <c r="F467" s="13" t="n">
        <v>17</v>
      </c>
      <c r="G467" s="15" t="inlineStr">
        <is>
          <t>몇 주 후, 알바로와 카밀라가 마드리드의 조용한 레스토랑에서 저녁을 먹으며 이번 사건을 정리 합니다.</t>
        </is>
      </c>
    </row>
    <row r="468" ht="15" customHeight="1" s="11">
      <c r="A468" s="13" t="n">
        <v>467</v>
      </c>
      <c r="B468" s="13" t="n">
        <v>28</v>
      </c>
      <c r="C468" s="14">
        <f>INDEX('부작 목록'!$C$2:$C$96,B468)</f>
        <v/>
      </c>
      <c r="D468" s="14" t="inlineStr">
        <is>
          <t>D 엘 아르키텍토 추적</t>
        </is>
      </c>
      <c r="E468" s="13" t="n">
        <v>16825</v>
      </c>
      <c r="F468" s="13" t="n">
        <v>17</v>
      </c>
      <c r="G468" s="15" t="inlineStr">
        <is>
          <t>몇 달 후, 카를로스가 알바로에게 이번 사건이 남긴 장기적 여파를 정리해 전합니다.</t>
        </is>
      </c>
    </row>
    <row r="469" ht="15" customHeight="1" s="11">
      <c r="A469" s="13" t="n">
        <v>468</v>
      </c>
      <c r="B469" s="13" t="n">
        <v>28</v>
      </c>
      <c r="C469" s="14">
        <f>INDEX('부작 목록'!$C$2:$C$96,B469)</f>
        <v/>
      </c>
      <c r="D469" s="14" t="inlineStr">
        <is>
          <t>D 엘 아르키텍토 추적</t>
        </is>
      </c>
      <c r="E469" s="13" t="n">
        <v>16845</v>
      </c>
      <c r="F469" s="13" t="n">
        <v>60</v>
      </c>
      <c r="G469" s="15" t="inlineStr">
        <is>
          <t>같은 무렵, 포르투갈 알렌테주의 외딴 농가. 브뤼셀 급습과 제네바, 니스를 차례로 빠져나가며 몸을 숨겨 온 로셀요의 사람들—경호원 브란트, 자금 담당 오딜 마르케티, 운전기사 누누 타바레스—가 늦은 밤 부엌 식탁에 둘러앉습니다. 위층의 '그 사람'은 끝내 내려오지 않고, 세 사람의 대화만으로 그가 무엇을 준비하는지가 조금씩 드러납니다.</t>
        </is>
      </c>
    </row>
    <row r="470" ht="15" customHeight="1" s="11">
      <c r="A470" s="13" t="n">
        <v>469</v>
      </c>
      <c r="B470" s="13" t="n">
        <v>29</v>
      </c>
      <c r="C470" s="14">
        <f>INDEX('부작 목록'!$C$2:$C$96,B470)</f>
        <v/>
      </c>
      <c r="D470" s="14" t="inlineStr">
        <is>
          <t>D 엘 아르키텍토 추적</t>
        </is>
      </c>
      <c r="E470" s="13" t="n">
        <v>16907</v>
      </c>
      <c r="F470" s="13" t="n">
        <v>49</v>
      </c>
      <c r="G470" s="15" t="inlineStr">
        <is>
          <t>몇 주 후. 알바로가 뜻밖의 전화를 받습니다 — 지금까지 목소리조차 들어본 적 없는 '엘 아르키텍토', 아드리안 로셀요 본인입니다. 동료들이 모두 퇴근한 늦은 오후, 텅 빈 편집국에서 걸려 온 전화입니다.</t>
        </is>
      </c>
    </row>
    <row r="471" ht="15" customHeight="1" s="11">
      <c r="A471" s="13" t="n">
        <v>470</v>
      </c>
      <c r="B471" s="13" t="n">
        <v>29</v>
      </c>
      <c r="C471" s="14">
        <f>INDEX('부작 목록'!$C$2:$C$96,B471)</f>
        <v/>
      </c>
      <c r="D471" s="14" t="inlineStr">
        <is>
          <t>D 엘 아르키텍토 추적</t>
        </is>
      </c>
      <c r="E471" s="13" t="n">
        <v>16958</v>
      </c>
      <c r="F471" s="13" t="n">
        <v>49</v>
      </c>
      <c r="G471" s="15" t="inlineStr">
        <is>
          <t>다음 날 밤, 알바로가 마드리드 시내의 조용한 식당에서 로셀요를 처음으로 얼굴을 마주합니다. 테이블이 열 개 남짓한 작은 식당, 로셀요는 이미 안쪽 자리에 앉아 그를 기다리고 있습니다.</t>
        </is>
      </c>
    </row>
    <row r="472" ht="15" customHeight="1" s="11">
      <c r="A472" s="13" t="n">
        <v>471</v>
      </c>
      <c r="B472" s="13" t="n">
        <v>29</v>
      </c>
      <c r="C472" s="14">
        <f>INDEX('부작 목록'!$C$2:$C$96,B472)</f>
        <v/>
      </c>
      <c r="D472" s="14" t="inlineStr">
        <is>
          <t>D 엘 아르키텍토 추적</t>
        </is>
      </c>
      <c r="E472" s="13" t="n">
        <v>17009</v>
      </c>
      <c r="F472" s="13" t="n">
        <v>49</v>
      </c>
      <c r="G472" s="15" t="inlineStr">
        <is>
          <t>음식이 나오는 동안, 로셀요가 자신의 과거를 털어놓기 시작합니다. 그는 서른 해 전의 자신을 남의 이야기처럼 담담하게 회상합니다.</t>
        </is>
      </c>
    </row>
    <row r="473" ht="15" customHeight="1" s="11">
      <c r="A473" s="13" t="n">
        <v>472</v>
      </c>
      <c r="B473" s="13" t="n">
        <v>29</v>
      </c>
      <c r="C473" s="14">
        <f>INDEX('부작 목록'!$C$2:$C$96,B473)</f>
        <v/>
      </c>
      <c r="D473" s="14" t="inlineStr">
        <is>
          <t>D 엘 아르키텍토 추적</t>
        </is>
      </c>
      <c r="E473" s="13" t="n">
        <v>17060</v>
      </c>
      <c r="F473" s="13" t="n">
        <v>47</v>
      </c>
      <c r="G473" s="15" t="inlineStr">
        <is>
          <t>로셀요가 본론으로 들어가며, 알바로를 회유하려 시도합니다. 알바로는 끝까지 표정을 흐트러뜨리지 않으려 애씁니다.</t>
        </is>
      </c>
    </row>
    <row r="474" ht="15" customHeight="1" s="11">
      <c r="A474" s="13" t="n">
        <v>473</v>
      </c>
      <c r="B474" s="13" t="n">
        <v>29</v>
      </c>
      <c r="C474" s="14">
        <f>INDEX('부작 목록'!$C$2:$C$96,B474)</f>
        <v/>
      </c>
      <c r="D474" s="14" t="inlineStr">
        <is>
          <t>D 엘 아르키텍토 추적</t>
        </is>
      </c>
      <c r="E474" s="13" t="n">
        <v>17109</v>
      </c>
      <c r="F474" s="13" t="n">
        <v>46</v>
      </c>
      <c r="G474" s="15" t="inlineStr">
        <is>
          <t>회유가 거절되자, 로셀요의 태도가 미묘하게 바뀌며 은근한 위협으로 전환됩니다. 식당 안의 공기가 눈에 띄게 차가워집니다.</t>
        </is>
      </c>
    </row>
    <row r="475" ht="15" customHeight="1" s="11">
      <c r="A475" s="13" t="n">
        <v>474</v>
      </c>
      <c r="B475" s="13" t="n">
        <v>29</v>
      </c>
      <c r="C475" s="14">
        <f>INDEX('부작 목록'!$C$2:$C$96,B475)</f>
        <v/>
      </c>
      <c r="D475" s="14" t="inlineStr">
        <is>
          <t>D 엘 아르키텍토 추적</t>
        </is>
      </c>
      <c r="E475" s="13" t="n">
        <v>17157</v>
      </c>
      <c r="F475" s="13" t="n">
        <v>45</v>
      </c>
      <c r="G475" s="15" t="inlineStr">
        <is>
          <t>알바로가 회유와 협박 모두에 흔들리지 않고 정면으로 반박합니다. 목소리는 낮지만, 한 마디 한 마디가 분명합니다.</t>
        </is>
      </c>
    </row>
    <row r="476" ht="15" customHeight="1" s="11">
      <c r="A476" s="13" t="n">
        <v>475</v>
      </c>
      <c r="B476" s="13" t="n">
        <v>29</v>
      </c>
      <c r="C476" s="14">
        <f>INDEX('부작 목록'!$C$2:$C$96,B476)</f>
        <v/>
      </c>
      <c r="D476" s="14" t="inlineStr">
        <is>
          <t>D 엘 아르키텍토 추적</t>
        </is>
      </c>
      <c r="E476" s="13" t="n">
        <v>17204</v>
      </c>
      <c r="F476" s="13" t="n">
        <v>46</v>
      </c>
      <c r="G476" s="15" t="inlineStr">
        <is>
          <t>본론에 들어가기 전, 로셀요가 알바로의 동기에 대해 궁금해하며 대화가 더 깊어집니다. (같은 날 밤, 메인 요리 접시가 치워지던 무렵으로 잠시 거슬러 올라간 장면입니다.)</t>
        </is>
      </c>
    </row>
    <row r="477" ht="15" customHeight="1" s="11">
      <c r="A477" s="13" t="n">
        <v>476</v>
      </c>
      <c r="B477" s="13" t="n">
        <v>29</v>
      </c>
      <c r="C477" s="14">
        <f>INDEX('부작 목록'!$C$2:$C$96,B477)</f>
        <v/>
      </c>
      <c r="D477" s="14" t="inlineStr">
        <is>
          <t>D 엘 아르키텍토 추적</t>
        </is>
      </c>
      <c r="E477" s="13" t="n">
        <v>17252</v>
      </c>
      <c r="F477" s="13" t="n">
        <v>48</v>
      </c>
      <c r="G477" s="15" t="inlineStr">
        <is>
          <t>식당을 나온 알바로가 곧바로 카를로스에게 전화해 방금 있었던 일을 보고합니다. 밤거리를 걸으며 그는 몇 번이고 뒤를 돌아봅니다.</t>
        </is>
      </c>
    </row>
    <row r="478" ht="15" customHeight="1" s="11">
      <c r="A478" s="13" t="n">
        <v>477</v>
      </c>
      <c r="B478" s="13" t="n">
        <v>29</v>
      </c>
      <c r="C478" s="14">
        <f>INDEX('부작 목록'!$C$2:$C$96,B478)</f>
        <v/>
      </c>
      <c r="D478" s="14" t="inlineStr">
        <is>
          <t>D 엘 아르키텍토 추적</t>
        </is>
      </c>
      <c r="E478" s="13" t="n">
        <v>17302</v>
      </c>
      <c r="F478" s="13" t="n">
        <v>52</v>
      </c>
      <c r="G478" s="15" t="inlineStr">
        <is>
          <t>카를로스의 사무실에서, 알바로가 로셀요의 인상착의와 발언을 상세히 정리합니다. 자정이 넘은 시각, 식어 버린 커피를 앞에 두고 기록이 이어집니다.</t>
        </is>
      </c>
    </row>
    <row r="479" ht="15" customHeight="1" s="11">
      <c r="A479" s="13" t="n">
        <v>478</v>
      </c>
      <c r="B479" s="13" t="n">
        <v>29</v>
      </c>
      <c r="C479" s="14">
        <f>INDEX('부작 목록'!$C$2:$C$96,B479)</f>
        <v/>
      </c>
      <c r="D479" s="14" t="inlineStr">
        <is>
          <t>D 엘 아르키텍토 추적</t>
        </is>
      </c>
      <c r="E479" s="13" t="n">
        <v>17356</v>
      </c>
      <c r="F479" s="13" t="n">
        <v>46</v>
      </c>
      <c r="G479" s="15" t="inlineStr">
        <is>
          <t>보안 강화 조치가 시작되며, 알바로가 잠시 숨을 고릅니다. 새벽이 가까워진 시각, 그는 카밀라가 기다리는 집으로 돌아갈 준비를 합니다.</t>
        </is>
      </c>
    </row>
    <row r="480" ht="15" customHeight="1" s="11">
      <c r="A480" s="13" t="n">
        <v>479</v>
      </c>
      <c r="B480" s="13" t="n">
        <v>30</v>
      </c>
      <c r="C480" s="14">
        <f>INDEX('부작 목록'!$C$2:$C$96,B480)</f>
        <v/>
      </c>
      <c r="D480" s="14" t="inlineStr">
        <is>
          <t>D 엘 아르키텍토 추적</t>
        </is>
      </c>
      <c r="E480" s="13" t="n">
        <v>17404</v>
      </c>
      <c r="F480" s="13" t="n">
        <v>11</v>
      </c>
      <c r="G480" s="15" t="inlineStr">
        <is>
          <t>새로운 취재. 사프란 국제 시세가 요동치는 가운데, 라만차의 한 가상 유통업체 '아사프라네스 델 캄포'가 저품질 향신료를 정품 D.O. 라만차 사프란으로 속여 판매하고 있다는 제보가 들어옵 니다.</t>
        </is>
      </c>
    </row>
    <row r="481" ht="15" customHeight="1" s="11">
      <c r="A481" s="13" t="n">
        <v>480</v>
      </c>
      <c r="B481" s="13" t="n">
        <v>30</v>
      </c>
      <c r="C481" s="14">
        <f>INDEX('부작 목록'!$C$2:$C$96,B481)</f>
        <v/>
      </c>
      <c r="D481" s="14" t="inlineStr">
        <is>
          <t>D 엘 아르키텍토 추적</t>
        </is>
      </c>
      <c r="E481" s="13" t="n">
        <v>17418</v>
      </c>
      <c r="F481" s="13" t="n">
        <v>12</v>
      </c>
      <c r="G481" s="15" t="inlineStr">
        <is>
          <t>마에스트로 바실리오 만사노와 함께 두 종류의 사프란을 비교 감별합니다.</t>
        </is>
      </c>
    </row>
    <row r="482" ht="15" customHeight="1" s="11">
      <c r="A482" s="13" t="n">
        <v>481</v>
      </c>
      <c r="B482" s="13" t="n">
        <v>30</v>
      </c>
      <c r="C482" s="14">
        <f>INDEX('부작 목록'!$C$2:$C$96,B482)</f>
        <v/>
      </c>
      <c r="D482" s="14" t="inlineStr">
        <is>
          <t>D 엘 아르키텍토 추적</t>
        </is>
      </c>
      <c r="E482" s="13" t="n">
        <v>17432</v>
      </c>
      <c r="F482" s="13" t="n">
        <v>10</v>
      </c>
      <c r="G482" s="15" t="inlineStr">
        <is>
          <t>며칠 후, 톨레도 실험실의 분석 결과가 도착합니다.</t>
        </is>
      </c>
    </row>
    <row r="483" ht="15" customHeight="1" s="11">
      <c r="A483" s="13" t="n">
        <v>482</v>
      </c>
      <c r="B483" s="13" t="n">
        <v>30</v>
      </c>
      <c r="C483" s="14">
        <f>INDEX('부작 목록'!$C$2:$C$96,B483)</f>
        <v/>
      </c>
      <c r="D483" s="14" t="inlineStr">
        <is>
          <t>D 엘 아르키텍토 추적</t>
        </is>
      </c>
      <c r="E483" s="13" t="n">
        <v>17444</v>
      </c>
      <c r="F483" s="13" t="n">
        <v>12</v>
      </c>
      <c r="G483" s="15" t="inlineStr">
        <is>
          <t>알바로와 하비에르가 아사프라네스 델 캄포 대표 로만 세페다와 대화를 나눕니다.</t>
        </is>
      </c>
    </row>
    <row r="484" ht="15" customHeight="1" s="11">
      <c r="A484" s="13" t="n">
        <v>483</v>
      </c>
      <c r="B484" s="13" t="n">
        <v>30</v>
      </c>
      <c r="C484" s="14">
        <f>INDEX('부작 목록'!$C$2:$C$96,B484)</f>
        <v/>
      </c>
      <c r="D484" s="14" t="inlineStr">
        <is>
          <t>D 엘 아르키텍토 추적</t>
        </is>
      </c>
      <c r="E484" s="13" t="n">
        <v>17459</v>
      </c>
      <c r="F484" s="13" t="n">
        <v>9</v>
      </c>
      <c r="G484" s="15" t="inlineStr">
        <is>
          <t>바실리오가 세페다가 언급한 새 공급업자에 대한 정보를 확인합니다.</t>
        </is>
      </c>
    </row>
    <row r="485" ht="15" customHeight="1" s="11">
      <c r="A485" s="13" t="n">
        <v>484</v>
      </c>
      <c r="B485" s="13" t="n">
        <v>30</v>
      </c>
      <c r="C485" s="14">
        <f>INDEX('부작 목록'!$C$2:$C$96,B485)</f>
        <v/>
      </c>
      <c r="D485" s="14" t="inlineStr">
        <is>
          <t>D 엘 아르키텍토 추적</t>
        </is>
      </c>
      <c r="E485" s="13" t="n">
        <v>17470</v>
      </c>
      <c r="F485" s="13" t="n">
        <v>12</v>
      </c>
      <c r="G485" s="15" t="inlineStr">
        <is>
          <t>알바로가 하비에르와 함께 쿠스토디오 팔라시오스를 찾아가 질문합니다.</t>
        </is>
      </c>
    </row>
    <row r="486" ht="28.35" customHeight="1" s="11">
      <c r="A486" s="13" t="n">
        <v>485</v>
      </c>
      <c r="B486" s="13" t="n">
        <v>30</v>
      </c>
      <c r="C486" s="14">
        <f>INDEX('부작 목록'!$C$2:$C$96,B486)</f>
        <v/>
      </c>
      <c r="D486" s="14" t="inlineStr">
        <is>
          <t>D 엘 아르키텍토 추적</t>
        </is>
      </c>
      <c r="E486" s="13" t="n">
        <v>17485</v>
      </c>
      <c r="F486" s="13" t="n">
        <v>10</v>
      </c>
      <c r="G486" s="15" t="inlineStr">
        <is>
          <t>바실리오가 라만차 원산지 규제위원회에 정식으로 보고서를 제출합니다.</t>
        </is>
      </c>
    </row>
    <row r="487" ht="15" customHeight="1" s="11">
      <c r="A487" s="13" t="n">
        <v>486</v>
      </c>
      <c r="B487" s="13" t="n">
        <v>30</v>
      </c>
      <c r="C487" s="14">
        <f>INDEX('부작 목록'!$C$2:$C$96,B487)</f>
        <v/>
      </c>
      <c r="D487" s="14" t="inlineStr">
        <is>
          <t>D 엘 아르키텍토 추적</t>
        </is>
      </c>
      <c r="E487" s="13" t="n">
        <v>17498</v>
      </c>
      <c r="F487" s="13" t="n">
        <v>9</v>
      </c>
      <c r="G487" s="15" t="inlineStr">
        <is>
          <t>보도가 나간 뒤, 초기 결과가 전해집니다.</t>
        </is>
      </c>
    </row>
    <row r="488" ht="15" customHeight="1" s="11">
      <c r="A488" s="13" t="n">
        <v>487</v>
      </c>
      <c r="B488" s="13" t="n">
        <v>30</v>
      </c>
      <c r="C488" s="14">
        <f>INDEX('부작 목록'!$C$2:$C$96,B488)</f>
        <v/>
      </c>
      <c r="D488" s="14" t="inlineStr">
        <is>
          <t>D 엘 아르키텍토 추적</t>
        </is>
      </c>
      <c r="E488" s="13" t="n">
        <v>17509</v>
      </c>
      <c r="F488" s="13" t="n">
        <v>17</v>
      </c>
      <c r="G488" s="15" t="inlineStr">
        <is>
          <t>보도를 마친 뒤, 알바로와 하비에르, 바실리오가 라만차의 한 식당에서 편하게 어울립니다. 이번 에도 사건 얘기 없이 순수한 일상 잡담입니다.</t>
        </is>
      </c>
    </row>
    <row r="489" ht="15" customHeight="1" s="11">
      <c r="A489" s="13" t="n">
        <v>488</v>
      </c>
      <c r="B489" s="13" t="n">
        <v>31</v>
      </c>
      <c r="C489" s="14">
        <f>INDEX('부작 목록'!$C$2:$C$96,B489)</f>
        <v/>
      </c>
      <c r="D489" s="14" t="inlineStr">
        <is>
          <t>D 엘 아르키텍토 추적</t>
        </is>
      </c>
      <c r="E489" s="13" t="n">
        <v>17529</v>
      </c>
      <c r="F489" s="13" t="n">
        <v>13</v>
      </c>
      <c r="G489" s="15" t="inlineStr">
        <is>
          <t>새로운 종류의 에피소드. 이번엔 사건이 전혀 없습니다. 알바로가 4년 전 그리스 낙소스 섬 여 행에서 만난 이탈리아 친구 루카와 마드리드에서 재회합니다.</t>
        </is>
      </c>
    </row>
    <row r="490" ht="15" customHeight="1" s="11">
      <c r="A490" s="13" t="n">
        <v>489</v>
      </c>
      <c r="B490" s="13" t="n">
        <v>31</v>
      </c>
      <c r="C490" s="14">
        <f>INDEX('부작 목록'!$C$2:$C$96,B490)</f>
        <v/>
      </c>
      <c r="D490" s="14" t="inlineStr">
        <is>
          <t>D 엘 아르키텍토 추적</t>
        </is>
      </c>
      <c r="E490" s="13" t="n">
        <v>17545</v>
      </c>
      <c r="F490" s="13" t="n">
        <v>15</v>
      </c>
      <c r="G490" s="15" t="inlineStr">
        <is>
          <t>저녁 식사 자리에서, 두 사람이 처음 만났던 그리스 여행을 추억합니다.</t>
        </is>
      </c>
    </row>
    <row r="491" ht="15" customHeight="1" s="11">
      <c r="A491" s="13" t="n">
        <v>490</v>
      </c>
      <c r="B491" s="13" t="n">
        <v>31</v>
      </c>
      <c r="C491" s="14">
        <f>INDEX('부작 목록'!$C$2:$C$96,B491)</f>
        <v/>
      </c>
      <c r="D491" s="14" t="inlineStr">
        <is>
          <t>D 엘 아르키텍토 추적</t>
        </is>
      </c>
      <c r="E491" s="13" t="n">
        <v>17562</v>
      </c>
      <c r="F491" s="13" t="n">
        <v>22</v>
      </c>
      <c r="G491" s="15" t="inlineStr">
        <is>
          <t>디저트를 먹으며, 두 사람이 지난 몇 년간의 근황을 나눕니다.</t>
        </is>
      </c>
    </row>
    <row r="492" ht="15" customHeight="1" s="11">
      <c r="A492" s="13" t="n">
        <v>491</v>
      </c>
      <c r="B492" s="13" t="n">
        <v>31</v>
      </c>
      <c r="C492" s="14">
        <f>INDEX('부작 목록'!$C$2:$C$96,B492)</f>
        <v/>
      </c>
      <c r="D492" s="14" t="inlineStr">
        <is>
          <t>D 엘 아르키텍토 추적</t>
        </is>
      </c>
      <c r="E492" s="13" t="n">
        <v>17586</v>
      </c>
      <c r="F492" s="13" t="n">
        <v>15</v>
      </c>
      <c r="G492" s="15" t="inlineStr">
        <is>
          <t>두 사람이 함께 이번 주 마드리드 방문 계획을 세웁니다.</t>
        </is>
      </c>
    </row>
    <row r="493" ht="15" customHeight="1" s="11">
      <c r="A493" s="13" t="n">
        <v>492</v>
      </c>
      <c r="B493" s="13" t="n">
        <v>31</v>
      </c>
      <c r="C493" s="14">
        <f>INDEX('부작 목록'!$C$2:$C$96,B493)</f>
        <v/>
      </c>
      <c r="D493" s="14" t="inlineStr">
        <is>
          <t>D 엘 아르키텍토 추적</t>
        </is>
      </c>
      <c r="E493" s="13" t="n">
        <v>17603</v>
      </c>
      <c r="F493" s="13" t="n">
        <v>17</v>
      </c>
      <c r="G493" s="15" t="inlineStr">
        <is>
          <t>밤이 깊어지며, 두 사람이 우정에 대해 조용히 이야기를 나눕니다.</t>
        </is>
      </c>
    </row>
    <row r="494" ht="15" customHeight="1" s="11">
      <c r="A494" s="13" t="n">
        <v>493</v>
      </c>
      <c r="B494" s="13" t="n">
        <v>32</v>
      </c>
      <c r="C494" s="14">
        <f>INDEX('부작 목록'!$C$2:$C$96,B494)</f>
        <v/>
      </c>
      <c r="D494" s="14" t="inlineStr">
        <is>
          <t>D 엘 아르키텍토 추적</t>
        </is>
      </c>
      <c r="E494" s="13" t="n">
        <v>17623</v>
      </c>
      <c r="F494" s="13" t="n">
        <v>20</v>
      </c>
      <c r="G494" s="15" t="inlineStr">
        <is>
          <t>새로운 작전. 카를로스가 알바로에게 두 실마리가 하나로 합쳐졌다는 소식을 전합니다 — 격화 된 어느 분쟁 지역의 무기 수요 급증을 틈타 루에다 조직이 밀매 규모를 확대하고 있고, 그 자 금세탁 구조 설계자가 다름 아닌 로셀요라는 정황입니다.</t>
        </is>
      </c>
    </row>
    <row r="495" ht="15" customHeight="1" s="11">
      <c r="A495" s="13" t="n">
        <v>494</v>
      </c>
      <c r="B495" s="13" t="n">
        <v>32</v>
      </c>
      <c r="C495" s="14">
        <f>INDEX('부작 목록'!$C$2:$C$96,B495)</f>
        <v/>
      </c>
      <c r="D495" s="14" t="inlineStr">
        <is>
          <t>D 엘 아르키텍토 추적</t>
        </is>
      </c>
      <c r="E495" s="13" t="n">
        <v>17646</v>
      </c>
      <c r="F495" s="13" t="n">
        <v>13</v>
      </c>
      <c r="G495" s="15" t="inlineStr">
        <is>
          <t>알바로가 '브루노 베테르그렌' 신분으로 발렌시아의 한 화물 중개업체를 찾아가 중개인 사울 프 리아스를 만납니다.</t>
        </is>
      </c>
    </row>
    <row r="496" ht="28.35" customHeight="1" s="11">
      <c r="A496" s="13" t="n">
        <v>495</v>
      </c>
      <c r="B496" s="13" t="n">
        <v>32</v>
      </c>
      <c r="C496" s="14">
        <f>INDEX('부작 목록'!$C$2:$C$96,B496)</f>
        <v/>
      </c>
      <c r="D496" s="14" t="inlineStr">
        <is>
          <t>D 엘 아르키텍토 추적</t>
        </is>
      </c>
      <c r="E496" s="13" t="n">
        <v>17662</v>
      </c>
      <c r="F496" s="13" t="n">
        <v>12</v>
      </c>
      <c r="G496" s="15" t="inlineStr">
        <is>
          <t>사울이 알바로를 조직의 물류 책임자 마르코 델가디요에게 소개합니다.</t>
        </is>
      </c>
    </row>
    <row r="497" ht="15" customHeight="1" s="11">
      <c r="A497" s="13" t="n">
        <v>496</v>
      </c>
      <c r="B497" s="13" t="n">
        <v>32</v>
      </c>
      <c r="C497" s="14">
        <f>INDEX('부작 목록'!$C$2:$C$96,B497)</f>
        <v/>
      </c>
      <c r="D497" s="14" t="inlineStr">
        <is>
          <t>D 엘 아르키텍토 추적</t>
        </is>
      </c>
      <c r="E497" s="13" t="n">
        <v>17677</v>
      </c>
      <c r="F497" s="13" t="n">
        <v>11</v>
      </c>
      <c r="G497" s="15" t="inlineStr">
        <is>
          <t>며칠 후, 알바로가 신뢰를 쌓기 위한 소규모 시험 거래를 진행합니다.</t>
        </is>
      </c>
    </row>
    <row r="498" ht="15" customHeight="1" s="11">
      <c r="A498" s="13" t="n">
        <v>497</v>
      </c>
      <c r="B498" s="13" t="n">
        <v>32</v>
      </c>
      <c r="C498" s="14">
        <f>INDEX('부작 목록'!$C$2:$C$96,B498)</f>
        <v/>
      </c>
      <c r="D498" s="14" t="inlineStr">
        <is>
          <t>D 엘 아르키텍토 추적</t>
        </is>
      </c>
      <c r="E498" s="13" t="n">
        <v>17690</v>
      </c>
      <c r="F498" s="13" t="n">
        <v>8</v>
      </c>
      <c r="G498" s="15" t="inlineStr">
        <is>
          <t>알바로가 결제를 진행하며, 자금이 여러 계좌를 거치는 과정을 처음으로 직접 관찰합니다.</t>
        </is>
      </c>
    </row>
    <row r="499" ht="15" customHeight="1" s="11">
      <c r="A499" s="13" t="n">
        <v>498</v>
      </c>
      <c r="B499" s="13" t="n">
        <v>32</v>
      </c>
      <c r="C499" s="14">
        <f>INDEX('부작 목록'!$C$2:$C$96,B499)</f>
        <v/>
      </c>
      <c r="D499" s="14" t="inlineStr">
        <is>
          <t>D 엘 아르키텍토 추적</t>
        </is>
      </c>
      <c r="E499" s="13" t="n">
        <v>17701</v>
      </c>
      <c r="F499" s="13" t="n">
        <v>23</v>
      </c>
      <c r="G499" s="15" t="inlineStr">
        <is>
          <t>시험 거래가 성공적으로 끝나고, 마르코가 알바로를 조직의 재무 담당자에게 소개합니다.</t>
        </is>
      </c>
    </row>
    <row r="500" ht="15" customHeight="1" s="11">
      <c r="A500" s="13" t="n">
        <v>499</v>
      </c>
      <c r="B500" s="13" t="n">
        <v>32</v>
      </c>
      <c r="C500" s="14">
        <f>INDEX('부작 목록'!$C$2:$C$96,B500)</f>
        <v/>
      </c>
      <c r="D500" s="14" t="inlineStr">
        <is>
          <t>D 엘 아르키텍토 추적</t>
        </is>
      </c>
      <c r="E500" s="13" t="n">
        <v>17727</v>
      </c>
      <c r="F500" s="13" t="n">
        <v>13</v>
      </c>
      <c r="G500" s="15" t="inlineStr">
        <is>
          <t>며칠 후, 알바로가 '외부 자문'이라는 인물로부터 검토 전화를 받습니다 — 목소리를 들은 순간, 로셀요라는 걸 직감합니다.</t>
        </is>
      </c>
    </row>
    <row r="501" ht="15" customHeight="1" s="11">
      <c r="A501" s="13" t="n">
        <v>500</v>
      </c>
      <c r="B501" s="13" t="n">
        <v>32</v>
      </c>
      <c r="C501" s="14">
        <f>INDEX('부작 목록'!$C$2:$C$96,B501)</f>
        <v/>
      </c>
      <c r="D501" s="14" t="inlineStr">
        <is>
          <t>D 엘 아르키텍토 추적</t>
        </is>
      </c>
      <c r="E501" s="13" t="n">
        <v>17743</v>
      </c>
      <c r="F501" s="13" t="n">
        <v>7</v>
      </c>
      <c r="G501" s="15" t="inlineStr">
        <is>
          <t>알바로가 비상 채널을 통해 결정적 확인 사항을 전달합니다.</t>
        </is>
      </c>
    </row>
    <row r="502" ht="15" customHeight="1" s="11">
      <c r="A502" s="13" t="n">
        <v>501</v>
      </c>
      <c r="B502" s="13" t="n">
        <v>32</v>
      </c>
      <c r="C502" s="14">
        <f>INDEX('부작 목록'!$C$2:$C$96,B502)</f>
        <v/>
      </c>
      <c r="D502" s="14" t="inlineStr">
        <is>
          <t>D 엘 아르키텍토 추적</t>
        </is>
      </c>
      <c r="E502" s="13" t="n">
        <v>17752</v>
      </c>
      <c r="F502" s="13" t="n">
        <v>10</v>
      </c>
      <c r="G502" s="15" t="inlineStr">
        <is>
          <t>다음 날, 마르코가 알바로에게 뜻밖의 질문을 던지며 긴장이 고조됩니다.</t>
        </is>
      </c>
    </row>
    <row r="503" ht="15" customHeight="1" s="11">
      <c r="A503" s="13" t="n">
        <v>502</v>
      </c>
      <c r="B503" s="13" t="n">
        <v>32</v>
      </c>
      <c r="C503" s="14">
        <f>INDEX('부작 목록'!$C$2:$C$96,B503)</f>
        <v/>
      </c>
      <c r="D503" s="14" t="inlineStr">
        <is>
          <t>D 엘 아르키텍토 추적</t>
        </is>
      </c>
      <c r="E503" s="13" t="n">
        <v>17765</v>
      </c>
      <c r="F503" s="13" t="n">
        <v>10</v>
      </c>
      <c r="G503" s="15" t="inlineStr">
        <is>
          <t>레나타가 최종 항구 정보를 전달하며, 알바로가 결정적 정보를 확보합니다.</t>
        </is>
      </c>
    </row>
    <row r="504" ht="28.35" customHeight="1" s="11">
      <c r="A504" s="13" t="n">
        <v>503</v>
      </c>
      <c r="B504" s="13" t="n">
        <v>32</v>
      </c>
      <c r="C504" s="14">
        <f>INDEX('부작 목록'!$C$2:$C$96,B504)</f>
        <v/>
      </c>
      <c r="D504" s="14" t="inlineStr">
        <is>
          <t>D 엘 아르키텍토 추적</t>
        </is>
      </c>
      <c r="E504" s="13" t="n">
        <v>17778</v>
      </c>
      <c r="F504" s="13" t="n">
        <v>10</v>
      </c>
      <c r="G504" s="15" t="inlineStr">
        <is>
          <t>알바로가 안전하게 발을 빼는 동안, 카르타헤나 항구에서 급습이 실행됩니다.</t>
        </is>
      </c>
    </row>
    <row r="505" ht="28.35" customHeight="1" s="11">
      <c r="A505" s="13" t="n">
        <v>504</v>
      </c>
      <c r="B505" s="13" t="n">
        <v>32</v>
      </c>
      <c r="C505" s="14">
        <f>INDEX('부작 목록'!$C$2:$C$96,B505)</f>
        <v/>
      </c>
      <c r="D505" s="14" t="inlineStr">
        <is>
          <t>D 엘 아르키텍토 추적</t>
        </is>
      </c>
      <c r="E505" s="13" t="n">
        <v>17790</v>
      </c>
      <c r="F505" s="13" t="n">
        <v>7</v>
      </c>
      <c r="G505" s="15" t="inlineStr">
        <is>
          <t>항구 급습과 동시에, 금융 정보팀이 5단계 결제 계좌를 차단합니다.</t>
        </is>
      </c>
    </row>
    <row r="506" ht="15" customHeight="1" s="11">
      <c r="A506" s="13" t="n">
        <v>505</v>
      </c>
      <c r="B506" s="13" t="n">
        <v>32</v>
      </c>
      <c r="C506" s="14">
        <f>INDEX('부작 목록'!$C$2:$C$96,B506)</f>
        <v/>
      </c>
      <c r="D506" s="14" t="inlineStr">
        <is>
          <t>D 엘 아르키텍토 추적</t>
        </is>
      </c>
      <c r="E506" s="13" t="n">
        <v>17800</v>
      </c>
      <c r="F506" s="13" t="n">
        <v>17</v>
      </c>
      <c r="G506" s="15" t="inlineStr">
        <is>
          <t>며칠 후, 알바로가 카를로스와 다시 만나 이번 작전의 전체 성과를 정리합니다.</t>
        </is>
      </c>
    </row>
    <row r="507" ht="15" customHeight="1" s="11">
      <c r="A507" s="13" t="n">
        <v>506</v>
      </c>
      <c r="B507" s="13" t="n">
        <v>32</v>
      </c>
      <c r="C507" s="14">
        <f>INDEX('부작 목록'!$C$2:$C$96,B507)</f>
        <v/>
      </c>
      <c r="D507" s="14" t="inlineStr">
        <is>
          <t>D 엘 아르키텍토 추적</t>
        </is>
      </c>
      <c r="E507" s="13" t="n">
        <v>17819</v>
      </c>
      <c r="F507" s="13" t="n">
        <v>15</v>
      </c>
      <c r="G507" s="15" t="inlineStr">
        <is>
          <t>며칠 후, 알바로가 카밀라에게 이번 작전 이야기를 전합니다.</t>
        </is>
      </c>
    </row>
    <row r="508" ht="15" customHeight="1" s="11">
      <c r="A508" s="13" t="n">
        <v>507</v>
      </c>
      <c r="B508" s="13" t="n">
        <v>33</v>
      </c>
      <c r="C508" s="14">
        <f>INDEX('부작 목록'!$C$2:$C$96,B508)</f>
        <v/>
      </c>
      <c r="D508" s="14" t="inlineStr">
        <is>
          <t>D 엘 아르키텍토 추적</t>
        </is>
      </c>
      <c r="E508" s="13" t="n">
        <v>17836</v>
      </c>
      <c r="F508" s="13" t="n">
        <v>14</v>
      </c>
      <c r="G508" s="15" t="inlineStr">
        <is>
          <t>새로운 취재. 알바로가 하비에르로부터 칸타브리아의 한 작은 마을에서 로셀요와 연결된 것으로 보이는 부동산 등기 정황을 전달받습니다. 이번엔 CNI 없이, 순수 저널리즘으로 혼자 추적하기 로 결심합니다.</t>
        </is>
      </c>
    </row>
    <row r="509" ht="15" customHeight="1" s="11">
      <c r="A509" s="13" t="n">
        <v>508</v>
      </c>
      <c r="B509" s="13" t="n">
        <v>33</v>
      </c>
      <c r="C509" s="14">
        <f>INDEX('부작 목록'!$C$2:$C$96,B509)</f>
        <v/>
      </c>
      <c r="D509" s="14" t="inlineStr">
        <is>
          <t>D 엘 아르키텍토 추적</t>
        </is>
      </c>
      <c r="E509" s="13" t="n">
        <v>17853</v>
      </c>
      <c r="F509" s="13" t="n">
        <v>21</v>
      </c>
      <c r="G509" s="15" t="inlineStr">
        <is>
          <t>알바로가 취재 이동을 위해 렌터카 업체에서 차량과 보험 조건을 협상합니다.</t>
        </is>
      </c>
    </row>
    <row r="510" ht="41.75" customHeight="1" s="11">
      <c r="A510" s="13" t="n">
        <v>509</v>
      </c>
      <c r="B510" s="13" t="n">
        <v>33</v>
      </c>
      <c r="C510" s="14">
        <f>INDEX('부작 목록'!$C$2:$C$96,B510)</f>
        <v/>
      </c>
      <c r="D510" s="14" t="inlineStr">
        <is>
          <t>D 엘 아르키텍토 추적</t>
        </is>
      </c>
      <c r="E510" s="13" t="n">
        <v>17877</v>
      </c>
      <c r="F510" s="13" t="n">
        <v>13</v>
      </c>
      <c r="G510" s="15" t="inlineStr">
        <is>
          <t>알바로가 칸타브리아의 한 식당에 전화를 걸어 제보자와의 저녁 식사를 위한 예약을 합니다.</t>
        </is>
      </c>
    </row>
    <row r="511" ht="15" customHeight="1" s="11">
      <c r="A511" s="13" t="n">
        <v>510</v>
      </c>
      <c r="B511" s="13" t="n">
        <v>33</v>
      </c>
      <c r="C511" s="14">
        <f>INDEX('부작 목록'!$C$2:$C$96,B511)</f>
        <v/>
      </c>
      <c r="D511" s="14" t="inlineStr">
        <is>
          <t>D 엘 아르키텍토 추적</t>
        </is>
      </c>
      <c r="E511" s="13" t="n">
        <v>17893</v>
      </c>
      <c r="F511" s="13" t="n">
        <v>16</v>
      </c>
      <c r="G511" s="15" t="inlineStr">
        <is>
          <t>산탄데르 공항에 도착한 알바로가 택시를 타고 마을로 이동하며, 기사와 물가·경제 이야기를 나 눕니다.</t>
        </is>
      </c>
    </row>
    <row r="512" ht="15" customHeight="1" s="11">
      <c r="A512" s="13" t="n">
        <v>511</v>
      </c>
      <c r="B512" s="13" t="n">
        <v>33</v>
      </c>
      <c r="C512" s="14">
        <f>INDEX('부작 목록'!$C$2:$C$96,B512)</f>
        <v/>
      </c>
      <c r="D512" s="14" t="inlineStr">
        <is>
          <t>D 엘 아르키텍토 추적</t>
        </is>
      </c>
      <c r="E512" s="13" t="n">
        <v>17912</v>
      </c>
      <c r="F512" s="13" t="n">
        <v>15</v>
      </c>
      <c r="G512" s="15" t="inlineStr">
        <is>
          <t>알바로가 마을 호텔에 도착해, 신원 노출을 최소화하기 위한 체크인 절차를 요청합니다.</t>
        </is>
      </c>
    </row>
    <row r="513" ht="15" customHeight="1" s="11">
      <c r="A513" s="13" t="n">
        <v>512</v>
      </c>
      <c r="B513" s="13" t="n">
        <v>33</v>
      </c>
      <c r="C513" s="14">
        <f>INDEX('부작 목록'!$C$2:$C$96,B513)</f>
        <v/>
      </c>
      <c r="D513" s="14" t="inlineStr">
        <is>
          <t>D 엘 아르키텍토 추적</t>
        </is>
      </c>
      <c r="E513" s="13" t="n">
        <v>17930</v>
      </c>
      <c r="F513" s="13" t="n">
        <v>17</v>
      </c>
      <c r="G513" s="15" t="inlineStr">
        <is>
          <t>알바로가 은퇴한 공증인 도밍고 세라노와 저녁 식사를 하며 의문의 부동산에 대해 이야기합니 다.</t>
        </is>
      </c>
    </row>
    <row r="514" ht="15" customHeight="1" s="11">
      <c r="A514" s="13" t="n">
        <v>513</v>
      </c>
      <c r="B514" s="13" t="n">
        <v>33</v>
      </c>
      <c r="C514" s="14">
        <f>INDEX('부작 목록'!$C$2:$C$96,B514)</f>
        <v/>
      </c>
      <c r="D514" s="14" t="inlineStr">
        <is>
          <t>D 엘 아르키텍토 추적</t>
        </is>
      </c>
      <c r="E514" s="13" t="n">
        <v>17950</v>
      </c>
      <c r="F514" s="13" t="n">
        <v>18</v>
      </c>
      <c r="G514" s="15" t="inlineStr">
        <is>
          <t>다음 날, 알바로가 목동 안셀모를 찾아가 신중하게 대화를 시도합니다.</t>
        </is>
      </c>
    </row>
    <row r="515" ht="15" customHeight="1" s="11">
      <c r="A515" s="13" t="n">
        <v>514</v>
      </c>
      <c r="B515" s="13" t="n">
        <v>33</v>
      </c>
      <c r="C515" s="14">
        <f>INDEX('부작 목록'!$C$2:$C$96,B515)</f>
        <v/>
      </c>
      <c r="D515" s="14" t="inlineStr">
        <is>
          <t>D 엘 아르키텍토 추적</t>
        </is>
      </c>
      <c r="E515" s="13" t="n">
        <v>17970</v>
      </c>
      <c r="F515" s="13" t="n">
        <v>16</v>
      </c>
      <c r="G515" s="15" t="inlineStr">
        <is>
          <t>그날 밤, 알바로가 취재 자료를 갖고 호텔로 돌아가던 중 불심검문을 받습니다.</t>
        </is>
      </c>
    </row>
    <row r="516" ht="28.35" customHeight="1" s="11">
      <c r="A516" s="13" t="n">
        <v>515</v>
      </c>
      <c r="B516" s="13" t="n">
        <v>33</v>
      </c>
      <c r="C516" s="14">
        <f>INDEX('부작 목록'!$C$2:$C$96,B516)</f>
        <v/>
      </c>
      <c r="D516" s="14" t="inlineStr">
        <is>
          <t>D 엘 아르키텍토 추적</t>
        </is>
      </c>
      <c r="E516" s="13" t="n">
        <v>17989</v>
      </c>
      <c r="F516" s="13" t="n">
        <v>17</v>
      </c>
      <c r="G516" s="15" t="inlineStr">
        <is>
          <t>다음 날 아침, 도밍고가 갑자기 쓰러지며 알바로가 그를 응급실로 데려갑니다.</t>
        </is>
      </c>
    </row>
    <row r="517" ht="15" customHeight="1" s="11">
      <c r="A517" s="13" t="n">
        <v>516</v>
      </c>
      <c r="B517" s="13" t="n">
        <v>33</v>
      </c>
      <c r="C517" s="14">
        <f>INDEX('부작 목록'!$C$2:$C$96,B517)</f>
        <v/>
      </c>
      <c r="D517" s="14" t="inlineStr">
        <is>
          <t>D 엘 아르키텍토 추적</t>
        </is>
      </c>
      <c r="E517" s="13" t="n">
        <v>18009</v>
      </c>
      <c r="F517" s="13" t="n">
        <v>11</v>
      </c>
      <c r="G517" s="15" t="inlineStr">
        <is>
          <t>몇 시간 후, 의사가 진단 결과를 전하며 도밍고의 상태 원인이 밝혀집니다.</t>
        </is>
      </c>
    </row>
    <row r="518" ht="15" customHeight="1" s="11">
      <c r="A518" s="13" t="n">
        <v>517</v>
      </c>
      <c r="B518" s="13" t="n">
        <v>33</v>
      </c>
      <c r="C518" s="14">
        <f>INDEX('부작 목록'!$C$2:$C$96,B518)</f>
        <v/>
      </c>
      <c r="D518" s="14" t="inlineStr">
        <is>
          <t>D 엘 아르키텍토 추적</t>
        </is>
      </c>
      <c r="E518" s="13" t="n">
        <v>18023</v>
      </c>
      <c r="F518" s="13" t="n">
        <v>13</v>
      </c>
      <c r="G518" s="15" t="inlineStr">
        <is>
          <t>만약을 대비해, 알바로가 원격으로 IT 보안 전문가 친구에게 통신 보안을 요청합니다.</t>
        </is>
      </c>
    </row>
    <row r="519" ht="15" customHeight="1" s="11">
      <c r="A519" s="13" t="n">
        <v>518</v>
      </c>
      <c r="B519" s="13" t="n">
        <v>33</v>
      </c>
      <c r="C519" s="14">
        <f>INDEX('부작 목록'!$C$2:$C$96,B519)</f>
        <v/>
      </c>
      <c r="D519" s="14" t="inlineStr">
        <is>
          <t>D 엘 아르키텍토 추적</t>
        </is>
      </c>
      <c r="E519" s="13" t="n">
        <v>18039</v>
      </c>
      <c r="F519" s="13" t="n">
        <v>16</v>
      </c>
      <c r="G519" s="15" t="inlineStr">
        <is>
          <t>알바로가 렌터카를 반납하고, 눈에 띄지 않게 마을에 더 머물기 위해 개인 간 중고차 거래를 진 행합니다.</t>
        </is>
      </c>
    </row>
    <row r="520" ht="15" customHeight="1" s="11">
      <c r="A520" s="13" t="n">
        <v>519</v>
      </c>
      <c r="B520" s="13" t="n">
        <v>33</v>
      </c>
      <c r="C520" s="14">
        <f>INDEX('부작 목록'!$C$2:$C$96,B520)</f>
        <v/>
      </c>
      <c r="D520" s="14" t="inlineStr">
        <is>
          <t>D 엘 아르키텍토 추적</t>
        </is>
      </c>
      <c r="E520" s="13" t="n">
        <v>18058</v>
      </c>
      <c r="F520" s="13" t="n">
        <v>20</v>
      </c>
      <c r="G520" s="15" t="inlineStr">
        <is>
          <t>며칠간의 감시를 앞두고, 알바로가 저택이 잘 보이는 위치에 은신 거점으로 쓸 단기 임대 아파 트를 계약합니다. 호텔 프런트에 출입 기록이 남는 걸 피하기 위한 선택입니다.</t>
        </is>
      </c>
    </row>
    <row r="521" ht="15" customHeight="1" s="11">
      <c r="A521" s="13" t="n">
        <v>520</v>
      </c>
      <c r="B521" s="13" t="n">
        <v>33</v>
      </c>
      <c r="C521" s="14">
        <f>INDEX('부작 목록'!$C$2:$C$96,B521)</f>
        <v/>
      </c>
      <c r="D521" s="14" t="inlineStr">
        <is>
          <t>D 엘 아르키텍토 추적</t>
        </is>
      </c>
      <c r="E521" s="13" t="n">
        <v>18081</v>
      </c>
      <c r="F521" s="13" t="n">
        <v>10</v>
      </c>
      <c r="G521" s="15" t="inlineStr">
        <is>
          <t>새로 산 차로 감시를 이어가던 알바로가, 마침내 문제의 차량이 저택에서 나오는 것을 목격합니 다.</t>
        </is>
      </c>
    </row>
    <row r="522" ht="15" customHeight="1" s="11">
      <c r="A522" s="13" t="n">
        <v>521</v>
      </c>
      <c r="B522" s="13" t="n">
        <v>33</v>
      </c>
      <c r="C522" s="14">
        <f>INDEX('부작 목록'!$C$2:$C$96,B522)</f>
        <v/>
      </c>
      <c r="D522" s="14" t="inlineStr">
        <is>
          <t>D 엘 아르키텍토 추적</t>
        </is>
      </c>
      <c r="E522" s="13" t="n">
        <v>18093</v>
      </c>
      <c r="F522" s="13" t="n">
        <v>15</v>
      </c>
      <c r="G522" s="15" t="inlineStr">
        <is>
          <t>공항에서 돌아온 알바로가 하비에르에게 이번 발견을 자세히 전달하며, 다음 단계를 논의합니 다.</t>
        </is>
      </c>
    </row>
    <row r="523" ht="15" customHeight="1" s="11">
      <c r="A523" s="13" t="n">
        <v>522</v>
      </c>
      <c r="B523" s="13" t="n">
        <v>33</v>
      </c>
      <c r="C523" s="14">
        <f>INDEX('부작 목록'!$C$2:$C$96,B523)</f>
        <v/>
      </c>
      <c r="D523" s="14" t="inlineStr">
        <is>
          <t>D 엘 아르키텍토 추적</t>
        </is>
      </c>
      <c r="E523" s="13" t="n">
        <v>18111</v>
      </c>
      <c r="F523" s="13" t="n">
        <v>15</v>
      </c>
      <c r="G523" s="15" t="inlineStr">
        <is>
          <t>마드리드로 돌아온 알바로가 보도 전, 신문사 법률고문 변호사 인마쿨라다 벨트란과 명예훼손 리스크를 점검합니다.</t>
        </is>
      </c>
    </row>
    <row r="524" ht="28.35" customHeight="1" s="11">
      <c r="A524" s="13" t="n">
        <v>523</v>
      </c>
      <c r="B524" s="13" t="n">
        <v>33</v>
      </c>
      <c r="C524" s="14">
        <f>INDEX('부작 목록'!$C$2:$C$96,B524)</f>
        <v/>
      </c>
      <c r="D524" s="14" t="inlineStr">
        <is>
          <t>D 엘 아르키텍토 추적</t>
        </is>
      </c>
      <c r="E524" s="13" t="n">
        <v>18129</v>
      </c>
      <c r="F524" s="13" t="n">
        <v>15</v>
      </c>
      <c r="G524" s="15" t="inlineStr">
        <is>
          <t>보도 전, 알바로가 이번엔 CNI 개입을 요청하기 위해서가 아니라, 취재 결과를 공유하는 형태로 카를로스에게 연락합니다.</t>
        </is>
      </c>
    </row>
    <row r="525" ht="15" customHeight="1" s="11">
      <c r="A525" s="13" t="n">
        <v>524</v>
      </c>
      <c r="B525" s="13" t="n">
        <v>33</v>
      </c>
      <c r="C525" s="14">
        <f>INDEX('부작 목록'!$C$2:$C$96,B525)</f>
        <v/>
      </c>
      <c r="D525" s="14" t="inlineStr">
        <is>
          <t>D 엘 아르키텍토 추적</t>
        </is>
      </c>
      <c r="E525" s="13" t="n">
        <v>18147</v>
      </c>
      <c r="F525" s="13" t="n">
        <v>14</v>
      </c>
      <c r="G525" s="15" t="inlineStr">
        <is>
          <t>며칠 후, 알바로와 하비에르가 최종 보도를 발행합니다.</t>
        </is>
      </c>
    </row>
    <row r="526" ht="15" customHeight="1" s="11">
      <c r="A526" s="13" t="n">
        <v>525</v>
      </c>
      <c r="B526" s="13" t="n">
        <v>33</v>
      </c>
      <c r="C526" s="14">
        <f>INDEX('부작 목록'!$C$2:$C$96,B526)</f>
        <v/>
      </c>
      <c r="D526" s="14" t="inlineStr">
        <is>
          <t>D 엘 아르키텍토 추적</t>
        </is>
      </c>
      <c r="E526" s="13" t="n">
        <v>18164</v>
      </c>
      <c r="F526" s="13" t="n">
        <v>14</v>
      </c>
      <c r="G526" s="15" t="inlineStr">
        <is>
          <t>보도가 나간 뒤, 국내외에서 반향이 일어납니다.</t>
        </is>
      </c>
    </row>
    <row r="527" ht="15" customHeight="1" s="11">
      <c r="A527" s="13" t="n">
        <v>526</v>
      </c>
      <c r="B527" s="13" t="n">
        <v>33</v>
      </c>
      <c r="C527" s="14">
        <f>INDEX('부작 목록'!$C$2:$C$96,B527)</f>
        <v/>
      </c>
      <c r="D527" s="14" t="inlineStr">
        <is>
          <t>D 엘 아르키텍토 추적</t>
        </is>
      </c>
      <c r="E527" s="13" t="n">
        <v>18181</v>
      </c>
      <c r="F527" s="13" t="n">
        <v>17</v>
      </c>
      <c r="G527" s="15" t="inlineStr">
        <is>
          <t>몇 주 후, 알바로가 출판사 편집장 로렌소 이바녜스와 그동안의 취재를 책으로 엮는 협상을 진 행합니다.</t>
        </is>
      </c>
    </row>
    <row r="528" ht="15" customHeight="1" s="11">
      <c r="A528" s="13" t="n">
        <v>527</v>
      </c>
      <c r="B528" s="13" t="n">
        <v>33</v>
      </c>
      <c r="C528" s="14">
        <f>INDEX('부작 목록'!$C$2:$C$96,B528)</f>
        <v/>
      </c>
      <c r="D528" s="14" t="inlineStr">
        <is>
          <t>D 엘 아르키텍토 추적</t>
        </is>
      </c>
      <c r="E528" s="13" t="n">
        <v>18201</v>
      </c>
      <c r="F528" s="13" t="n">
        <v>15</v>
      </c>
      <c r="G528" s="15" t="inlineStr">
        <is>
          <t>몇 주 후, 알바로가 칸타브리아를 다시 찾아 도밍고와 안셀모의 상황을 확인합니다.</t>
        </is>
      </c>
    </row>
    <row r="529" ht="15" customHeight="1" s="11">
      <c r="A529" s="13" t="n">
        <v>528</v>
      </c>
      <c r="B529" s="13" t="n">
        <v>33</v>
      </c>
      <c r="C529" s="14">
        <f>INDEX('부작 목록'!$C$2:$C$96,B529)</f>
        <v/>
      </c>
      <c r="D529" s="14" t="inlineStr">
        <is>
          <t>D 엘 아르키텍토 추적</t>
        </is>
      </c>
      <c r="E529" s="13" t="n">
        <v>18218</v>
      </c>
      <c r="F529" s="13" t="n">
        <v>20</v>
      </c>
      <c r="G529" s="15" t="inlineStr">
        <is>
          <t>마드리드로 돌아온 알바로가 카밀라에게 이번 단독 취재에 대해 자세히 이야기합니다.</t>
        </is>
      </c>
    </row>
    <row r="530" ht="15" customHeight="1" s="11">
      <c r="A530" s="13" t="n">
        <v>529</v>
      </c>
      <c r="B530" s="13" t="n">
        <v>33</v>
      </c>
      <c r="C530" s="14">
        <f>INDEX('부작 목록'!$C$2:$C$96,B530)</f>
        <v/>
      </c>
      <c r="D530" s="14" t="inlineStr">
        <is>
          <t>D 엘 아르키텍토 추적</t>
        </is>
      </c>
      <c r="E530" s="13" t="n">
        <v>18243</v>
      </c>
      <c r="F530" s="13" t="n">
        <v>13</v>
      </c>
      <c r="G530" s="15" t="inlineStr">
        <is>
          <t>모든 게 끝난 후, 알바로가 마르코스에게 다시 연락해 보안 조치를 해제하고 결과를 정리합니 다.</t>
        </is>
      </c>
    </row>
    <row r="531" ht="15" customHeight="1" s="11">
      <c r="A531" s="13" t="n">
        <v>530</v>
      </c>
      <c r="B531" s="13" t="n">
        <v>33</v>
      </c>
      <c r="C531" s="14">
        <f>INDEX('부작 목록'!$C$2:$C$96,B531)</f>
        <v/>
      </c>
      <c r="D531" s="14" t="inlineStr">
        <is>
          <t>D 엘 아르키텍토 추적</t>
        </is>
      </c>
      <c r="E531" s="13" t="n">
        <v>18259</v>
      </c>
      <c r="F531" s="13" t="n">
        <v>15</v>
      </c>
      <c r="G531" s="15" t="inlineStr">
        <is>
          <t>몇 주 후, 인마쿨라다의 검토를 마친 출판 계약서에 알바로가 최종 서명합니다.</t>
        </is>
      </c>
    </row>
    <row r="532" ht="15" customHeight="1" s="11">
      <c r="A532" s="13" t="n">
        <v>531</v>
      </c>
      <c r="B532" s="13" t="n">
        <v>33</v>
      </c>
      <c r="C532" s="14">
        <f>INDEX('부작 목록'!$C$2:$C$96,B532)</f>
        <v/>
      </c>
      <c r="D532" s="14" t="inlineStr">
        <is>
          <t>D 엘 아르키텍토 추적</t>
        </is>
      </c>
      <c r="E532" s="13" t="n">
        <v>18277</v>
      </c>
      <c r="F532" s="13" t="n">
        <v>16</v>
      </c>
      <c r="G532" s="15" t="inlineStr">
        <is>
          <t>그날 밤, 알바로와 카밀라가 계약 체결을 축하하며 조용한 저녁을 보냅니다.</t>
        </is>
      </c>
    </row>
    <row r="533" ht="15" customHeight="1" s="11">
      <c r="A533" s="13" t="n">
        <v>532</v>
      </c>
      <c r="B533" s="13" t="n">
        <v>33</v>
      </c>
      <c r="C533" s="14">
        <f>INDEX('부작 목록'!$C$2:$C$96,B533)</f>
        <v/>
      </c>
      <c r="D533" s="14" t="inlineStr">
        <is>
          <t>D 엘 아르키텍토 추적</t>
        </is>
      </c>
      <c r="E533" s="13" t="n">
        <v>18296</v>
      </c>
      <c r="F533" s="13" t="n">
        <v>4</v>
      </c>
      <c r="G533" s="17" t="inlineStr">
        <is>
          <t>카밀라가 잠든 후, 알바로가 조용히 이번 여정을 되돌아봅니다.</t>
        </is>
      </c>
    </row>
    <row r="534" ht="15" customHeight="1" s="11">
      <c r="A534" s="13" t="n">
        <v>533</v>
      </c>
      <c r="B534" s="13" t="n">
        <v>34</v>
      </c>
      <c r="C534" s="14">
        <f>INDEX('부작 목록'!$C$2:$C$96,B534)</f>
        <v/>
      </c>
      <c r="D534" s="14" t="inlineStr">
        <is>
          <t>E 빅토르 안전가옥 세션</t>
        </is>
      </c>
      <c r="E534" s="13" t="n">
        <v>18302</v>
      </c>
      <c r="F534" s="13" t="n">
        <v>14</v>
      </c>
      <c r="G534" s="15" t="inlineStr">
        <is>
          <t>새로운 시리즈 시작. 알바로가 뜻밖의 암호화 메시지를 받습니다. 불특정 해외 정보기관 소속 요원이, 알바로의 기사를 유심히 읽어왔다며 접선을 요청합니다.</t>
        </is>
      </c>
    </row>
    <row r="535" ht="15" customHeight="1" s="11">
      <c r="A535" s="13" t="n">
        <v>534</v>
      </c>
      <c r="B535" s="13" t="n">
        <v>34</v>
      </c>
      <c r="C535" s="14">
        <f>INDEX('부작 목록'!$C$2:$C$96,B535)</f>
        <v/>
      </c>
      <c r="D535" s="14" t="inlineStr">
        <is>
          <t>E 빅토르 안전가옥 세션</t>
        </is>
      </c>
      <c r="E535" s="13" t="n">
        <v>18319</v>
      </c>
      <c r="F535" s="13" t="n">
        <v>16</v>
      </c>
      <c r="G535" s="17" t="inlineStr">
        <is>
          <t>다음 날, 마드리드의 번잡한 시장에서 알바로가 요원과 처음 대면합니다. 요원은 자신을 '빅토르 '라고 소개하며, 알바로의 정체를 이미 알고 있음을 밝힙니다.</t>
        </is>
      </c>
    </row>
    <row r="536" ht="28.35" customHeight="1" s="11">
      <c r="A536" s="13" t="n">
        <v>535</v>
      </c>
      <c r="B536" s="13" t="n">
        <v>34</v>
      </c>
      <c r="C536" s="14">
        <f>INDEX('부작 목록'!$C$2:$C$96,B536)</f>
        <v/>
      </c>
      <c r="D536" s="14" t="inlineStr">
        <is>
          <t>E 빅토르 안전가옥 세션</t>
        </is>
      </c>
      <c r="E536" s="13" t="n">
        <v>18338</v>
      </c>
      <c r="F536" s="13" t="n">
        <v>14</v>
      </c>
      <c r="G536" s="15" t="inlineStr">
        <is>
          <t>빅토르가 망명을 결심하게 된 이유를 설명합니다.</t>
        </is>
      </c>
    </row>
    <row r="537" ht="15" customHeight="1" s="11">
      <c r="A537" s="13" t="n">
        <v>536</v>
      </c>
      <c r="B537" s="13" t="n">
        <v>34</v>
      </c>
      <c r="C537" s="14">
        <f>INDEX('부작 목록'!$C$2:$C$96,B537)</f>
        <v/>
      </c>
      <c r="D537" s="14" t="inlineStr">
        <is>
          <t>E 빅토르 안전가옥 세션</t>
        </is>
      </c>
      <c r="E537" s="13" t="n">
        <v>18355</v>
      </c>
      <c r="F537" s="13" t="n">
        <v>15</v>
      </c>
      <c r="G537" s="15" t="inlineStr">
        <is>
          <t>빅토르가 스페인을 겨냥한 여러 작전에 대해 이야기할 게 있다고 밝히며, 진실을 아는 것의 양 면성에 대해 철학적으로 이야기합니다.</t>
        </is>
      </c>
    </row>
    <row r="538" ht="15" customHeight="1" s="11">
      <c r="A538" s="13" t="n">
        <v>537</v>
      </c>
      <c r="B538" s="13" t="n">
        <v>34</v>
      </c>
      <c r="C538" s="14">
        <f>INDEX('부작 목록'!$C$2:$C$96,B538)</f>
        <v/>
      </c>
      <c r="D538" s="14" t="inlineStr">
        <is>
          <t>E 빅토르 안전가옥 세션</t>
        </is>
      </c>
      <c r="E538" s="13" t="n">
        <v>18372</v>
      </c>
      <c r="F538" s="13" t="n">
        <v>15</v>
      </c>
      <c r="G538" s="15" t="inlineStr">
        <is>
          <t>빅토르가 정식으로 은밀한 망명을 요청하며, 자신이 원하는 조건을 밝힙니다.</t>
        </is>
      </c>
    </row>
    <row r="539" ht="15" customHeight="1" s="11">
      <c r="A539" s="13" t="n">
        <v>538</v>
      </c>
      <c r="B539" s="13" t="n">
        <v>34</v>
      </c>
      <c r="C539" s="14">
        <f>INDEX('부작 목록'!$C$2:$C$96,B539)</f>
        <v/>
      </c>
      <c r="D539" s="14" t="inlineStr">
        <is>
          <t>E 빅토르 안전가옥 세션</t>
        </is>
      </c>
      <c r="E539" s="13" t="n">
        <v>18389</v>
      </c>
      <c r="F539" s="13" t="n">
        <v>11</v>
      </c>
      <c r="G539" s="15" t="inlineStr">
        <is>
          <t>헤어진 직후, 알바로가 곧바로 카를로스에게 연락합니다.</t>
        </is>
      </c>
    </row>
    <row r="540" ht="28.35" customHeight="1" s="11">
      <c r="A540" s="13" t="n">
        <v>539</v>
      </c>
      <c r="B540" s="13" t="n">
        <v>34</v>
      </c>
      <c r="C540" s="14">
        <f>INDEX('부작 목록'!$C$2:$C$96,B540)</f>
        <v/>
      </c>
      <c r="D540" s="14" t="inlineStr">
        <is>
          <t>E 빅토르 안전가옥 세션</t>
        </is>
      </c>
      <c r="E540" s="13" t="n">
        <v>18403</v>
      </c>
      <c r="F540" s="13" t="n">
        <v>15</v>
      </c>
      <c r="G540" s="15" t="inlineStr">
        <is>
          <t>카를로스의 사무실에서, 알바로가 상세한 내용을 보고하고 사안의 심각성을 확인합니다.</t>
        </is>
      </c>
    </row>
    <row r="541" ht="15" customHeight="1" s="11">
      <c r="A541" s="13" t="n">
        <v>540</v>
      </c>
      <c r="B541" s="13" t="n">
        <v>34</v>
      </c>
      <c r="C541" s="14">
        <f>INDEX('부작 목록'!$C$2:$C$96,B541)</f>
        <v/>
      </c>
      <c r="D541" s="14" t="inlineStr">
        <is>
          <t>E 빅토르 안전가옥 세션</t>
        </is>
      </c>
      <c r="E541" s="13" t="n">
        <v>18421</v>
      </c>
      <c r="F541" s="13" t="n">
        <v>14</v>
      </c>
      <c r="G541" s="15" t="inlineStr">
        <is>
          <t>며칠 후, CNI의 통제 아래 알바로가 빅토르와 두 번째로 접선합니다. 이번엔 카를로스 팀이 주 변에서 조용히 검증합니다.</t>
        </is>
      </c>
    </row>
    <row r="542" ht="15" customHeight="1" s="11">
      <c r="A542" s="13" t="n">
        <v>541</v>
      </c>
      <c r="B542" s="13" t="n">
        <v>34</v>
      </c>
      <c r="C542" s="14">
        <f>INDEX('부작 목록'!$C$2:$C$96,B542)</f>
        <v/>
      </c>
      <c r="D542" s="14" t="inlineStr">
        <is>
          <t>E 빅토르 안전가옥 세션</t>
        </is>
      </c>
      <c r="E542" s="13" t="n">
        <v>18437</v>
      </c>
      <c r="F542" s="13" t="n">
        <v>15</v>
      </c>
      <c r="G542" s="15" t="inlineStr">
        <is>
          <t>11일 후, 빅토르가 예고한 정황이 정확히 실현되며 카를로스가 신빙성을 확신합니다.</t>
        </is>
      </c>
    </row>
    <row r="543" ht="15" customHeight="1" s="11">
      <c r="A543" s="13" t="n">
        <v>542</v>
      </c>
      <c r="B543" s="13" t="n">
        <v>34</v>
      </c>
      <c r="C543" s="14">
        <f>INDEX('부작 목록'!$C$2:$C$96,B543)</f>
        <v/>
      </c>
      <c r="D543" s="14" t="inlineStr">
        <is>
          <t>E 빅토르 안전가옥 세션</t>
        </is>
      </c>
      <c r="E543" s="13" t="n">
        <v>18454</v>
      </c>
      <c r="F543" s="13" t="n">
        <v>14</v>
      </c>
      <c r="G543" s="15" t="inlineStr">
        <is>
          <t>다음 날, 빅토르가 정식으로 CNI 보호 아래 들어가며, 알바로에게 마지막 인사와 함께 앞으로의 이야기를 예고합니다.</t>
        </is>
      </c>
    </row>
    <row r="544" ht="15" customHeight="1" s="11">
      <c r="A544" s="13" t="n">
        <v>543</v>
      </c>
      <c r="B544" s="13" t="n">
        <v>35</v>
      </c>
      <c r="C544" s="14">
        <f>INDEX('부작 목록'!$C$2:$C$96,B544)</f>
        <v/>
      </c>
      <c r="D544" s="14" t="inlineStr">
        <is>
          <t>E 빅토르 안전가옥 세션</t>
        </is>
      </c>
      <c r="E544" s="13" t="n">
        <v>18471</v>
      </c>
      <c r="F544" s="13" t="n">
        <v>14</v>
      </c>
      <c r="G544" s="15" t="inlineStr">
        <is>
          <t>2부: 신빙성 검증. 안전가옥에서 빅토르, 알바로, 카를로스 세 사람만의 세션이 시작됩니다. 카를 로스가 검증하기 쉬운 종결된 작전부터 시작해달라고 요청합니다.</t>
        </is>
      </c>
    </row>
    <row r="545" ht="15" customHeight="1" s="11">
      <c r="A545" s="13" t="n">
        <v>544</v>
      </c>
      <c r="B545" s="13" t="n">
        <v>35</v>
      </c>
      <c r="C545" s="14">
        <f>INDEX('부작 목록'!$C$2:$C$96,B545)</f>
        <v/>
      </c>
      <c r="D545" s="14" t="inlineStr">
        <is>
          <t>E 빅토르 안전가옥 세션</t>
        </is>
      </c>
      <c r="E545" s="13" t="n">
        <v>18488</v>
      </c>
      <c r="F545" s="13" t="n">
        <v>14</v>
      </c>
      <c r="G545" s="15" t="inlineStr">
        <is>
          <t>카를로스가 하드웨어 임플란트의 기술적 세부사항을 캐묻습니다.</t>
        </is>
      </c>
    </row>
    <row r="546" ht="15" customHeight="1" s="11">
      <c r="A546" s="13" t="n">
        <v>545</v>
      </c>
      <c r="B546" s="13" t="n">
        <v>35</v>
      </c>
      <c r="C546" s="14">
        <f>INDEX('부작 목록'!$C$2:$C$96,B546)</f>
        <v/>
      </c>
      <c r="D546" s="14" t="inlineStr">
        <is>
          <t>E 빅토르 안전가옥 세션</t>
        </is>
      </c>
      <c r="E546" s="13" t="n">
        <v>18505</v>
      </c>
      <c r="F546" s="13" t="n">
        <v>13</v>
      </c>
      <c r="G546" s="15" t="inlineStr">
        <is>
          <t>알바로가 유통 경로와 로셀요와의 연관성에 대해 질문합니다.</t>
        </is>
      </c>
    </row>
    <row r="547" ht="15" customHeight="1" s="11">
      <c r="A547" s="13" t="n">
        <v>546</v>
      </c>
      <c r="B547" s="13" t="n">
        <v>35</v>
      </c>
      <c r="C547" s="14">
        <f>INDEX('부작 목록'!$C$2:$C$96,B547)</f>
        <v/>
      </c>
      <c r="D547" s="14" t="inlineStr">
        <is>
          <t>E 빅토르 안전가옥 세션</t>
        </is>
      </c>
      <c r="E547" s="13" t="n">
        <v>18521</v>
      </c>
      <c r="F547" s="13" t="n">
        <v>15</v>
      </c>
      <c r="G547" s="15" t="inlineStr">
        <is>
          <t>카를로스가 구체적으로 어떤 기관들이 표적이 됐는지 확인합니다.</t>
        </is>
      </c>
    </row>
    <row r="548" ht="15" customHeight="1" s="11">
      <c r="A548" s="13" t="n">
        <v>547</v>
      </c>
      <c r="B548" s="13" t="n">
        <v>35</v>
      </c>
      <c r="C548" s="14">
        <f>INDEX('부작 목록'!$C$2:$C$96,B548)</f>
        <v/>
      </c>
      <c r="D548" s="14" t="inlineStr">
        <is>
          <t>E 빅토르 안전가옥 세션</t>
        </is>
      </c>
      <c r="E548" s="13" t="n">
        <v>18539</v>
      </c>
      <c r="F548" s="13" t="n">
        <v>14</v>
      </c>
      <c r="G548" s="15" t="inlineStr">
        <is>
          <t>알바로가 그렇게 오랫동안 탐지되지 않은 이유를 캐묻습니다.</t>
        </is>
      </c>
    </row>
    <row r="549" ht="15" customHeight="1" s="11">
      <c r="A549" s="13" t="n">
        <v>548</v>
      </c>
      <c r="B549" s="13" t="n">
        <v>35</v>
      </c>
      <c r="C549" s="14">
        <f>INDEX('부작 목록'!$C$2:$C$96,B549)</f>
        <v/>
      </c>
      <c r="D549" s="14" t="inlineStr">
        <is>
          <t>E 빅토르 안전가옥 세션</t>
        </is>
      </c>
      <c r="E549" s="13" t="n">
        <v>18555</v>
      </c>
      <c r="F549" s="13" t="n">
        <v>14</v>
      </c>
      <c r="G549" s="15" t="inlineStr">
        <is>
          <t>카를로스가 빅토르의 신원과 접근 권한을 교차 검증하기 위한 질문을 던집니다.</t>
        </is>
      </c>
    </row>
    <row r="550" ht="28.35" customHeight="1" s="11">
      <c r="A550" s="13" t="n">
        <v>549</v>
      </c>
      <c r="B550" s="13" t="n">
        <v>35</v>
      </c>
      <c r="C550" s="14">
        <f>INDEX('부작 목록'!$C$2:$C$96,B550)</f>
        <v/>
      </c>
      <c r="D550" s="14" t="inlineStr">
        <is>
          <t>E 빅토르 안전가옥 세션</t>
        </is>
      </c>
      <c r="E550" s="13" t="n">
        <v>18572</v>
      </c>
      <c r="F550" s="13" t="n">
        <v>14</v>
      </c>
      <c r="G550" s="15" t="inlineStr">
        <is>
          <t>알바로가 이 작전으로 인한 인간적 피해에 대해 묻습니다.</t>
        </is>
      </c>
    </row>
    <row r="551" ht="28.35" customHeight="1" s="11">
      <c r="A551" s="13" t="n">
        <v>550</v>
      </c>
      <c r="B551" s="13" t="n">
        <v>35</v>
      </c>
      <c r="C551" s="14">
        <f>INDEX('부작 목록'!$C$2:$C$96,B551)</f>
        <v/>
      </c>
      <c r="D551" s="14" t="inlineStr">
        <is>
          <t>E 빅토르 안전가옥 세션</t>
        </is>
      </c>
      <c r="E551" s="13" t="n">
        <v>18589</v>
      </c>
      <c r="F551" s="13" t="n">
        <v>13</v>
      </c>
      <c r="G551" s="15" t="inlineStr">
        <is>
          <t>빅토르가 문서를 건네고, 카를로스가 즉시 확인 작업에 착수합니다.</t>
        </is>
      </c>
    </row>
    <row r="552" ht="15" customHeight="1" s="11">
      <c r="A552" s="13" t="n">
        <v>551</v>
      </c>
      <c r="B552" s="13" t="n">
        <v>35</v>
      </c>
      <c r="C552" s="14">
        <f>INDEX('부작 목록'!$C$2:$C$96,B552)</f>
        <v/>
      </c>
      <c r="D552" s="14" t="inlineStr">
        <is>
          <t>E 빅토르 안전가옥 세션</t>
        </is>
      </c>
      <c r="E552" s="13" t="n">
        <v>18604</v>
      </c>
      <c r="F552" s="13" t="n">
        <v>10</v>
      </c>
      <c r="G552" s="15" t="inlineStr">
        <is>
          <t>카를로스가 아직 활성 상태로 남아있을 수 있는 백도어의 현재 위험도를 재확인합니다.</t>
        </is>
      </c>
    </row>
    <row r="553" ht="28.35" customHeight="1" s="11">
      <c r="A553" s="13" t="n">
        <v>552</v>
      </c>
      <c r="B553" s="13" t="n">
        <v>35</v>
      </c>
      <c r="C553" s="14">
        <f>INDEX('부작 목록'!$C$2:$C$96,B553)</f>
        <v/>
      </c>
      <c r="D553" s="14" t="inlineStr">
        <is>
          <t>E 빅토르 안전가옥 세션</t>
        </is>
      </c>
      <c r="E553" s="13" t="n">
        <v>18616</v>
      </c>
      <c r="F553" s="13" t="n">
        <v>10</v>
      </c>
      <c r="G553" s="15" t="inlineStr">
        <is>
          <t>알바로가 이 작전이 스페인 외에 다른 나라에도 적용됐는지 질문합니다.</t>
        </is>
      </c>
    </row>
    <row r="554" ht="15" customHeight="1" s="11">
      <c r="A554" s="13" t="n">
        <v>553</v>
      </c>
      <c r="B554" s="13" t="n">
        <v>35</v>
      </c>
      <c r="C554" s="14">
        <f>INDEX('부작 목록'!$C$2:$C$96,B554)</f>
        <v/>
      </c>
      <c r="D554" s="14" t="inlineStr">
        <is>
          <t>E 빅토르 안전가옥 세션</t>
        </is>
      </c>
      <c r="E554" s="13" t="n">
        <v>18629</v>
      </c>
      <c r="F554" s="13" t="n">
        <v>11</v>
      </c>
      <c r="G554" s="15" t="inlineStr">
        <is>
          <t>카를로스가 동남아시아 하청업체에 대한 추가 정보를 요구합니다.</t>
        </is>
      </c>
    </row>
    <row r="555" ht="15" customHeight="1" s="11">
      <c r="A555" s="13" t="n">
        <v>554</v>
      </c>
      <c r="B555" s="13" t="n">
        <v>35</v>
      </c>
      <c r="C555" s="14">
        <f>INDEX('부작 목록'!$C$2:$C$96,B555)</f>
        <v/>
      </c>
      <c r="D555" s="14" t="inlineStr">
        <is>
          <t>E 빅토르 안전가옥 세션</t>
        </is>
      </c>
      <c r="E555" s="13" t="n">
        <v>18643</v>
      </c>
      <c r="F555" s="13" t="n">
        <v>10</v>
      </c>
      <c r="G555" s="15" t="inlineStr">
        <is>
          <t>알바로가 이 작전 방식이 다시 쓰일 가능성에 대해 질문합니다.</t>
        </is>
      </c>
    </row>
    <row r="556" ht="15" customHeight="1" s="11">
      <c r="A556" s="13" t="n">
        <v>555</v>
      </c>
      <c r="B556" s="13" t="n">
        <v>35</v>
      </c>
      <c r="C556" s="14">
        <f>INDEX('부작 목록'!$C$2:$C$96,B556)</f>
        <v/>
      </c>
      <c r="D556" s="14" t="inlineStr">
        <is>
          <t>E 빅토르 안전가옥 세션</t>
        </is>
      </c>
      <c r="E556" s="13" t="n">
        <v>18655</v>
      </c>
      <c r="F556" s="13" t="n">
        <v>10</v>
      </c>
      <c r="G556" s="15" t="inlineStr">
        <is>
          <t>카를로스가 산타클로스 작전에 대한 향후 법적·외교적 대응 방향을 빅토르와 논의합니다.</t>
        </is>
      </c>
    </row>
    <row r="557" ht="28.35" customHeight="1" s="11">
      <c r="A557" s="13" t="n">
        <v>556</v>
      </c>
      <c r="B557" s="13" t="n">
        <v>35</v>
      </c>
      <c r="C557" s="14">
        <f>INDEX('부작 목록'!$C$2:$C$96,B557)</f>
        <v/>
      </c>
      <c r="D557" s="14" t="inlineStr">
        <is>
          <t>E 빅토르 안전가옥 세션</t>
        </is>
      </c>
      <c r="E557" s="13" t="n">
        <v>18668</v>
      </c>
      <c r="F557" s="13" t="n">
        <v>11</v>
      </c>
      <c r="G557" s="15" t="inlineStr">
        <is>
          <t>카를로스가 산타클로스 작전에 대한 검증을 공식적으로 마무리하며 핵심 결론을 정리합니다.</t>
        </is>
      </c>
    </row>
    <row r="558" ht="15" customHeight="1" s="11">
      <c r="A558" s="13" t="n">
        <v>557</v>
      </c>
      <c r="B558" s="13" t="n">
        <v>35</v>
      </c>
      <c r="C558" s="14">
        <f>INDEX('부작 목록'!$C$2:$C$96,B558)</f>
        <v/>
      </c>
      <c r="D558" s="14" t="inlineStr">
        <is>
          <t>E 빅토르 안전가옥 세션</t>
        </is>
      </c>
      <c r="E558" s="13" t="n">
        <v>18682</v>
      </c>
      <c r="F558" s="13" t="n">
        <v>8</v>
      </c>
      <c r="G558" s="15" t="inlineStr">
        <is>
          <t>알바로가 산타클로스 작전과 로셀요가 처음 설계했다는 자금 구조 사이의 관계를 궁금해합니다.</t>
        </is>
      </c>
    </row>
    <row r="559" ht="15" customHeight="1" s="11">
      <c r="A559" s="13" t="n">
        <v>558</v>
      </c>
      <c r="B559" s="13" t="n">
        <v>35</v>
      </c>
      <c r="C559" s="14">
        <f>INDEX('부작 목록'!$C$2:$C$96,B559)</f>
        <v/>
      </c>
      <c r="D559" s="14" t="inlineStr">
        <is>
          <t>E 빅토르 안전가옥 세션</t>
        </is>
      </c>
      <c r="E559" s="13" t="n">
        <v>18692</v>
      </c>
      <c r="F559" s="13" t="n">
        <v>11</v>
      </c>
      <c r="G559" s="15" t="inlineStr">
        <is>
          <t>카를로스가 이 정보를 자신의 상급자에게 어떻게 보고할지 고민을 털어놓습니다.</t>
        </is>
      </c>
    </row>
    <row r="560" ht="28.35" customHeight="1" s="11">
      <c r="A560" s="13" t="n">
        <v>559</v>
      </c>
      <c r="B560" s="13" t="n">
        <v>35</v>
      </c>
      <c r="C560" s="14">
        <f>INDEX('부작 목록'!$C$2:$C$96,B560)</f>
        <v/>
      </c>
      <c r="D560" s="14" t="inlineStr">
        <is>
          <t>E 빅토르 안전가옥 세션</t>
        </is>
      </c>
      <c r="E560" s="13" t="n">
        <v>18706</v>
      </c>
      <c r="F560" s="13" t="n">
        <v>8</v>
      </c>
      <c r="G560" s="15" t="inlineStr">
        <is>
          <t>짧은 휴식을 취하며, 알바로가 산타클로스 작전에 대해 마지막으로 남은 궁금증을 묻습니다.</t>
        </is>
      </c>
    </row>
    <row r="561" ht="15" customHeight="1" s="11">
      <c r="A561" s="13" t="n">
        <v>560</v>
      </c>
      <c r="B561" s="13" t="n">
        <v>35</v>
      </c>
      <c r="C561" s="14">
        <f>INDEX('부작 목록'!$C$2:$C$96,B561)</f>
        <v/>
      </c>
      <c r="D561" s="14" t="inlineStr">
        <is>
          <t>E 빅토르 안전가옥 세션</t>
        </is>
      </c>
      <c r="E561" s="13" t="n">
        <v>18716</v>
      </c>
      <c r="F561" s="13" t="n">
        <v>12</v>
      </c>
      <c r="G561" s="15" t="inlineStr">
        <is>
          <t>카를로스가 지금까지 받은 문서 전체의 일관성을 재검토하며, 빅토르에게 더 날카로운 질문을</t>
        </is>
      </c>
    </row>
    <row r="562" ht="15" customHeight="1" s="11">
      <c r="A562" s="13" t="n">
        <v>561</v>
      </c>
      <c r="B562" s="13" t="n">
        <v>35</v>
      </c>
      <c r="C562" s="14">
        <f>INDEX('부작 목록'!$C$2:$C$96,B562)</f>
        <v/>
      </c>
      <c r="D562" s="14" t="inlineStr">
        <is>
          <t>E 빅토르 안전가옥 세션</t>
        </is>
      </c>
      <c r="E562" s="13" t="n">
        <v>18731</v>
      </c>
      <c r="F562" s="13" t="n">
        <v>15</v>
      </c>
      <c r="G562" s="15" t="inlineStr">
        <is>
          <t>알바로가 빅토르의 안전에 대해 묻고, 카를로스가 보호 조치 수준을 설명합니다.</t>
        </is>
      </c>
    </row>
    <row r="563" ht="15" customHeight="1" s="11">
      <c r="A563" s="13" t="n">
        <v>562</v>
      </c>
      <c r="B563" s="13" t="n">
        <v>35</v>
      </c>
      <c r="C563" s="14">
        <f>INDEX('부작 목록'!$C$2:$C$96,B563)</f>
        <v/>
      </c>
      <c r="D563" s="14" t="inlineStr">
        <is>
          <t>E 빅토르 안전가옥 세션</t>
        </is>
      </c>
      <c r="E563" s="13" t="n">
        <v>18749</v>
      </c>
      <c r="F563" s="13" t="n">
        <v>13</v>
      </c>
      <c r="G563" s="15" t="inlineStr">
        <is>
          <t>세션을 마무리하며, 빅토르가 다음에 다룰 내용에 대한 예고와 함께, 시간이 촉박한 진행 중인 작전이 있음을 암시합니다.</t>
        </is>
      </c>
    </row>
    <row r="564" ht="15" customHeight="1" s="11">
      <c r="A564" s="13" t="n">
        <v>563</v>
      </c>
      <c r="B564" s="13" t="n">
        <v>35</v>
      </c>
      <c r="C564" s="14">
        <f>INDEX('부작 목록'!$C$2:$C$96,B564)</f>
        <v/>
      </c>
      <c r="D564" s="14" t="inlineStr">
        <is>
          <t>E 빅토르 안전가옥 세션</t>
        </is>
      </c>
      <c r="E564" s="13" t="n">
        <v>18765</v>
      </c>
      <c r="F564" s="13" t="n">
        <v>14</v>
      </c>
      <c r="G564" s="15" t="inlineStr">
        <is>
          <t>세션 사이 짧은 휴식 시간, 알바로가 이 모든 정보가 결국 기밀로 묶일 수밖에 없다는 현실에 대해 카를로스, 빅토르와 이야기합니다.</t>
        </is>
      </c>
    </row>
    <row r="565" ht="15" customHeight="1" s="11">
      <c r="A565" s="13" t="n">
        <v>564</v>
      </c>
      <c r="B565" s="13" t="n">
        <v>35</v>
      </c>
      <c r="C565" s="14">
        <f>INDEX('부작 목록'!$C$2:$C$96,B565)</f>
        <v/>
      </c>
      <c r="D565" s="14" t="inlineStr">
        <is>
          <t>E 빅토르 안전가옥 세션</t>
        </is>
      </c>
      <c r="E565" s="13" t="n">
        <v>18782</v>
      </c>
      <c r="F565" s="13" t="n">
        <v>12</v>
      </c>
      <c r="G565" s="15" t="inlineStr">
        <is>
          <t>카를로스가 산타클로스 작전의 결제 구조를 노드링크·엘 아르키텍토 관련 기존 자료와 교차 검 증합니다.</t>
        </is>
      </c>
    </row>
    <row r="566" ht="15" customHeight="1" s="11">
      <c r="A566" s="13" t="n">
        <v>565</v>
      </c>
      <c r="B566" s="13" t="n">
        <v>35</v>
      </c>
      <c r="C566" s="14">
        <f>INDEX('부작 목록'!$C$2:$C$96,B566)</f>
        <v/>
      </c>
      <c r="D566" s="14" t="inlineStr">
        <is>
          <t>E 빅토르 안전가옥 세션</t>
        </is>
      </c>
      <c r="E566" s="13" t="n">
        <v>18797</v>
      </c>
      <c r="F566" s="13" t="n">
        <v>13</v>
      </c>
      <c r="G566" s="15" t="inlineStr">
        <is>
          <t>세 사람이 앞으로의 여정에 대한 각오를 다지며 첫날 세션을 마무리합니다.</t>
        </is>
      </c>
    </row>
    <row r="567" ht="15" customHeight="1" s="11">
      <c r="A567" s="13" t="n">
        <v>566</v>
      </c>
      <c r="B567" s="13" t="n">
        <v>35</v>
      </c>
      <c r="C567" s="14">
        <f>INDEX('부작 목록'!$C$2:$C$96,B567)</f>
        <v/>
      </c>
      <c r="D567" s="14" t="inlineStr">
        <is>
          <t>E 빅토르 안전가옥 세션</t>
        </is>
      </c>
      <c r="E567" s="13" t="n">
        <v>18812</v>
      </c>
      <c r="F567" s="13" t="n">
        <v>12</v>
      </c>
      <c r="G567" s="15" t="inlineStr">
        <is>
          <t>떠나기 직전, 카를로스가 산타클로스 작전에 대한 즉각적 대응 조치를 빅토르와 논의합니다.</t>
        </is>
      </c>
    </row>
    <row r="568" ht="15" customHeight="1" s="11">
      <c r="A568" s="13" t="n">
        <v>567</v>
      </c>
      <c r="B568" s="13" t="n">
        <v>35</v>
      </c>
      <c r="C568" s="14">
        <f>INDEX('부작 목록'!$C$2:$C$96,B568)</f>
        <v/>
      </c>
      <c r="D568" s="14" t="inlineStr">
        <is>
          <t>E 빅토르 안전가옥 세션</t>
        </is>
      </c>
      <c r="E568" s="13" t="n">
        <v>18826</v>
      </c>
      <c r="F568" s="13" t="n">
        <v>9</v>
      </c>
      <c r="G568" s="15" t="inlineStr">
        <is>
          <t>세 사람이 자리에서 일어서기 전, 짧은 개인적 대화로 세션을 완전히 마무리합니다.</t>
        </is>
      </c>
    </row>
    <row r="569" ht="15" customHeight="1" s="11">
      <c r="A569" s="13" t="n">
        <v>568</v>
      </c>
      <c r="B569" s="13" t="n">
        <v>35</v>
      </c>
      <c r="C569" s="14">
        <f>INDEX('부작 목록'!$C$2:$C$96,B569)</f>
        <v/>
      </c>
      <c r="D569" s="14" t="inlineStr">
        <is>
          <t>E 빅토르 안전가옥 세션</t>
        </is>
      </c>
      <c r="E569" s="13" t="n">
        <v>18838</v>
      </c>
      <c r="F569" s="13" t="n">
        <v>8</v>
      </c>
      <c r="G569" s="15" t="inlineStr">
        <is>
          <t>빅토르가 방을 나서기 직전, 알바로가 마지막으로 개인적인 질문을 던집니다.</t>
        </is>
      </c>
    </row>
    <row r="570" ht="15" customHeight="1" s="11">
      <c r="A570" s="13" t="n">
        <v>569</v>
      </c>
      <c r="B570" s="13" t="n">
        <v>35</v>
      </c>
      <c r="C570" s="14">
        <f>INDEX('부작 목록'!$C$2:$C$96,B570)</f>
        <v/>
      </c>
      <c r="D570" s="14" t="inlineStr">
        <is>
          <t>E 빅토르 안전가옥 세션</t>
        </is>
      </c>
      <c r="E570" s="13" t="n">
        <v>18848</v>
      </c>
      <c r="F570" s="13" t="n">
        <v>7</v>
      </c>
      <c r="G570" s="15" t="inlineStr">
        <is>
          <t>빅토르가 방을 나선 뒤, 알바로와 카를로스 두 사람만 잠시 남아 짧게 대화합니다.</t>
        </is>
      </c>
    </row>
    <row r="571" ht="15" customHeight="1" s="11">
      <c r="A571" s="13" t="n">
        <v>570</v>
      </c>
      <c r="B571" s="13" t="n">
        <v>36</v>
      </c>
      <c r="C571" s="14">
        <f>INDEX('부작 목록'!$C$2:$C$96,B571)</f>
        <v/>
      </c>
      <c r="D571" s="14" t="inlineStr">
        <is>
          <t>E 빅토르 안전가옥 세션</t>
        </is>
      </c>
      <c r="E571" s="13" t="n">
        <v>18857</v>
      </c>
      <c r="F571" s="13" t="n">
        <v>12</v>
      </c>
      <c r="G571" s="15" t="inlineStr">
        <is>
          <t>다음 날, 같은 안전가옥. 세 사람의 세션이 재개됩니다. 카를로스가 다음 작전을 요청하자, 빅토 르가 씁쓸한 유머와 함께 '아담과 이브 작전'을 소개합니다.</t>
        </is>
      </c>
    </row>
    <row r="572" ht="15" customHeight="1" s="11">
      <c r="A572" s="13" t="n">
        <v>571</v>
      </c>
      <c r="B572" s="13" t="n">
        <v>36</v>
      </c>
      <c r="C572" s="14">
        <f>INDEX('부작 목록'!$C$2:$C$96,B572)</f>
        <v/>
      </c>
      <c r="D572" s="14" t="inlineStr">
        <is>
          <t>E 빅토르 안전가옥 세션</t>
        </is>
      </c>
      <c r="E572" s="13" t="n">
        <v>18871</v>
      </c>
      <c r="F572" s="13" t="n">
        <v>10</v>
      </c>
      <c r="G572" s="15" t="inlineStr">
        <is>
          <t>카를로스가 위장 신원이 어떻게 구축되는지 질문하고, 빅토르가 관료주의적 절차에 대한 냉소를 섞어 설명합니다.</t>
        </is>
      </c>
    </row>
    <row r="573" ht="15" customHeight="1" s="11">
      <c r="A573" s="13" t="n">
        <v>572</v>
      </c>
      <c r="B573" s="13" t="n">
        <v>36</v>
      </c>
      <c r="C573" s="14">
        <f>INDEX('부작 목록'!$C$2:$C$96,B573)</f>
        <v/>
      </c>
      <c r="D573" s="14" t="inlineStr">
        <is>
          <t>E 빅토르 안전가옥 세션</t>
        </is>
      </c>
      <c r="E573" s="13" t="n">
        <v>18884</v>
      </c>
      <c r="F573" s="13" t="n">
        <v>11</v>
      </c>
      <c r="G573" s="15" t="inlineStr">
        <is>
          <t>알바로가 훈련 과정의 구체적 내용을 캐묻고, 빅토르가 씁쓸한 유머와 함께 설명합니다.</t>
        </is>
      </c>
    </row>
    <row r="574" ht="15" customHeight="1" s="11">
      <c r="A574" s="13" t="n">
        <v>573</v>
      </c>
      <c r="B574" s="13" t="n">
        <v>36</v>
      </c>
      <c r="C574" s="14">
        <f>INDEX('부작 목록'!$C$2:$C$96,B574)</f>
        <v/>
      </c>
      <c r="D574" s="14" t="inlineStr">
        <is>
          <t>E 빅토르 안전가옥 세션</t>
        </is>
      </c>
      <c r="E574" s="13" t="n">
        <v>18898</v>
      </c>
      <c r="F574" s="13" t="n">
        <v>10</v>
      </c>
      <c r="G574" s="15" t="inlineStr">
        <is>
          <t>카를로스가 실제 스페인 삽입 과정에 대해 질문합니다.</t>
        </is>
      </c>
    </row>
    <row r="575" ht="15" customHeight="1" s="11">
      <c r="A575" s="13" t="n">
        <v>574</v>
      </c>
      <c r="B575" s="13" t="n">
        <v>36</v>
      </c>
      <c r="C575" s="14">
        <f>INDEX('부작 목록'!$C$2:$C$96,B575)</f>
        <v/>
      </c>
      <c r="D575" s="14" t="inlineStr">
        <is>
          <t>E 빅토르 안전가옥 세션</t>
        </is>
      </c>
      <c r="E575" s="13" t="n">
        <v>18910</v>
      </c>
      <c r="F575" s="13" t="n">
        <v>11</v>
      </c>
      <c r="G575" s="15" t="inlineStr">
        <is>
          <t>알바로가 균열이 시작된 지점에 대해 묻습니다. 빅토르가 이번엔 유머 없이 진지하게 답합니다.</t>
        </is>
      </c>
    </row>
    <row r="576" ht="15" customHeight="1" s="11">
      <c r="A576" s="13" t="n">
        <v>575</v>
      </c>
      <c r="B576" s="13" t="n">
        <v>36</v>
      </c>
      <c r="C576" s="14">
        <f>INDEX('부작 목록'!$C$2:$C$96,B576)</f>
        <v/>
      </c>
      <c r="D576" s="14" t="inlineStr">
        <is>
          <t>E 빅토르 안전가옥 세션</t>
        </is>
      </c>
      <c r="E576" s="13" t="n">
        <v>18924</v>
      </c>
      <c r="F576" s="13" t="n">
        <v>10</v>
      </c>
      <c r="G576" s="15" t="inlineStr">
        <is>
          <t>카를로스가 그녀의 이탈 방식에 대해 자세히 묻습니다.</t>
        </is>
      </c>
    </row>
    <row r="577" ht="15" customHeight="1" s="11">
      <c r="A577" s="13" t="n">
        <v>576</v>
      </c>
      <c r="B577" s="13" t="n">
        <v>36</v>
      </c>
      <c r="C577" s="14">
        <f>INDEX('부작 목록'!$C$2:$C$96,B577)</f>
        <v/>
      </c>
      <c r="D577" s="14" t="inlineStr">
        <is>
          <t>E 빅토르 안전가옥 세션</t>
        </is>
      </c>
      <c r="E577" s="13" t="n">
        <v>18937</v>
      </c>
      <c r="F577" s="13" t="n">
        <v>8</v>
      </c>
      <c r="G577" s="15" t="inlineStr">
        <is>
          <t>알바로가 '남편' 요원의 반응에 대해 질문합니다.</t>
        </is>
      </c>
    </row>
    <row r="578" ht="15" customHeight="1" s="11">
      <c r="A578" s="13" t="n">
        <v>577</v>
      </c>
      <c r="B578" s="13" t="n">
        <v>36</v>
      </c>
      <c r="C578" s="14">
        <f>INDEX('부작 목록'!$C$2:$C$96,B578)</f>
        <v/>
      </c>
      <c r="D578" s="14" t="inlineStr">
        <is>
          <t>E 빅토르 안전가옥 세션</t>
        </is>
      </c>
      <c r="E578" s="13" t="n">
        <v>18947</v>
      </c>
      <c r="F578" s="13" t="n">
        <v>11</v>
      </c>
      <c r="G578" s="15" t="inlineStr">
        <is>
          <t>카를로스가 그녀의 현재 상황에 대해 구체적으로 묻습니다.</t>
        </is>
      </c>
    </row>
    <row r="579" ht="28.35" customHeight="1" s="11">
      <c r="A579" s="13" t="n">
        <v>578</v>
      </c>
      <c r="B579" s="13" t="n">
        <v>36</v>
      </c>
      <c r="C579" s="14">
        <f>INDEX('부작 목록'!$C$2:$C$96,B579)</f>
        <v/>
      </c>
      <c r="D579" s="14" t="inlineStr">
        <is>
          <t>E 빅토르 안전가옥 세션</t>
        </is>
      </c>
      <c r="E579" s="13" t="n">
        <v>18961</v>
      </c>
      <c r="F579" s="13" t="n">
        <v>11</v>
      </c>
      <c r="G579" s="15" t="inlineStr">
        <is>
          <t>알바로가 어떻게 접근할지 물으며, 세 사람이 신중한 전략을 논의합니다.</t>
        </is>
      </c>
    </row>
    <row r="580" ht="28.35" customHeight="1" s="11">
      <c r="A580" s="13" t="n">
        <v>579</v>
      </c>
      <c r="B580" s="13" t="n">
        <v>36</v>
      </c>
      <c r="C580" s="14">
        <f>INDEX('부작 목록'!$C$2:$C$96,B580)</f>
        <v/>
      </c>
      <c r="D580" s="14" t="inlineStr">
        <is>
          <t>E 빅토르 안전가옥 세션</t>
        </is>
      </c>
      <c r="E580" s="13" t="n">
        <v>18975</v>
      </c>
      <c r="F580" s="13" t="n">
        <v>9</v>
      </c>
      <c r="G580" s="15" t="inlineStr">
        <is>
          <t>카를로스가 그녀의 법적 지위에 대한 실무적 고민을 나눕니다.</t>
        </is>
      </c>
    </row>
    <row r="581" ht="15" customHeight="1" s="11">
      <c r="A581" s="13" t="n">
        <v>580</v>
      </c>
      <c r="B581" s="13" t="n">
        <v>36</v>
      </c>
      <c r="C581" s="14">
        <f>INDEX('부작 목록'!$C$2:$C$96,B581)</f>
        <v/>
      </c>
      <c r="D581" s="14" t="inlineStr">
        <is>
          <t>E 빅토르 안전가옥 세션</t>
        </is>
      </c>
      <c r="E581" s="13" t="n">
        <v>18986</v>
      </c>
      <c r="F581" s="13" t="n">
        <v>11</v>
      </c>
      <c r="G581" s="15" t="inlineStr">
        <is>
          <t>세션을 마무리하며, 알바로가 마지막으로 농담 섞인 질문을 던지고 빅토르가 응수합니다.</t>
        </is>
      </c>
    </row>
    <row r="582" ht="15" customHeight="1" s="11">
      <c r="A582" s="13" t="n">
        <v>581</v>
      </c>
      <c r="B582" s="13" t="n">
        <v>37</v>
      </c>
      <c r="C582" s="14">
        <f>INDEX('부작 목록'!$C$2:$C$96,B582)</f>
        <v/>
      </c>
      <c r="D582" s="14" t="inlineStr">
        <is>
          <t>E 빅토르 안전가옥 세션</t>
        </is>
      </c>
      <c r="E582" s="13" t="n">
        <v>19000</v>
      </c>
      <c r="F582" s="13" t="n">
        <v>51</v>
      </c>
      <c r="G582" s="15" t="inlineStr">
        <is>
          <t>다음 날, 안전가옥. 빅토르가 약속대로 진지한 톤으로 알시온 작전, 즉 로셀요의 기원 이야기를 시작합니다. 식은 자판기 커피와 녹음기 앞에서, 그는 삼십여 년 전 '건설자 프로그램'과 마드리드의 평범한 사무소에서 일하던 젊은 로셀요부터 풀어놓습니다.</t>
        </is>
      </c>
    </row>
    <row r="583" ht="15" customHeight="1" s="11">
      <c r="A583" s="13" t="n">
        <v>582</v>
      </c>
      <c r="B583" s="13" t="n">
        <v>37</v>
      </c>
      <c r="C583" s="14">
        <f>INDEX('부작 목록'!$C$2:$C$96,B583)</f>
        <v/>
      </c>
      <c r="D583" s="14" t="inlineStr">
        <is>
          <t>E 빅토르 안전가옥 세션</t>
        </is>
      </c>
      <c r="E583" s="13" t="n">
        <v>19053</v>
      </c>
      <c r="F583" s="13" t="n">
        <v>50</v>
      </c>
      <c r="G583" s="15" t="inlineStr">
        <is>
          <t>알바로가 로셀요가 어떻게 실제로 포섭됐는지 질문합니다. 빅토르는 높은 보수의 외부 컨설팅에서 시작해, 진실을 알게 된 뒤에도 흔들리지 않았던 젊은 로셀요의 반응까지 차례로 설명합니다.</t>
        </is>
      </c>
    </row>
    <row r="584" ht="15" customHeight="1" s="11">
      <c r="A584" s="13" t="n">
        <v>583</v>
      </c>
      <c r="B584" s="13" t="n">
        <v>37</v>
      </c>
      <c r="C584" s="14">
        <f>INDEX('부작 목록'!$C$2:$C$96,B584)</f>
        <v/>
      </c>
      <c r="D584" s="14" t="inlineStr">
        <is>
          <t>E 빅토르 안전가옥 세션</t>
        </is>
      </c>
      <c r="E584" s="13" t="n">
        <v>19105</v>
      </c>
      <c r="F584" s="13" t="n">
        <v>50</v>
      </c>
      <c r="G584" s="15" t="inlineStr">
        <is>
          <t>카를로스가 다른 6명의 후보자들에게 무슨 일이 있었는지 묻습니다. 빅토르는 탈락자와 평범한 기술자로 남은 이들, 그리고 가족이라는 약점 때문에 가장 충실한 자산이 된 일곱 번째 후보까지 각자의 운명을 들려줍니다.</t>
        </is>
      </c>
    </row>
    <row r="585" ht="15" customHeight="1" s="11">
      <c r="A585" s="13" t="n">
        <v>584</v>
      </c>
      <c r="B585" s="13" t="n">
        <v>37</v>
      </c>
      <c r="C585" s="14">
        <f>INDEX('부작 목록'!$C$2:$C$96,B585)</f>
        <v/>
      </c>
      <c r="D585" s="14" t="inlineStr">
        <is>
          <t>E 빅토르 안전가옥 세션</t>
        </is>
      </c>
      <c r="E585" s="13" t="n">
        <v>19157</v>
      </c>
      <c r="F585" s="13" t="n">
        <v>50</v>
      </c>
      <c r="G585" s="15" t="inlineStr">
        <is>
          <t>카를로스가 '알시온 작전' 자체의 기술적 내용을 질문합니다. 화이트보드 위에 세 겹의 구조가 그려지고, 알바로는 지금까지 추적해온 사건들이 모두 같은 설계도의 변주였음을 깨닫습니다.</t>
        </is>
      </c>
    </row>
    <row r="586" ht="15" customHeight="1" s="11">
      <c r="A586" s="13" t="n">
        <v>585</v>
      </c>
      <c r="B586" s="13" t="n">
        <v>37</v>
      </c>
      <c r="C586" s="14">
        <f>INDEX('부작 목록'!$C$2:$C$96,B586)</f>
        <v/>
      </c>
      <c r="D586" s="14" t="inlineStr">
        <is>
          <t>E 빅토르 안전가옥 세션</t>
        </is>
      </c>
      <c r="E586" s="13" t="n">
        <v>19209</v>
      </c>
      <c r="F586" s="13" t="n">
        <v>48</v>
      </c>
      <c r="G586" s="15" t="inlineStr">
        <is>
          <t>알바로가 '알시온'이라는 이름의 유래와 조직의 반응을 질문합니다. 그리스 신화에서 따온 이름에 담긴 로셀요의 아이러니와, 첫 성공 이후 그를 너무 빨리 키워버린 조직의 판단이 이야기됩니다.</t>
        </is>
      </c>
    </row>
    <row r="587" ht="28.35" customHeight="1" s="11">
      <c r="A587" s="13" t="n">
        <v>586</v>
      </c>
      <c r="B587" s="13" t="n">
        <v>37</v>
      </c>
      <c r="C587" s="14">
        <f>INDEX('부작 목록'!$C$2:$C$96,B587)</f>
        <v/>
      </c>
      <c r="D587" s="14" t="inlineStr">
        <is>
          <t>E 빅토르 안전가옥 세션</t>
        </is>
      </c>
      <c r="E587" s="13" t="n">
        <v>19259</v>
      </c>
      <c r="F587" s="13" t="n">
        <v>50</v>
      </c>
      <c r="G587" s="15" t="inlineStr">
        <is>
          <t>카를로스가 로셀요가 언제부터 조직의 통제를 벗어나기 시작했는지 캐묻습니다. 빅토르는 '개인 고객'에서 시작된 점진적 이탈과, 약 8년 전 명령을 정면으로 거부한 결정적 사건을 설명합니다.</t>
        </is>
      </c>
    </row>
    <row r="588" ht="15" customHeight="1" s="11">
      <c r="A588" s="13" t="n">
        <v>587</v>
      </c>
      <c r="B588" s="13" t="n">
        <v>37</v>
      </c>
      <c r="C588" s="14">
        <f>INDEX('부작 목록'!$C$2:$C$96,B588)</f>
        <v/>
      </c>
      <c r="D588" s="14" t="inlineStr">
        <is>
          <t>E 빅토르 안전가옥 세션</t>
        </is>
      </c>
      <c r="E588" s="13" t="n">
        <v>19311</v>
      </c>
      <c r="F588" s="13" t="n">
        <v>50</v>
      </c>
      <c r="G588" s="15" t="inlineStr">
        <is>
          <t>알바로가 정보기관이 현재 로셀요를 어떻게 보는지 질문합니다. '아무도 서명하지 못한 이혼'이라는 빅토르의 표현을 두고, 세 사람은 서로를 끊어낼 수 없는 기묘한 공존 관계를 짚어봅니다.</t>
        </is>
      </c>
    </row>
    <row r="589" ht="15" customHeight="1" s="11">
      <c r="A589" s="13" t="n">
        <v>588</v>
      </c>
      <c r="B589" s="13" t="n">
        <v>37</v>
      </c>
      <c r="C589" s="14">
        <f>INDEX('부작 목록'!$C$2:$C$96,B589)</f>
        <v/>
      </c>
      <c r="D589" s="14" t="inlineStr">
        <is>
          <t>E 빅토르 안전가옥 세션</t>
        </is>
      </c>
      <c r="E589" s="13" t="n">
        <v>19363</v>
      </c>
      <c r="F589" s="13" t="n">
        <v>50</v>
      </c>
      <c r="G589" s="15" t="inlineStr">
        <is>
          <t>알바로가 로셀요와 직접 만찬을 가졌던 경험을 언급하며, 빅토르가 그 의미를 해석해줍니다. 빅토르는 로셀요가 식탁에서 들려준 '자기 기원'의 버전과 알바로에게 내민 제안이, 삼십 년 전 그 자신이 포섭된 방식과 놀랍도록 닮아 있음을 지적합니다.</t>
        </is>
      </c>
    </row>
    <row r="590" ht="15" customHeight="1" s="11">
      <c r="A590" s="13" t="n">
        <v>589</v>
      </c>
      <c r="B590" s="13" t="n">
        <v>37</v>
      </c>
      <c r="C590" s="14">
        <f>INDEX('부작 목록'!$C$2:$C$96,B590)</f>
        <v/>
      </c>
      <c r="D590" s="14" t="inlineStr">
        <is>
          <t>E 빅토르 안전가옥 세션</t>
        </is>
      </c>
      <c r="E590" s="13" t="n">
        <v>19415</v>
      </c>
      <c r="F590" s="13" t="n">
        <v>50</v>
      </c>
      <c r="G590" s="15" t="inlineStr">
        <is>
          <t>카를로스가 이 정보를 어떻게 전략적으로 활용할지 고민합니다. 로셀요와 옛 조직 사이의 균열을 이용하자는 빅토르의 제안 앞에서, 카를로스는 법의 테두리를, 알바로는 기자로서의 원칙을 하나씩 따져봅니다.</t>
        </is>
      </c>
    </row>
    <row r="591" ht="15" customHeight="1" s="11">
      <c r="A591" s="13" t="n">
        <v>590</v>
      </c>
      <c r="B591" s="13" t="n">
        <v>37</v>
      </c>
      <c r="C591" s="14">
        <f>INDEX('부작 목록'!$C$2:$C$96,B591)</f>
        <v/>
      </c>
      <c r="D591" s="14" t="inlineStr">
        <is>
          <t>E 빅토르 안전가옥 세션</t>
        </is>
      </c>
      <c r="E591" s="13" t="n">
        <v>19467</v>
      </c>
      <c r="F591" s="13" t="n">
        <v>49</v>
      </c>
      <c r="G591" s="15" t="inlineStr">
        <is>
          <t>알바로가 로셀요를 인간적으로 어떻게 봐야 할지 성찰하며, 빅토르가 답합니다. 짧은 휴식 시간, 알바로는 로셀요가 만찬에서 들려준 '자기 버전의 기원'을 꺼내고, 빅토르는 그 이야기에서 빠진 부분을 짚어냅니다.</t>
        </is>
      </c>
    </row>
    <row r="592" ht="15" customHeight="1" s="11">
      <c r="A592" s="13" t="n">
        <v>591</v>
      </c>
      <c r="B592" s="13" t="n">
        <v>37</v>
      </c>
      <c r="C592" s="14">
        <f>INDEX('부작 목록'!$C$2:$C$96,B592)</f>
        <v/>
      </c>
      <c r="D592" s="14" t="inlineStr">
        <is>
          <t>E 빅토르 안전가옥 세션</t>
        </is>
      </c>
      <c r="E592" s="13" t="n">
        <v>19518</v>
      </c>
      <c r="F592" s="13" t="n">
        <v>47</v>
      </c>
      <c r="G592" s="15" t="inlineStr">
        <is>
          <t>세션을 마무리하며, 빅토르가 다음에 다룰 내용을 예고합니다. 창밖은 이미 어두워졌고, 카를로스는 다음 날 일정과 보안 절차를 정리하며, 알바로는 '크리스탈'에 대한 힌트를 하나라도 얻어내려 애씁니다.</t>
        </is>
      </c>
    </row>
    <row r="593" ht="15" customHeight="1" s="11">
      <c r="A593" s="13" t="n">
        <v>592</v>
      </c>
      <c r="B593" s="13" t="n">
        <v>37</v>
      </c>
      <c r="C593" s="14">
        <f>INDEX('부작 목록'!$C$2:$C$96,B593)</f>
        <v/>
      </c>
      <c r="D593" s="14" t="inlineStr">
        <is>
          <t>E 빅토르 안전가옥 세션</t>
        </is>
      </c>
      <c r="E593" s="13" t="n">
        <v>19567</v>
      </c>
      <c r="F593" s="13" t="n">
        <v>46</v>
      </c>
      <c r="G593" s="15" t="inlineStr">
        <is>
          <t>빅토르가 알시온 작전 관련 초기 문서를 제공하며, 카를로스가 그 가치를 확인합니다. 누렇게 바랜 복사본과 손으로 그린 구조도, 표지 구석의 작은 물총새 그림을 함께 들여다보며, 세 사람은 문서의 출처와 진위 검증 방법을 논의합니다.</t>
        </is>
      </c>
    </row>
    <row r="594" ht="15" customHeight="1" s="11">
      <c r="A594" s="13" t="n">
        <v>593</v>
      </c>
      <c r="B594" s="13" t="n">
        <v>37</v>
      </c>
      <c r="C594" s="14">
        <f>INDEX('부작 목록'!$C$2:$C$96,B594)</f>
        <v/>
      </c>
      <c r="D594" s="14" t="inlineStr">
        <is>
          <t>E 빅토르 안전가옥 세션</t>
        </is>
      </c>
      <c r="E594" s="13" t="n">
        <v>19615</v>
      </c>
      <c r="F594" s="13" t="n">
        <v>45</v>
      </c>
      <c r="G594" s="15" t="inlineStr">
        <is>
          <t>방을 나서기 전, 알바로가 마지막으로 조용히 생각을 정리합니다. 빅토르가 짐을 챙기는 사이, 창가에 선 알바로는 카를로스에게 젊은 시절의 자신과 로셀요 사이의 불편한 닮은 점을 털어놓습니다.</t>
        </is>
      </c>
    </row>
    <row r="595" ht="15" customHeight="1" s="11">
      <c r="A595" s="13" t="n">
        <v>594</v>
      </c>
      <c r="B595" s="13" t="n">
        <v>37</v>
      </c>
      <c r="C595" s="14">
        <f>INDEX('부작 목록'!$C$2:$C$96,B595)</f>
        <v/>
      </c>
      <c r="D595" s="14" t="inlineStr">
        <is>
          <t>E 빅토르 안전가옥 세션</t>
        </is>
      </c>
      <c r="E595" s="13" t="n">
        <v>19662</v>
      </c>
      <c r="F595" s="13" t="n">
        <v>46</v>
      </c>
      <c r="G595" s="15" t="inlineStr">
        <is>
          <t>빅토르가 떠나기 전, 카를로스가 마지막으로 실무적인 확인 질문을 던집니다. 카를로스는 일곱 번째 후보에 대한 단서를 조금이라도 더 모으려 하고, 빅토르는 아는 것과 모르는 것을 신중하게 구분해 답합니다.</t>
        </is>
      </c>
    </row>
    <row r="596" ht="15" customHeight="1" s="11">
      <c r="A596" s="13" t="n">
        <v>595</v>
      </c>
      <c r="B596" s="13" t="n">
        <v>37</v>
      </c>
      <c r="C596" s="14">
        <f>INDEX('부작 목록'!$C$2:$C$96,B596)</f>
        <v/>
      </c>
      <c r="D596" s="14" t="inlineStr">
        <is>
          <t>E 빅토르 안전가옥 세션</t>
        </is>
      </c>
      <c r="E596" s="13" t="n">
        <v>19710</v>
      </c>
      <c r="F596" s="13" t="n">
        <v>46</v>
      </c>
      <c r="G596" s="15" t="inlineStr">
        <is>
          <t>빅토르가 문 앞에서 마지막으로 짧게 인사합니다. 밖에는 비가 내리고, 경호 요원이 차량 상황을 확인하는 동안 세 사람은 우산과 독서 습관에 대한 가벼운 대화를 나눕니다.</t>
        </is>
      </c>
    </row>
    <row r="597" ht="15" customHeight="1" s="11">
      <c r="A597" s="13" t="n">
        <v>596</v>
      </c>
      <c r="B597" s="13" t="n">
        <v>37</v>
      </c>
      <c r="C597" s="14">
        <f>INDEX('부작 목록'!$C$2:$C$96,B597)</f>
        <v/>
      </c>
      <c r="D597" s="14" t="inlineStr">
        <is>
          <t>E 빅토르 안전가옥 세션</t>
        </is>
      </c>
      <c r="E597" s="13" t="n">
        <v>19758</v>
      </c>
      <c r="F597" s="13" t="n">
        <v>47</v>
      </c>
      <c r="G597" s="15" t="inlineStr">
        <is>
          <t>빅토르가 나간 뒤, 알바로와 카를로스가 짧게 남아 대화합니다. 두 사람은 빈 회의실을 정리하며 오늘 증언의 신빙성과, 빅토르가 제안한 '적의 적' 전략에 대한 서로의 불안을 나눕니다.</t>
        </is>
      </c>
    </row>
    <row r="598" ht="15" customHeight="1" s="11">
      <c r="A598" s="13" t="n">
        <v>597</v>
      </c>
      <c r="B598" s="13" t="n">
        <v>37</v>
      </c>
      <c r="C598" s="14">
        <f>INDEX('부작 목록'!$C$2:$C$96,B598)</f>
        <v/>
      </c>
      <c r="D598" s="14" t="inlineStr">
        <is>
          <t>E 빅토르 안전가옥 세션</t>
        </is>
      </c>
      <c r="E598" s="13" t="n">
        <v>19807</v>
      </c>
      <c r="F598" s="13" t="n">
        <v>55</v>
      </c>
      <c r="G598" s="15" t="inlineStr">
        <is>
          <t>복도에서, 알바로가 마지막으로 혼잣말처럼 되뇝니다. 출구에서 경비 요원에게 휴대폰을 돌려받은 뒤, 빗속에서 카밀라에게 전화를 걸어 말할 수 없는 것과 말할 수 있는 것 사이에서 짧은 대화를 나눕니다.</t>
        </is>
      </c>
    </row>
    <row r="599" ht="15" customHeight="1" s="11">
      <c r="A599" s="13" t="n">
        <v>598</v>
      </c>
      <c r="B599" s="13" t="n">
        <v>38</v>
      </c>
      <c r="C599" s="14">
        <f>INDEX('부작 목록'!$C$2:$C$96,B599)</f>
        <v/>
      </c>
      <c r="D599" s="14" t="inlineStr">
        <is>
          <t>E 빅토르 안전가옥 세션</t>
        </is>
      </c>
      <c r="E599" s="13" t="n">
        <v>19864</v>
      </c>
      <c r="F599" s="13" t="n">
        <v>47</v>
      </c>
      <c r="G599" s="15" t="inlineStr">
        <is>
          <t>다음 날, 세 사람의 세션이 재개됩니다. 빅토르가 '엘 아르키텍토 작전' — 로셀요 개인이 아니라, 여러 후계자를 동시에 양성하려던 조직 차원의 프로그램 자체를 설명하기 시작합니다. 안전가옥 창밖에는 가는 비가 내리고, 테이블 위에는 보온병 커피와 녹음기가 놓여 있습니다.</t>
        </is>
      </c>
    </row>
    <row r="600" ht="15" customHeight="1" s="11">
      <c r="A600" s="13" t="n">
        <v>599</v>
      </c>
      <c r="B600" s="13" t="n">
        <v>38</v>
      </c>
      <c r="C600" s="14">
        <f>INDEX('부작 목록'!$C$2:$C$96,B600)</f>
        <v/>
      </c>
      <c r="D600" s="14" t="inlineStr">
        <is>
          <t>E 빅토르 안전가옥 세션</t>
        </is>
      </c>
      <c r="E600" s="13" t="n">
        <v>19913</v>
      </c>
      <c r="F600" s="13" t="n">
        <v>47</v>
      </c>
      <c r="G600" s="15" t="inlineStr">
        <is>
          <t>카를로스가 후보 선발 기준을 질문하며, 빅토르가 당시의 반복적 관행을 회고합니다.</t>
        </is>
      </c>
    </row>
    <row r="601" ht="15" customHeight="1" s="11">
      <c r="A601" s="13" t="n">
        <v>600</v>
      </c>
      <c r="B601" s="13" t="n">
        <v>38</v>
      </c>
      <c r="C601" s="14">
        <f>INDEX('부작 목록'!$C$2:$C$96,B601)</f>
        <v/>
      </c>
      <c r="D601" s="14" t="inlineStr">
        <is>
          <t>E 빅토르 안전가옥 세션</t>
        </is>
      </c>
      <c r="E601" s="13" t="n">
        <v>19962</v>
      </c>
      <c r="F601" s="13" t="n">
        <v>46</v>
      </c>
      <c r="G601" s="15" t="inlineStr">
        <is>
          <t>알바로가 구체적인 낙오 사례를 묻고, 빅토르가 대과거 구문을 활용해 설명합니다.</t>
        </is>
      </c>
    </row>
    <row r="602" ht="15" customHeight="1" s="11">
      <c r="A602" s="13" t="n">
        <v>601</v>
      </c>
      <c r="B602" s="13" t="n">
        <v>38</v>
      </c>
      <c r="C602" s="14">
        <f>INDEX('부작 목록'!$C$2:$C$96,B602)</f>
        <v/>
      </c>
      <c r="D602" s="14" t="inlineStr">
        <is>
          <t>E 빅토르 안전가옥 세션</t>
        </is>
      </c>
      <c r="E602" s="13" t="n">
        <v>20010</v>
      </c>
      <c r="F602" s="13" t="n">
        <v>48</v>
      </c>
      <c r="G602" s="15" t="inlineStr">
        <is>
          <t>카를로스가 그 낙오자에 대한 반사실적 가정을 묻고, 빅토르가 si+대과거접속법+완료조건법으로 답합니다.</t>
        </is>
      </c>
    </row>
    <row r="603" ht="15" customHeight="1" s="11">
      <c r="A603" s="13" t="n">
        <v>602</v>
      </c>
      <c r="B603" s="13" t="n">
        <v>38</v>
      </c>
      <c r="C603" s="14">
        <f>INDEX('부작 목록'!$C$2:$C$96,B603)</f>
        <v/>
      </c>
      <c r="D603" s="14" t="inlineStr">
        <is>
          <t>E 빅토르 안전가옥 세션</t>
        </is>
      </c>
      <c r="E603" s="13" t="n">
        <v>20060</v>
      </c>
      <c r="F603" s="13" t="n">
        <v>50</v>
      </c>
      <c r="G603" s="15" t="inlineStr">
        <is>
          <t>알바로가 후보들의 평가 절차를 질문하고, 빅토르가 수동태 중심으로 절차를 설명합니다.</t>
        </is>
      </c>
    </row>
    <row r="604" ht="15" customHeight="1" s="11">
      <c r="A604" s="13" t="n">
        <v>603</v>
      </c>
      <c r="B604" s="13" t="n">
        <v>38</v>
      </c>
      <c r="C604" s="14">
        <f>INDEX('부작 목록'!$C$2:$C$96,B604)</f>
        <v/>
      </c>
      <c r="D604" s="14" t="inlineStr">
        <is>
          <t>E 빅토르 안전가옥 세션</t>
        </is>
      </c>
      <c r="E604" s="13" t="n">
        <v>20112</v>
      </c>
      <c r="F604" s="13" t="n">
        <v>46</v>
      </c>
      <c r="G604" s="15" t="inlineStr">
        <is>
          <t>카를로스가 훈련 중 후보들에게 주어진 구체적 규칙을 질문하고, 빅토르가 부정명령법으로 당시 지시사항을 재현합니다.</t>
        </is>
      </c>
    </row>
    <row r="605" ht="15" customHeight="1" s="11">
      <c r="A605" s="13" t="n">
        <v>604</v>
      </c>
      <c r="B605" s="13" t="n">
        <v>38</v>
      </c>
      <c r="C605" s="14">
        <f>INDEX('부작 목록'!$C$2:$C$96,B605)</f>
        <v/>
      </c>
      <c r="D605" s="14" t="inlineStr">
        <is>
          <t>E 빅토르 안전가옥 세션</t>
        </is>
      </c>
      <c r="E605" s="13" t="n">
        <v>20160</v>
      </c>
      <c r="F605" s="13" t="n">
        <v>46</v>
      </c>
      <c r="G605" s="15" t="inlineStr">
        <is>
          <t>알바로가 이 프로그램이 다시 시도될지 질문하고, 빅토르가 미래완료 시제로 예측합니다.</t>
        </is>
      </c>
    </row>
    <row r="606" ht="15" customHeight="1" s="11">
      <c r="A606" s="13" t="n">
        <v>605</v>
      </c>
      <c r="B606" s="13" t="n">
        <v>38</v>
      </c>
      <c r="C606" s="14">
        <f>INDEX('부작 목록'!$C$2:$C$96,B606)</f>
        <v/>
      </c>
      <c r="D606" s="14" t="inlineStr">
        <is>
          <t>E 빅토르 안전가옥 세션</t>
        </is>
      </c>
      <c r="E606" s="13" t="n">
        <v>20208</v>
      </c>
      <c r="F606" s="13" t="n">
        <v>50</v>
      </c>
      <c r="G606" s="15" t="inlineStr">
        <is>
          <t>카를로스가 이 예측에 대응하기 위한 즉각적 조치를 명령법으로 지시합니다.</t>
        </is>
      </c>
    </row>
    <row r="607" ht="15" customHeight="1" s="11">
      <c r="A607" s="13" t="n">
        <v>606</v>
      </c>
      <c r="B607" s="13" t="n">
        <v>38</v>
      </c>
      <c r="C607" s="14">
        <f>INDEX('부작 목록'!$C$2:$C$96,B607)</f>
        <v/>
      </c>
      <c r="D607" s="14" t="inlineStr">
        <is>
          <t>E 빅토르 안전가옥 세션</t>
        </is>
      </c>
      <c r="E607" s="13" t="n">
        <v>20260</v>
      </c>
      <c r="F607" s="13" t="n">
        <v>47</v>
      </c>
      <c r="G607" s="15" t="inlineStr">
        <is>
          <t>알바로가 빅토르에게 이 프로그램이 애초에 다르게 설계됐다면 어땠을지 묻습니다.</t>
        </is>
      </c>
    </row>
    <row r="608" ht="15" customHeight="1" s="11">
      <c r="A608" s="13" t="n">
        <v>607</v>
      </c>
      <c r="B608" s="13" t="n">
        <v>38</v>
      </c>
      <c r="C608" s="14">
        <f>INDEX('부작 목록'!$C$2:$C$96,B608)</f>
        <v/>
      </c>
      <c r="D608" s="14" t="inlineStr">
        <is>
          <t>E 빅토르 안전가옥 세션</t>
        </is>
      </c>
      <c r="E608" s="13" t="n">
        <v>20309</v>
      </c>
      <c r="F608" s="13" t="n">
        <v>49</v>
      </c>
      <c r="G608" s="15" t="inlineStr">
        <is>
          <t>카를로스가 향후 방어 전략을 논의하며, 접속법 현재를 활용한 목적·요청 구문이 자연스럽게 이어집니다.</t>
        </is>
      </c>
    </row>
    <row r="609" ht="15" customHeight="1" s="11">
      <c r="A609" s="13" t="n">
        <v>608</v>
      </c>
      <c r="B609" s="13" t="n">
        <v>38</v>
      </c>
      <c r="C609" s="14">
        <f>INDEX('부작 목록'!$C$2:$C$96,B609)</f>
        <v/>
      </c>
      <c r="D609" s="14" t="inlineStr">
        <is>
          <t>E 빅토르 안전가옥 세션</t>
        </is>
      </c>
      <c r="E609" s="13" t="n">
        <v>20360</v>
      </c>
      <c r="F609" s="13" t="n">
        <v>46</v>
      </c>
      <c r="G609" s="15" t="inlineStr">
        <is>
          <t>알바로가 프로그램의 최종 결말을 질문하고, 빅토르가 단순과거 중심으로 사건을 서술합니다.</t>
        </is>
      </c>
    </row>
    <row r="610" ht="15" customHeight="1" s="11">
      <c r="A610" s="13" t="n">
        <v>609</v>
      </c>
      <c r="B610" s="13" t="n">
        <v>38</v>
      </c>
      <c r="C610" s="14">
        <f>INDEX('부작 목록'!$C$2:$C$96,B610)</f>
        <v/>
      </c>
      <c r="D610" s="14" t="inlineStr">
        <is>
          <t>E 빅토르 안전가옥 세션</t>
        </is>
      </c>
      <c r="E610" s="13" t="n">
        <v>20408</v>
      </c>
      <c r="F610" s="13" t="n">
        <v>46</v>
      </c>
      <c r="G610" s="15" t="inlineStr">
        <is>
          <t>카를로스가 최근 프로그램 재개 조짐이 있는지 질문하고, 빅토르가 현재완료로 답합니다.</t>
        </is>
      </c>
    </row>
    <row r="611" ht="15" customHeight="1" s="11">
      <c r="A611" s="13" t="n">
        <v>610</v>
      </c>
      <c r="B611" s="13" t="n">
        <v>38</v>
      </c>
      <c r="C611" s="14">
        <f>INDEX('부작 목록'!$C$2:$C$96,B611)</f>
        <v/>
      </c>
      <c r="D611" s="14" t="inlineStr">
        <is>
          <t>E 빅토르 안전가옥 세션</t>
        </is>
      </c>
      <c r="E611" s="13" t="n">
        <v>20456</v>
      </c>
      <c r="F611" s="13" t="n">
        <v>46</v>
      </c>
      <c r="G611" s="15" t="inlineStr">
        <is>
          <t>알바로가 만약 새로운 후계자가 확인된다면 어떻게 대응할지 조건법으로 질문합니다.</t>
        </is>
      </c>
    </row>
    <row r="612" ht="15" customHeight="1" s="11">
      <c r="A612" s="13" t="n">
        <v>611</v>
      </c>
      <c r="B612" s="13" t="n">
        <v>38</v>
      </c>
      <c r="C612" s="14">
        <f>INDEX('부작 목록'!$C$2:$C$96,B612)</f>
        <v/>
      </c>
      <c r="D612" s="14" t="inlineStr">
        <is>
          <t>E 빅토르 안전가옥 세션</t>
        </is>
      </c>
      <c r="E612" s="13" t="n">
        <v>20504</v>
      </c>
      <c r="F612" s="13" t="n">
        <v>50</v>
      </c>
      <c r="G612" s="15" t="inlineStr">
        <is>
          <t>세션을 마무리하며, 빅토르가 단순미래로 다음 내용을 예고합니다. 다섯 시간 가까운 세션 끝에 카를로스가 하루 내용을 정리하고, 세 사람은 다음 날 일정과 준비물을 조율합니다.</t>
        </is>
      </c>
    </row>
    <row r="613" ht="15" customHeight="1" s="11">
      <c r="A613" s="13" t="n">
        <v>612</v>
      </c>
      <c r="B613" s="13" t="n">
        <v>38</v>
      </c>
      <c r="C613" s="14">
        <f>INDEX('부작 목록'!$C$2:$C$96,B613)</f>
        <v/>
      </c>
      <c r="D613" s="14" t="inlineStr">
        <is>
          <t>E 빅토르 안전가옥 세션</t>
        </is>
      </c>
      <c r="E613" s="13" t="n">
        <v>20556</v>
      </c>
      <c r="F613" s="13" t="n">
        <v>46</v>
      </c>
      <c r="G613" s="15" t="inlineStr">
        <is>
          <t>빅토르가 마지막으로 프로그램 관련 자료를 건네며, 근접미래 표현으로 다음 절차를 안내합니다. 일곱 후보의 심리 프로파일을 받은 카를로스는 보안 조치를 약속하고, 빅토르는 '쿠에르보'에 관한 기억을 정리할 시간을 요청합니다.</t>
        </is>
      </c>
    </row>
    <row r="614" ht="15" customHeight="1" s="11">
      <c r="A614" s="13" t="n">
        <v>613</v>
      </c>
      <c r="B614" s="13" t="n">
        <v>38</v>
      </c>
      <c r="C614" s="14">
        <f>INDEX('부작 목록'!$C$2:$C$96,B614)</f>
        <v/>
      </c>
      <c r="D614" s="14" t="inlineStr">
        <is>
          <t>E 빅토르 안전가옥 세션</t>
        </is>
      </c>
      <c r="E614" s="13" t="n">
        <v>20604</v>
      </c>
      <c r="F614" s="13" t="n">
        <v>47</v>
      </c>
      <c r="G614" s="15" t="inlineStr">
        <is>
          <t>문을 나서기 전, 알바로가 마지막 질문을 던지며 접속법 불완료가 자연스럽게 등장합니다. 빅토르는 젊은 시절 자신이 후보 명단에서 제외됐던 일과, 이제는 그 길을 거부하는 이유를 털어놓습니다.</t>
        </is>
      </c>
    </row>
    <row r="615" ht="28.35" customHeight="1" s="11">
      <c r="A615" s="13" t="n">
        <v>614</v>
      </c>
      <c r="B615" s="13" t="n">
        <v>38</v>
      </c>
      <c r="C615" s="14">
        <f>INDEX('부작 목록'!$C$2:$C$96,B615)</f>
        <v/>
      </c>
      <c r="D615" s="14" t="inlineStr">
        <is>
          <t>E 빅토르 안전가옥 세션</t>
        </is>
      </c>
      <c r="E615" s="13" t="n">
        <v>20653</v>
      </c>
      <c r="F615" s="13" t="n">
        <v>47</v>
      </c>
      <c r="G615" s="15" t="inlineStr">
        <is>
          <t>빅토르가 방을 나서고, 알바로와 카를로스가 짧게 남습니다. 두 사람은 '쿠에르보'라는 이름, 빅토르에 대한 신뢰, 그리고 그날 밤 써야 할 예비 보고서에 대해 이야기합니다.</t>
        </is>
      </c>
    </row>
    <row r="616" ht="15" customHeight="1" s="11">
      <c r="A616" s="13" t="n">
        <v>615</v>
      </c>
      <c r="B616" s="13" t="n">
        <v>38</v>
      </c>
      <c r="C616" s="14">
        <f>INDEX('부작 목록'!$C$2:$C$96,B616)</f>
        <v/>
      </c>
      <c r="D616" s="14" t="inlineStr">
        <is>
          <t>E 빅토르 안전가옥 세션</t>
        </is>
      </c>
      <c r="E616" s="13" t="n">
        <v>20702</v>
      </c>
      <c r="F616" s="13" t="n">
        <v>46</v>
      </c>
      <c r="G616" s="15" t="inlineStr">
        <is>
          <t>카를로스가 문서로 받은 7명의 심리 프로파일을 훑어보며 추가 질문을 던집니다. 돋보기 안경을 두고 간 빅토르가 잠시 돌아오자, 카를로스는 그 자리에서 프로파일 여백의 메모들을 함께 읽어 나갑니다.</t>
        </is>
      </c>
    </row>
    <row r="617" ht="15" customHeight="1" s="11">
      <c r="A617" s="13" t="n">
        <v>616</v>
      </c>
      <c r="B617" s="13" t="n">
        <v>38</v>
      </c>
      <c r="C617" s="14">
        <f>INDEX('부작 목록'!$C$2:$C$96,B617)</f>
        <v/>
      </c>
      <c r="D617" s="14" t="inlineStr">
        <is>
          <t>E 빅토르 안전가옥 세션</t>
        </is>
      </c>
      <c r="E617" s="13" t="n">
        <v>20750</v>
      </c>
      <c r="F617" s="13" t="n">
        <v>50</v>
      </c>
      <c r="G617" s="15" t="inlineStr">
        <is>
          <t>알바로가 복도에서 조용히 생각을 정리하며 세션이 완전히 끝납니다. 출구 통제 데스크에서 휴대폰을 돌려받은 그는 당직 요원과 잠깐 이야기를 나누고, 창가에서 비 내리는 거리를 바라보며 카를로스를 기다립니다.</t>
        </is>
      </c>
    </row>
    <row r="618" ht="15" customHeight="1" s="11">
      <c r="A618" s="13" t="n">
        <v>617</v>
      </c>
      <c r="B618" s="13" t="n">
        <v>38</v>
      </c>
      <c r="C618" s="14">
        <f>INDEX('부작 목록'!$C$2:$C$96,B618)</f>
        <v/>
      </c>
      <c r="D618" s="14" t="inlineStr">
        <is>
          <t>E 빅토르 안전가옥 세션</t>
        </is>
      </c>
      <c r="E618" s="13" t="n">
        <v>20802</v>
      </c>
      <c r="F618" s="13" t="n">
        <v>46</v>
      </c>
      <c r="G618" s="15" t="inlineStr">
        <is>
          <t>복도에서 우연히 다시 마주친 카를로스와 알바로가 마지막으로 짧게 대화합니다. 언젠가의 보도와 기다림의 의미, 정보기관과 기자의 역할 차이를 이야기한 뒤, 카를로스는 비 오는 거리로 나서는 알바로에게 우산을 건넵니다.</t>
        </is>
      </c>
    </row>
    <row r="619" ht="15" customHeight="1" s="11">
      <c r="A619" s="13" t="n">
        <v>618</v>
      </c>
      <c r="B619" s="13" t="n">
        <v>38</v>
      </c>
      <c r="C619" s="14">
        <f>INDEX('부작 목록'!$C$2:$C$96,B619)</f>
        <v/>
      </c>
      <c r="D619" s="14" t="inlineStr">
        <is>
          <t>E 빅토르 안전가옥 세션</t>
        </is>
      </c>
      <c r="E619" s="13" t="n">
        <v>20850</v>
      </c>
      <c r="F619" s="13" t="n">
        <v>52</v>
      </c>
      <c r="G619" s="15" t="inlineStr">
        <is>
          <t>알바로가 집에 도착해 짧게 혼잣말합니다. 엘리베이터에서 이웃 엔카르나 할머니에게 잔소리를 듣고, 텅 빈 냉장고 앞에서 동료 하비에르의 전화를 받습니다.</t>
        </is>
      </c>
    </row>
    <row r="620" ht="28.35" customHeight="1" s="11">
      <c r="A620" s="13" t="n">
        <v>619</v>
      </c>
      <c r="B620" s="13" t="n">
        <v>38</v>
      </c>
      <c r="C620" s="14">
        <f>INDEX('부작 목록'!$C$2:$C$96,B620)</f>
        <v/>
      </c>
      <c r="D620" s="14" t="inlineStr">
        <is>
          <t>E 빅토르 안전가옥 세션</t>
        </is>
      </c>
      <c r="E620" s="13" t="n">
        <v>20904</v>
      </c>
      <c r="F620" s="13" t="n">
        <v>54</v>
      </c>
      <c r="G620" s="15" t="inlineStr">
        <is>
          <t>짧은 여운을 남기며 완전히 마무리합니다. 카를로스의 충고대로 문자 대신 카밀라에게 전화를 건 알바로는, 말할 수 있는 만큼만 하루를 털어놓고 보고서는 다음 날 새벽에 쓰기로 약속한 뒤 불을 끕니다.</t>
        </is>
      </c>
    </row>
    <row r="621" ht="15" customHeight="1" s="11">
      <c r="A621" s="13" t="n">
        <v>620</v>
      </c>
      <c r="B621" s="13" t="n">
        <v>38</v>
      </c>
      <c r="C621" s="14">
        <f>INDEX('부작 목록'!$C$2:$C$96,B621)</f>
        <v/>
      </c>
      <c r="D621" s="14" t="inlineStr">
        <is>
          <t>E 빅토르 안전가옥 세션</t>
        </is>
      </c>
      <c r="E621" s="13" t="n">
        <v>20960</v>
      </c>
      <c r="F621" s="13" t="n">
        <v>46</v>
      </c>
      <c r="G621" s="15" t="inlineStr">
        <is>
          <t>완전한 마무리 한 줄.</t>
        </is>
      </c>
    </row>
    <row r="622" ht="15" customHeight="1" s="11">
      <c r="A622" s="13" t="n">
        <v>621</v>
      </c>
      <c r="B622" s="13" t="n">
        <v>38</v>
      </c>
      <c r="C622" s="14">
        <f>INDEX('부작 목록'!$C$2:$C$96,B622)</f>
        <v/>
      </c>
      <c r="D622" s="14" t="inlineStr">
        <is>
          <t>E 빅토르 안전가옥 세션</t>
        </is>
      </c>
      <c r="E622" s="13" t="n">
        <v>21008</v>
      </c>
      <c r="F622" s="13" t="n">
        <v>46</v>
      </c>
      <c r="G622" s="15" t="inlineStr">
        <is>
          <t>창밖을 보며 마지막 생각.</t>
        </is>
      </c>
    </row>
    <row r="623" ht="15" customHeight="1" s="11">
      <c r="A623" s="13" t="n">
        <v>622</v>
      </c>
      <c r="B623" s="13" t="n">
        <v>38</v>
      </c>
      <c r="C623" s="14">
        <f>INDEX('부작 목록'!$C$2:$C$96,B623)</f>
        <v/>
      </c>
      <c r="D623" s="14" t="inlineStr">
        <is>
          <t>E 빅토르 안전가옥 세션</t>
        </is>
      </c>
      <c r="E623" s="13" t="n">
        <v>21056</v>
      </c>
      <c r="F623" s="13" t="n">
        <v>50</v>
      </c>
      <c r="G623" s="15" t="inlineStr">
        <is>
          <t>같은 세션 중, 알바로가 로셀요의 개인적 습관에 대해 궁금해하며 빅토르에게 묻습니다. 매일 아침의 달리기, 늘 같은 아침 식사, 오래된 시계 수집 같은 사소한 습관 속에서 세 사람은 그의 성격과 작업 방식의 공통점을 읽어냅니다.</t>
        </is>
      </c>
    </row>
    <row r="624" ht="15" customHeight="1" s="11">
      <c r="A624" s="13" t="n">
        <v>623</v>
      </c>
      <c r="B624" s="13" t="n">
        <v>38</v>
      </c>
      <c r="C624" s="14">
        <f>INDEX('부작 목록'!$C$2:$C$96,B624)</f>
        <v/>
      </c>
      <c r="D624" s="14" t="inlineStr">
        <is>
          <t>E 빅토르 안전가옥 세션</t>
        </is>
      </c>
      <c r="E624" s="13" t="n">
        <v>21108</v>
      </c>
      <c r="F624" s="13" t="n">
        <v>46</v>
      </c>
      <c r="G624" s="15" t="inlineStr">
        <is>
          <t>카를로스가 로셀요가 두려워하는 것이 있는지 질문합니다. 빅토르는 나이 들며 정신의 명료함을 잃는 것에 대한 그의 공포와 매일 밤의 기억 훈련을 설명하고, 세 사람은 그것이 조직이 저질렀던 '한 사람에 대한 의존'이라는 실수의 축소판임을 깨닫습니다.</t>
        </is>
      </c>
    </row>
    <row r="625" ht="15" customHeight="1" s="11">
      <c r="A625" s="13" t="n">
        <v>624</v>
      </c>
      <c r="B625" s="13" t="n">
        <v>38</v>
      </c>
      <c r="C625" s="14">
        <f>INDEX('부작 목록'!$C$2:$C$96,B625)</f>
        <v/>
      </c>
      <c r="D625" s="14" t="inlineStr">
        <is>
          <t>E 빅토르 안전가옥 세션</t>
        </is>
      </c>
      <c r="E625" s="13" t="n">
        <v>21156</v>
      </c>
      <c r="F625" s="13" t="n">
        <v>48</v>
      </c>
      <c r="G625" s="15" t="inlineStr">
        <is>
          <t>알바로가 이전에 언급됐던 로셀요의 가족에 대해 더 구체적으로 묻습니다. 빅토르는 오래된 감시 기록에 남은 아내와 아들, 그리고 끝내 답장을 받지 못한 손편지 이야기를 조심스럽게 꺼냅니다.</t>
        </is>
      </c>
    </row>
    <row r="626" ht="15" customHeight="1" s="11">
      <c r="A626" s="13" t="n">
        <v>625</v>
      </c>
      <c r="B626" s="13" t="n">
        <v>38</v>
      </c>
      <c r="C626" s="14">
        <f>INDEX('부작 목록'!$C$2:$C$96,B626)</f>
        <v/>
      </c>
      <c r="D626" s="14" t="inlineStr">
        <is>
          <t>E 빅토르 안전가옥 세션</t>
        </is>
      </c>
      <c r="E626" s="13" t="n">
        <v>21206</v>
      </c>
      <c r="F626" s="13" t="n">
        <v>47</v>
      </c>
      <c r="G626" s="15" t="inlineStr">
        <is>
          <t>카를로스가 이 개인적 정보를 전략적으로 활용할 수 있을지 질문합니다. 알바로는 아무것도 선택하지 않은 아들을 끌어들이는 것에 반발하고, 세 사람은 그 정보를 어디까지 다룰지 선을 긋습니다.</t>
        </is>
      </c>
    </row>
    <row r="627" ht="15" customHeight="1" s="11">
      <c r="A627" s="13" t="n">
        <v>626</v>
      </c>
      <c r="B627" s="13" t="n">
        <v>38</v>
      </c>
      <c r="C627" s="14">
        <f>INDEX('부작 목록'!$C$2:$C$96,B627)</f>
        <v/>
      </c>
      <c r="D627" s="14" t="inlineStr">
        <is>
          <t>E 빅토르 안전가옥 세션</t>
        </is>
      </c>
      <c r="E627" s="13" t="n">
        <v>21255</v>
      </c>
      <c r="F627" s="13" t="n">
        <v>47</v>
      </c>
      <c r="G627" s="15" t="inlineStr">
        <is>
          <t>알바로가 로셀요의 여가 시간에 대해 더 묻습니다. 빅토르는 고대 전쟁사와 손자병법에 대한 그의 집착, 체스를 싫어하는 이유, 그리고 모든 것을 계산하는 그의 취향을 들려줍니다.</t>
        </is>
      </c>
    </row>
    <row r="628" ht="15" customHeight="1" s="11">
      <c r="A628" s="13" t="n">
        <v>627</v>
      </c>
      <c r="B628" s="13" t="n">
        <v>38</v>
      </c>
      <c r="C628" s="14">
        <f>INDEX('부작 목록'!$C$2:$C$96,B628)</f>
        <v/>
      </c>
      <c r="D628" s="14" t="inlineStr">
        <is>
          <t>E 빅토르 안전가옥 세션</t>
        </is>
      </c>
      <c r="E628" s="13" t="n">
        <v>21304</v>
      </c>
      <c r="F628" s="13" t="n">
        <v>45</v>
      </c>
      <c r="G628" s="15" t="inlineStr">
        <is>
          <t>알바로가 마지막으로 이 모든 개인적 디테일이 자신에게 남긴 인상을 정리합니다. 미워해야 할지 이해해야 할지 갈등하는 알바로에게, 빅토르와 카를로스가 각자의 방식으로 답합니다.</t>
        </is>
      </c>
    </row>
    <row r="629" ht="15" customHeight="1" s="11">
      <c r="A629" s="13" t="n">
        <v>628</v>
      </c>
      <c r="B629" s="13" t="n">
        <v>38</v>
      </c>
      <c r="C629" s="14">
        <f>INDEX('부작 목록'!$C$2:$C$96,B629)</f>
        <v/>
      </c>
      <c r="D629" s="14" t="inlineStr">
        <is>
          <t>E 빅토르 안전가옥 세션</t>
        </is>
      </c>
      <c r="E629" s="13" t="n">
        <v>21351</v>
      </c>
      <c r="F629" s="13" t="n">
        <v>46</v>
      </c>
      <c r="G629" s="15" t="inlineStr">
        <is>
          <t>카를로스가 이 대화를 마무리하며 실무로 돌아가자고 제안합니다. 그 전에 세 사람은 심리 프로파일에 무엇을 담을지 정리하고, 빅토르는 약점보다 습관을 보라고 조언합니다.</t>
        </is>
      </c>
    </row>
    <row r="630" ht="15" customHeight="1" s="11">
      <c r="A630" s="13" t="n">
        <v>629</v>
      </c>
      <c r="B630" s="13" t="n">
        <v>38</v>
      </c>
      <c r="C630" s="14">
        <f>INDEX('부작 목록'!$C$2:$C$96,B630)</f>
        <v/>
      </c>
      <c r="D630" s="14" t="inlineStr">
        <is>
          <t>E 빅토르 안전가옥 세션</t>
        </is>
      </c>
      <c r="E630" s="13" t="n">
        <v>21399</v>
      </c>
      <c r="F630" s="13" t="n">
        <v>48</v>
      </c>
      <c r="G630" s="15" t="inlineStr">
        <is>
          <t>알바로가 조용히 마지막 생각을 덧붙입니다. 짧은 휴식 시간, 좁은 부엌에서 커피를 내리던 알바로와 빅토르는 처음으로 서로의 삶에 대해 이야기를 나누고, 벽에 걸린 싸구려 시계가 알바로의 시선을 붙잡습니다.</t>
        </is>
      </c>
    </row>
    <row r="631" ht="15" customHeight="1" s="11">
      <c r="A631" s="13" t="n">
        <v>630</v>
      </c>
      <c r="B631" s="13" t="n">
        <v>38</v>
      </c>
      <c r="C631" s="14">
        <f>INDEX('부작 목록'!$C$2:$C$96,B631)</f>
        <v/>
      </c>
      <c r="D631" s="14" t="inlineStr">
        <is>
          <t>E 빅토르 안전가옥 세션</t>
        </is>
      </c>
      <c r="E631" s="13" t="n">
        <v>21449</v>
      </c>
      <c r="F631" s="13" t="n">
        <v>46</v>
      </c>
      <c r="G631" s="15" t="inlineStr">
        <is>
          <t>알바로가 엘 아르키텍토 프로그램이 정확히 어디서 실패했는지 근본적으로 질문합니다. 빅토르는 애착 없는 인물만 골라낸 선발 기준 자체가 배신을 예고했다고 설명하고, 카를로스는 자신이 왜 조직에 충성하는지 털어놓습니다.</t>
        </is>
      </c>
    </row>
    <row r="632" ht="15" customHeight="1" s="11">
      <c r="A632" s="13" t="n">
        <v>631</v>
      </c>
      <c r="B632" s="13" t="n">
        <v>38</v>
      </c>
      <c r="C632" s="14">
        <f>INDEX('부작 목록'!$C$2:$C$96,B632)</f>
        <v/>
      </c>
      <c r="D632" s="14" t="inlineStr">
        <is>
          <t>E 빅토르 안전가옥 세션</t>
        </is>
      </c>
      <c r="E632" s="13" t="n">
        <v>21497</v>
      </c>
      <c r="F632" s="13" t="n">
        <v>47</v>
      </c>
      <c r="G632" s="15" t="inlineStr">
        <is>
          <t>카를로스가 성공 자체가 어떻게 실패의 원인이 됐는지 묻습니다. 빅토르는 로셀요가 조수들에게도 핵심을 숨기며 스스로를 대체 불가능한 존재로 만든 과정과, 그가 조직의 한계를 시험하던 작은 신호들을 설명합니다.</t>
        </is>
      </c>
    </row>
    <row r="633" ht="15" customHeight="1" s="11">
      <c r="A633" s="13" t="n">
        <v>632</v>
      </c>
      <c r="B633" s="13" t="n">
        <v>38</v>
      </c>
      <c r="C633" s="14">
        <f>INDEX('부작 목록'!$C$2:$C$96,B633)</f>
        <v/>
      </c>
      <c r="D633" s="14" t="inlineStr">
        <is>
          <t>E 빅토르 안전가옥 세션</t>
        </is>
      </c>
      <c r="E633" s="13" t="n">
        <v>21546</v>
      </c>
      <c r="F633" s="13" t="n">
        <v>45</v>
      </c>
      <c r="G633" s="15" t="inlineStr">
        <is>
          <t>알바로가 로셀요를 어떻게 범주화해야 할지 존재론적으로 질문합니다. 용병, 콘도티에로 같은 단어들이 오가다가 빅토르가 '계약서 없는 계약자'라는 정의를 내놓고, 카를로스는 그런 존재를 법정에 세우기가 얼마나 어려운지 짚습니다.</t>
        </is>
      </c>
    </row>
    <row r="634" ht="15" customHeight="1" s="11">
      <c r="A634" s="13" t="n">
        <v>633</v>
      </c>
      <c r="B634" s="13" t="n">
        <v>38</v>
      </c>
      <c r="C634" s="14">
        <f>INDEX('부작 목록'!$C$2:$C$96,B634)</f>
        <v/>
      </c>
      <c r="D634" s="14" t="inlineStr">
        <is>
          <t>E 빅토르 안전가옥 세션</t>
        </is>
      </c>
      <c r="E634" s="13" t="n">
        <v>21593</v>
      </c>
      <c r="F634" s="13" t="n">
        <v>46</v>
      </c>
      <c r="G634" s="15" t="inlineStr">
        <is>
          <t>카를로스가 이 존재론적 분석을 실무적인 위협 평가로 전환합니다. 화이트보드에 규모와 통제 가능성의 두 축을 그리며 위협의 우선순위를 정리하고, 알바로는 보도 시점을 늦춰야 한다는 말에 기자로서의 아쉬움을 드러냅니다.</t>
        </is>
      </c>
    </row>
    <row r="635" ht="15" customHeight="1" s="11">
      <c r="A635" s="13" t="n">
        <v>634</v>
      </c>
      <c r="B635" s="13" t="n">
        <v>38</v>
      </c>
      <c r="C635" s="14">
        <f>INDEX('부작 목록'!$C$2:$C$96,B635)</f>
        <v/>
      </c>
      <c r="D635" s="14" t="inlineStr">
        <is>
          <t>E 빅토르 안전가옥 세션</t>
        </is>
      </c>
      <c r="E635" s="13" t="n">
        <v>21641</v>
      </c>
      <c r="F635" s="13" t="n">
        <v>45</v>
      </c>
      <c r="G635" s="15" t="inlineStr">
        <is>
          <t>알바로가 로셀요의 존재를 다른 역사적·자연적 현상에 비유하며 이해하려 시도합니다. 빅토르의 '침입종' 비유에 알바로는 에브로강의 얼룩말홍합 취재 경험을 떠올리고, 세 사람은 국제 공조와 '통과 지점' 감시의 필요성에 공감합니다.</t>
        </is>
      </c>
    </row>
    <row r="636" ht="15" customHeight="1" s="11">
      <c r="A636" s="13" t="n">
        <v>635</v>
      </c>
      <c r="B636" s="13" t="n">
        <v>38</v>
      </c>
      <c r="C636" s="14">
        <f>INDEX('부작 목록'!$C$2:$C$96,B636)</f>
        <v/>
      </c>
      <c r="D636" s="14" t="inlineStr">
        <is>
          <t>E 빅토르 안전가옥 세션</t>
        </is>
      </c>
      <c r="E636" s="13" t="n">
        <v>21688</v>
      </c>
      <c r="F636" s="13" t="n">
        <v>46</v>
      </c>
      <c r="G636" s="15" t="inlineStr">
        <is>
          <t>세 사람이 이 논의를 종합하며 결론을 정리합니다. 해가 기울어 가는 방 안에서, 알바로는 로셀요 개인에게 책임을 묻고 싶은 마음을 솔직히 털어놓고, 빅토르의 설득 끝에 '생태계 우선'이라는 결론에 동의합니다.</t>
        </is>
      </c>
    </row>
    <row r="637" ht="15" customHeight="1" s="11">
      <c r="A637" s="13" t="n">
        <v>636</v>
      </c>
      <c r="B637" s="13" t="n">
        <v>38</v>
      </c>
      <c r="C637" s="14">
        <f>INDEX('부작 목록'!$C$2:$C$96,B637)</f>
        <v/>
      </c>
      <c r="D637" s="14" t="inlineStr">
        <is>
          <t>E 빅토르 안전가옥 세션</t>
        </is>
      </c>
      <c r="E637" s="13" t="n">
        <v>21736</v>
      </c>
      <c r="F637" s="13" t="n">
        <v>50</v>
      </c>
      <c r="G637" s="15" t="inlineStr">
        <is>
          <t>알바로가 방을 나서기 전, 이 모든 분석에 대한 개인적 소회를 남깁니다. 빅토르는 머릿속에 남는 이미지들과 함께 사는 법을 이야기하고, 읽을 소설 한 권을 부탁합니다. 계단을 내려가며 알바로와 카를로스는 지친 농담을 주고받습니다.</t>
        </is>
      </c>
    </row>
    <row r="638" ht="15" customHeight="1" s="11">
      <c r="A638" s="13" t="n">
        <v>637</v>
      </c>
      <c r="B638" s="13" t="n">
        <v>39</v>
      </c>
      <c r="C638" s="14">
        <f>INDEX('부작 목록'!$C$2:$C$96,B638)</f>
        <v/>
      </c>
      <c r="D638" s="14" t="inlineStr">
        <is>
          <t>E 빅토르 안전가옥 세션</t>
        </is>
      </c>
      <c r="E638" s="13" t="n">
        <v>21788</v>
      </c>
      <c r="F638" s="13" t="n">
        <v>32</v>
      </c>
      <c r="G638" s="15" t="inlineStr">
        <is>
          <t>다음 날, 세션이 재개됩니다. 빅토르가 예고한 대로 활성 작전인 '크리스탈 작전'부터 설명을 시 작합니다.</t>
        </is>
      </c>
    </row>
    <row r="639" ht="15" customHeight="1" s="11">
      <c r="A639" s="13" t="n">
        <v>638</v>
      </c>
      <c r="B639" s="13" t="n">
        <v>39</v>
      </c>
      <c r="C639" s="14">
        <f>INDEX('부작 목록'!$C$2:$C$96,B639)</f>
        <v/>
      </c>
      <c r="D639" s="14" t="inlineStr">
        <is>
          <t>E 빅토르 안전가옥 세션</t>
        </is>
      </c>
      <c r="E639" s="13" t="n">
        <v>21824</v>
      </c>
      <c r="F639" s="13" t="n">
        <v>20</v>
      </c>
      <c r="G639" s="15" t="inlineStr">
        <is>
          <t>카를로스가 빅토르를 더 몰아붙이며, 이 작전이 스페인에 구체적으로 어떤 위협이 되는지 캐묻 습니다.</t>
        </is>
      </c>
    </row>
    <row r="640" ht="15" customHeight="1" s="11">
      <c r="A640" s="13" t="n">
        <v>639</v>
      </c>
      <c r="B640" s="13" t="n">
        <v>39</v>
      </c>
      <c r="C640" s="14">
        <f>INDEX('부작 목록'!$C$2:$C$96,B640)</f>
        <v/>
      </c>
      <c r="D640" s="14" t="inlineStr">
        <is>
          <t>E 빅토르 안전가옥 세션</t>
        </is>
      </c>
      <c r="E640" s="13" t="n">
        <v>21847</v>
      </c>
      <c r="F640" s="13" t="n">
        <v>59</v>
      </c>
      <c r="G640" s="15" t="inlineStr">
        <is>
          <t>다음 세션. 빅토르가 남미 무기공급 작전, '코리엔테 수르'를 설명합니다. 이번 작전부터는 로셀 요가 아니라, 빅토르가 몸담았던 정보기관이 직접 스페인과 유럽에 피해를 주려는 목적으로 설 계한 작전임이 드러납니다.</t>
        </is>
      </c>
    </row>
    <row r="641" ht="15" customHeight="1" s="11">
      <c r="A641" s="13" t="n">
        <v>640</v>
      </c>
      <c r="B641" s="13" t="n">
        <v>39</v>
      </c>
      <c r="C641" s="14">
        <f>INDEX('부작 목록'!$C$2:$C$96,B641)</f>
        <v/>
      </c>
      <c r="D641" s="14" t="inlineStr">
        <is>
          <t>E 빅토르 안전가옥 세션</t>
        </is>
      </c>
      <c r="E641" s="13" t="n">
        <v>21911</v>
      </c>
      <c r="F641" s="13" t="n">
        <v>58</v>
      </c>
      <c r="G641" s="15" t="inlineStr">
        <is>
          <t>다음 세션. 빅토르가 '영원의 도서관 작전'을 설명합니다. 유럽 각국 고위 관료·법조인·언론인에 대한 약점 자료를 수십 년째 축적해온, 정보기관 직속의 콤프로마트 아카이브입니다.</t>
        </is>
      </c>
    </row>
    <row r="642" ht="15" customHeight="1" s="11">
      <c r="A642" s="13" t="n">
        <v>641</v>
      </c>
      <c r="B642" s="13" t="n">
        <v>40</v>
      </c>
      <c r="C642" s="14">
        <f>INDEX('부작 목록'!$C$2:$C$96,B642)</f>
        <v/>
      </c>
      <c r="D642" s="14" t="inlineStr">
        <is>
          <t>E 빅토르 안전가옥 세션</t>
        </is>
      </c>
      <c r="E642" s="13" t="n">
        <v>21975</v>
      </c>
      <c r="F642" s="13" t="n">
        <v>54</v>
      </c>
      <c r="G642" s="15" t="inlineStr">
        <is>
          <t>몇 주 후. 로셀요가 다시 알바로에게 전화를 걸어, 이번엔 카밀라와 함께 점심을 하자고 제안합니다. 알바로는 카밀라와 상의하고, 그날 밤 카를로스에게도 알립니다.</t>
        </is>
      </c>
    </row>
    <row r="643" ht="15" customHeight="1" s="11">
      <c r="A643" s="13" t="n">
        <v>642</v>
      </c>
      <c r="B643" s="13" t="n">
        <v>40</v>
      </c>
      <c r="C643" s="14">
        <f>INDEX('부작 목록'!$C$2:$C$96,B643)</f>
        <v/>
      </c>
      <c r="D643" s="14" t="inlineStr">
        <is>
          <t>E 빅토르 안전가옥 세션</t>
        </is>
      </c>
      <c r="E643" s="13" t="n">
        <v>22031</v>
      </c>
      <c r="F643" s="13" t="n">
        <v>54</v>
      </c>
      <c r="G643" s="15" t="inlineStr">
        <is>
          <t>다음 날, 마드리드의 조용한 식당. 알바로와 카밀라가 로셀요와 점심을 함께합니다. 그가 진짜 이유를 밝힙니다 — 자신을 이토록 끈질기게 몰아붙인 유일한 상대에 대한 경의입니다.</t>
        </is>
      </c>
    </row>
    <row r="644" ht="15" customHeight="1" s="11">
      <c r="A644" s="13" t="n">
        <v>643</v>
      </c>
      <c r="B644" s="13" t="n">
        <v>40</v>
      </c>
      <c r="C644" s="14">
        <f>INDEX('부작 목록'!$C$2:$C$96,B644)</f>
        <v/>
      </c>
      <c r="D644" s="14" t="inlineStr">
        <is>
          <t>E 빅토르 안전가옥 세션</t>
        </is>
      </c>
      <c r="E644" s="13" t="n">
        <v>22087</v>
      </c>
      <c r="F644" s="13" t="n">
        <v>59</v>
      </c>
      <c r="G644" s="15" t="inlineStr">
        <is>
          <t>음식이 나오는 동안, 로셀요가 마침내 본론을 꺼냅니다 — 세상을 다 줄 수 있다며, 2인자 자리를 제안합니다.</t>
        </is>
      </c>
    </row>
    <row r="645" ht="15" customHeight="1" s="11">
      <c r="A645" s="13" t="n">
        <v>644</v>
      </c>
      <c r="B645" s="13" t="n">
        <v>41</v>
      </c>
      <c r="C645" s="14">
        <f>INDEX('부작 목록'!$C$2:$C$96,B645)</f>
        <v/>
      </c>
      <c r="D645" s="14" t="inlineStr">
        <is>
          <t>E 빅토르 안전가옥 세션</t>
        </is>
      </c>
      <c r="E645" s="13" t="n">
        <v>22148</v>
      </c>
      <c r="F645" s="13" t="n">
        <v>14</v>
      </c>
      <c r="G645" s="15" t="inlineStr">
        <is>
          <t>세션이 재개됩니다. 빅토르가 '둠루프 작전'을 설명하기 시작합니다. 이번에도 로셀요가 아니라 빅토르의 옛 조직이 직접 스페인을 겨냥한 작전입니다.</t>
        </is>
      </c>
    </row>
    <row r="646" ht="15" customHeight="1" s="11">
      <c r="A646" s="13" t="n">
        <v>645</v>
      </c>
      <c r="B646" s="13" t="n">
        <v>41</v>
      </c>
      <c r="C646" s="14">
        <f>INDEX('부작 목록'!$C$2:$C$96,B646)</f>
        <v/>
      </c>
      <c r="D646" s="14" t="inlineStr">
        <is>
          <t>E 빅토르 안전가옥 세션</t>
        </is>
      </c>
      <c r="E646" s="13" t="n">
        <v>22164</v>
      </c>
      <c r="F646" s="13" t="n">
        <v>12</v>
      </c>
      <c r="G646" s="15" t="inlineStr">
        <is>
          <t>카를로스가 이 작전이 이전 반코 데 에스파냐 사건과 연결되는지 질문합니다.</t>
        </is>
      </c>
    </row>
    <row r="647" ht="15" customHeight="1" s="11">
      <c r="A647" s="13" t="n">
        <v>646</v>
      </c>
      <c r="B647" s="13" t="n">
        <v>41</v>
      </c>
      <c r="C647" s="14">
        <f>INDEX('부작 목록'!$C$2:$C$96,B647)</f>
        <v/>
      </c>
      <c r="D647" s="14" t="inlineStr">
        <is>
          <t>E 빅토르 안전가옥 세션</t>
        </is>
      </c>
      <c r="E647" s="13" t="n">
        <v>22179</v>
      </c>
      <c r="F647" s="13" t="n">
        <v>12</v>
      </c>
      <c r="G647" s="15" t="inlineStr">
        <is>
          <t>알바로가 공황 유발의 구체적 기술적 메커니즘을 캐묻습니다.</t>
        </is>
      </c>
    </row>
    <row r="648" ht="15" customHeight="1" s="11">
      <c r="A648" s="13" t="n">
        <v>647</v>
      </c>
      <c r="B648" s="13" t="n">
        <v>41</v>
      </c>
      <c r="C648" s="14">
        <f>INDEX('부작 목록'!$C$2:$C$96,B648)</f>
        <v/>
      </c>
      <c r="D648" s="14" t="inlineStr">
        <is>
          <t>E 빅토르 안전가옥 세션</t>
        </is>
      </c>
      <c r="E648" s="13" t="n">
        <v>22194</v>
      </c>
      <c r="F648" s="13" t="n">
        <v>12</v>
      </c>
      <c r="G648" s="15" t="inlineStr">
        <is>
          <t>카를로스가 이 작전이 스페인 금융 시스템 전체에 미칠 위협을 캐묻습니다.</t>
        </is>
      </c>
    </row>
    <row r="649" ht="15" customHeight="1" s="11">
      <c r="A649" s="13" t="n">
        <v>648</v>
      </c>
      <c r="B649" s="13" t="n">
        <v>41</v>
      </c>
      <c r="C649" s="14">
        <f>INDEX('부작 목록'!$C$2:$C$96,B649)</f>
        <v/>
      </c>
      <c r="D649" s="14" t="inlineStr">
        <is>
          <t>E 빅토르 안전가옥 세션</t>
        </is>
      </c>
      <c r="E649" s="13" t="n">
        <v>22209</v>
      </c>
      <c r="F649" s="13" t="n">
        <v>12</v>
      </c>
      <c r="G649" s="15" t="inlineStr">
        <is>
          <t>카를로스가 즉각적인 대응 조치를 요구하며 긴박감이 고조됩니다.</t>
        </is>
      </c>
    </row>
    <row r="650" ht="15" customHeight="1" s="11">
      <c r="A650" s="13" t="n">
        <v>649</v>
      </c>
      <c r="B650" s="13" t="n">
        <v>41</v>
      </c>
      <c r="C650" s="14">
        <f>INDEX('부작 목록'!$C$2:$C$96,B650)</f>
        <v/>
      </c>
      <c r="D650" s="14" t="inlineStr">
        <is>
          <t>E 빅토르 안전가옥 세션</t>
        </is>
      </c>
      <c r="E650" s="13" t="n">
        <v>22223</v>
      </c>
      <c r="F650" s="13" t="n">
        <v>12</v>
      </c>
      <c r="G650" s="15" t="inlineStr">
        <is>
          <t>알바로가 최종 인수 단계에서 사용될 위장 매수자 구조에 대해 캐묻습니다.</t>
        </is>
      </c>
    </row>
    <row r="651" ht="15" customHeight="1" s="11">
      <c r="A651" s="13" t="n">
        <v>650</v>
      </c>
      <c r="B651" s="13" t="n">
        <v>41</v>
      </c>
      <c r="C651" s="14">
        <f>INDEX('부작 목록'!$C$2:$C$96,B651)</f>
        <v/>
      </c>
      <c r="D651" s="14" t="inlineStr">
        <is>
          <t>E 빅토르 안전가옥 세션</t>
        </is>
      </c>
      <c r="E651" s="13" t="n">
        <v>22237</v>
      </c>
      <c r="F651" s="13" t="n">
        <v>10</v>
      </c>
      <c r="G651" s="15" t="inlineStr">
        <is>
          <t>카를로스가 카밀라를 이번 작전 분석에 투입하기로 결정합니다.</t>
        </is>
      </c>
    </row>
    <row r="652" ht="15" customHeight="1" s="11">
      <c r="A652" s="13" t="n">
        <v>651</v>
      </c>
      <c r="B652" s="13" t="n">
        <v>41</v>
      </c>
      <c r="C652" s="14">
        <f>INDEX('부작 목록'!$C$2:$C$96,B652)</f>
        <v/>
      </c>
      <c r="D652" s="14" t="inlineStr">
        <is>
          <t>E 빅토르 안전가옥 세션</t>
        </is>
      </c>
      <c r="E652" s="13" t="n">
        <v>22250</v>
      </c>
      <c r="F652" s="13" t="n">
        <v>12</v>
      </c>
      <c r="G652" s="15" t="inlineStr">
        <is>
          <t>세션을 마무리하며, 빅토르가 문서를 건네고 다음 단계를 정리합니다.</t>
        </is>
      </c>
    </row>
    <row r="653" ht="15" customHeight="1" s="11">
      <c r="A653" s="13" t="n">
        <v>652</v>
      </c>
      <c r="B653" s="13" t="n">
        <v>41</v>
      </c>
      <c r="C653" s="14">
        <f>INDEX('부작 목록'!$C$2:$C$96,B653)</f>
        <v/>
      </c>
      <c r="D653" s="14" t="inlineStr">
        <is>
          <t>E 빅토르 안전가옥 세션</t>
        </is>
      </c>
      <c r="E653" s="13" t="n">
        <v>22265</v>
      </c>
      <c r="F653" s="13" t="n">
        <v>12</v>
      </c>
      <c r="G653" s="15" t="inlineStr">
        <is>
          <t>며칠 후, 카를로스가 은행 감독 개입의 초기 결과를 전합니다.</t>
        </is>
      </c>
    </row>
    <row r="654" ht="15" customHeight="1" s="11">
      <c r="A654" s="13" t="n">
        <v>653</v>
      </c>
      <c r="B654" s="13" t="n">
        <v>41</v>
      </c>
      <c r="C654" s="14">
        <f>INDEX('부작 목록'!$C$2:$C$96,B654)</f>
        <v/>
      </c>
      <c r="D654" s="14" t="inlineStr">
        <is>
          <t>E 빅토르 안전가옥 세션</t>
        </is>
      </c>
      <c r="E654" s="13" t="n">
        <v>22279</v>
      </c>
      <c r="F654" s="13" t="n">
        <v>13</v>
      </c>
      <c r="G654" s="15" t="inlineStr">
        <is>
          <t>카밀라가 메리디안 캐피털 구조 분석 결과를 갖고 세션에 합류합니다.</t>
        </is>
      </c>
    </row>
    <row r="655" ht="15" customHeight="1" s="11">
      <c r="A655" s="13" t="n">
        <v>654</v>
      </c>
      <c r="B655" s="13" t="n">
        <v>42</v>
      </c>
      <c r="C655" s="14">
        <f>INDEX('부작 목록'!$C$2:$C$96,B655)</f>
        <v/>
      </c>
      <c r="D655" s="14" t="inlineStr">
        <is>
          <t>E 빅토르 안전가옥 세션</t>
        </is>
      </c>
      <c r="E655" s="13" t="n">
        <v>22294</v>
      </c>
      <c r="F655" s="13" t="n">
        <v>74</v>
      </c>
      <c r="G655" s="15" t="inlineStr">
        <is>
          <t>새로운 세션. 빅토르가 '미네르바 작전'을 소개합니다. 스페인 대학·국방연구소에 수십 년째 침투 해온 장기 첩보 프로그램이며, 이미 검거했다고 믿었던 원전 스파이 사건(엘레나 페레르)이 사 실 이 거대한 작전의 극히 일부에 불과했다는 충격적 사실이 드러납니다.</t>
        </is>
      </c>
    </row>
    <row r="656" ht="28.35" customHeight="1" s="11">
      <c r="A656" s="13" t="n">
        <v>655</v>
      </c>
      <c r="B656" s="13" t="n">
        <v>42</v>
      </c>
      <c r="C656" s="14">
        <f>INDEX('부작 목록'!$C$2:$C$96,B656)</f>
        <v/>
      </c>
      <c r="D656" s="14" t="inlineStr">
        <is>
          <t>E 빅토르 안전가옥 세션</t>
        </is>
      </c>
      <c r="E656" s="13" t="n">
        <v>22375</v>
      </c>
      <c r="F656" s="13" t="n">
        <v>120</v>
      </c>
      <c r="G656" s="15" t="inlineStr">
        <is>
          <t>짧은 휴식 후, 세션이 재개됩니다. 빅토르가 현재 활동 중인 요원들의 구체적 신원과, 이를 저지 하기 위한 대응 전략을 논의합니다.</t>
        </is>
      </c>
    </row>
    <row r="657" ht="28.35" customHeight="1" s="11">
      <c r="A657" s="13" t="n">
        <v>656</v>
      </c>
      <c r="B657" s="13" t="n">
        <v>43</v>
      </c>
      <c r="C657" s="14">
        <f>INDEX('부작 목록'!$C$2:$C$96,B657)</f>
        <v/>
      </c>
      <c r="D657" s="14" t="inlineStr">
        <is>
          <t>E 빅토르 안전가옥 세션</t>
        </is>
      </c>
      <c r="E657" s="13" t="n">
        <v>22504</v>
      </c>
      <c r="F657" s="13" t="n">
        <v>44</v>
      </c>
      <c r="G657" s="15" t="inlineStr">
        <is>
          <t>새로운 세션. 빅토르가 마침내 '북방의 교향곡'의 전모를 밝힙니다. 1부에서 예고했던 의회 표결 시점 봇 계정 물결이 바로 이 작전의 일부였다는 것이 확인됩니다.</t>
        </is>
      </c>
    </row>
    <row r="658" ht="15" customHeight="1" s="11">
      <c r="A658" s="13" t="n">
        <v>657</v>
      </c>
      <c r="B658" s="13" t="n">
        <v>43</v>
      </c>
      <c r="C658" s="14">
        <f>INDEX('부작 목록'!$C$2:$C$96,B658)</f>
        <v/>
      </c>
      <c r="D658" s="14" t="inlineStr">
        <is>
          <t>E 빅토르 안전가옥 세션</t>
        </is>
      </c>
      <c r="E658" s="13" t="n">
        <v>22553</v>
      </c>
      <c r="F658" s="13" t="n">
        <v>61</v>
      </c>
      <c r="G658" s="15" t="inlineStr">
        <is>
          <t>세션이 이어집니다. 카를로스가 대응 전략을 논의하며, 알바로가 언론계 관점에서 이 문제를 어 떻게 폭로할 수 있을지 고민합니다.</t>
        </is>
      </c>
    </row>
    <row r="659" ht="28.35" customHeight="1" s="11">
      <c r="A659" s="13" t="n">
        <v>658</v>
      </c>
      <c r="B659" s="13" t="n">
        <v>43</v>
      </c>
      <c r="C659" s="14">
        <f>INDEX('부작 목록'!$C$2:$C$96,B659)</f>
        <v/>
      </c>
      <c r="D659" s="14" t="inlineStr">
        <is>
          <t>E 빅토르 안전가옥 세션</t>
        </is>
      </c>
      <c r="E659" s="13" t="n">
        <v>22620</v>
      </c>
      <c r="F659" s="13" t="n">
        <v>52</v>
      </c>
      <c r="G659" s="15" t="inlineStr">
        <is>
          <t>며칠 후. 카밀라가 재단 자금 추적 결과를 가지고 세션에 합류하며, 결정적 진전을 보고합니다.</t>
        </is>
      </c>
    </row>
    <row r="660" ht="15" customHeight="1" s="11">
      <c r="A660" s="13" t="n">
        <v>659</v>
      </c>
      <c r="B660" s="13" t="n">
        <v>43</v>
      </c>
      <c r="C660" s="14">
        <f>INDEX('부작 목록'!$C$2:$C$96,B660)</f>
        <v/>
      </c>
      <c r="D660" s="14" t="inlineStr">
        <is>
          <t>E 빅토르 안전가옥 세션</t>
        </is>
      </c>
      <c r="E660" s="13" t="n">
        <v>22677</v>
      </c>
      <c r="F660" s="13" t="n">
        <v>10</v>
      </c>
      <c r="G660" s="15" t="inlineStr">
        <is>
          <t>그날 밤, 알바로가 카밀라에게 이번 작전의 무게에 대해 이야기하며 하루를 마무리합니다.</t>
        </is>
      </c>
    </row>
    <row r="661" ht="28.35" customHeight="1" s="11">
      <c r="A661" s="13" t="n">
        <v>660</v>
      </c>
      <c r="B661" s="13" t="n">
        <v>43</v>
      </c>
      <c r="C661" s="14">
        <f>INDEX('부작 목록'!$C$2:$C$96,B661)</f>
        <v/>
      </c>
      <c r="D661" s="14" t="inlineStr">
        <is>
          <t>E 빅토르 안전가옥 세션</t>
        </is>
      </c>
      <c r="E661" s="13" t="n">
        <v>22690</v>
      </c>
      <c r="F661" s="13" t="n">
        <v>10</v>
      </c>
      <c r="G661" s="15" t="inlineStr">
        <is>
          <t>며칠 후, 마르코스가 봇 계정 분석을 완성해 세션에 합류하며 결정적 수치를 제시합니다.</t>
        </is>
      </c>
    </row>
    <row r="662" ht="28.35" customHeight="1" s="11">
      <c r="A662" s="13" t="n">
        <v>661</v>
      </c>
      <c r="B662" s="13" t="n">
        <v>43</v>
      </c>
      <c r="C662" s="14">
        <f>INDEX('부작 목록'!$C$2:$C$96,B662)</f>
        <v/>
      </c>
      <c r="D662" s="14" t="inlineStr">
        <is>
          <t>E 빅토르 안전가옥 세션</t>
        </is>
      </c>
      <c r="E662" s="13" t="n">
        <v>22703</v>
      </c>
      <c r="F662" s="13" t="n">
        <v>9</v>
      </c>
      <c r="G662" s="15" t="inlineStr">
        <is>
          <t>세 사람과 카밀라, 마르코스가 다음 단계를 확정하며 이번 작전에 대한 세션을 마무리합니다.</t>
        </is>
      </c>
    </row>
    <row r="663" ht="15" customHeight="1" s="11">
      <c r="A663" s="13" t="n">
        <v>662</v>
      </c>
      <c r="B663" s="13" t="n">
        <v>44</v>
      </c>
      <c r="C663" s="14">
        <f>INDEX('부작 목록'!$C$2:$C$96,B663)</f>
        <v/>
      </c>
      <c r="D663" s="14" t="inlineStr">
        <is>
          <t>E 빅토르 안전가옥 세션</t>
        </is>
      </c>
      <c r="E663" s="13" t="n">
        <v>22714</v>
      </c>
      <c r="F663" s="13" t="n">
        <v>26</v>
      </c>
      <c r="G663" s="15" t="inlineStr">
        <is>
          <t>며칠 후, 새로운 세션. 빅토르가 약속대로 '바벨탑 작전'을 설명합니다 — 북방의 교향곡을 유럽 각국 언어로 동시에 복제한 국제 확장판입니다.</t>
        </is>
      </c>
    </row>
    <row r="664" ht="15" customHeight="1" s="11">
      <c r="A664" s="13" t="n">
        <v>663</v>
      </c>
      <c r="B664" s="13" t="n">
        <v>44</v>
      </c>
      <c r="C664" s="14">
        <f>INDEX('부작 목록'!$C$2:$C$96,B664)</f>
        <v/>
      </c>
      <c r="D664" s="14" t="inlineStr">
        <is>
          <t>E 빅토르 안전가옥 세션</t>
        </is>
      </c>
      <c r="E664" s="13" t="n">
        <v>22744</v>
      </c>
      <c r="F664" s="13" t="n">
        <v>25</v>
      </c>
      <c r="G664" s="15" t="inlineStr">
        <is>
          <t>카를로스가 중앙 조율팀의 구조와, 이를 저지하기 위한 유럽 차원의 공조 전략을 캐묻습니다.</t>
        </is>
      </c>
    </row>
    <row r="665" ht="15" customHeight="1" s="11">
      <c r="A665" s="13" t="n">
        <v>664</v>
      </c>
      <c r="B665" s="13" t="n">
        <v>44</v>
      </c>
      <c r="C665" s="14">
        <f>INDEX('부작 목록'!$C$2:$C$96,B665)</f>
        <v/>
      </c>
      <c r="D665" s="14" t="inlineStr">
        <is>
          <t>E 빅토르 안전가옥 세션</t>
        </is>
      </c>
      <c r="E665" s="13" t="n">
        <v>22773</v>
      </c>
      <c r="F665" s="13" t="n">
        <v>18</v>
      </c>
      <c r="G665" s="15" t="inlineStr">
        <is>
          <t>며칠 후, 알바로가 이니고와 연락해 프랑스·독일 언론인과의 접선을 시도합니다. 세션에서 그 결 과를 보고합니다.</t>
        </is>
      </c>
    </row>
    <row r="666" ht="15" customHeight="1" s="11">
      <c r="A666" s="13" t="n">
        <v>665</v>
      </c>
      <c r="B666" s="13" t="n">
        <v>44</v>
      </c>
      <c r="C666" s="14">
        <f>INDEX('부작 목록'!$C$2:$C$96,B666)</f>
        <v/>
      </c>
      <c r="D666" s="14" t="inlineStr">
        <is>
          <t>E 빅토르 안전가옥 세션</t>
        </is>
      </c>
      <c r="E666" s="13" t="n">
        <v>22794</v>
      </c>
      <c r="F666" s="13" t="n">
        <v>22</v>
      </c>
      <c r="G666" s="15" t="inlineStr">
        <is>
          <t>며칠 후, 알바로가 프랑스·독일 기자들과 이니고까지 포함한 화상회의를 진행합니다. 카를로스와 빅토르도 배석합니다.</t>
        </is>
      </c>
    </row>
    <row r="667" ht="15" customHeight="1" s="11">
      <c r="A667" s="13" t="n">
        <v>666</v>
      </c>
      <c r="B667" s="13" t="n">
        <v>44</v>
      </c>
      <c r="C667" s="14">
        <f>INDEX('부작 목록'!$C$2:$C$96,B667)</f>
        <v/>
      </c>
      <c r="D667" s="14" t="inlineStr">
        <is>
          <t>E 빅토르 안전가옥 세션</t>
        </is>
      </c>
      <c r="E667" s="13" t="n">
        <v>22819</v>
      </c>
      <c r="F667" s="13" t="n">
        <v>19</v>
      </c>
      <c r="G667" s="15" t="inlineStr">
        <is>
          <t>다음 세션. 빅토르가 폴란드와 발트해 국가들의 상황에 대해 더 자세히 설명하며, 그 지역의 특 수성을 짚습니다.</t>
        </is>
      </c>
    </row>
    <row r="668" ht="15" customHeight="1" s="11">
      <c r="A668" s="13" t="n">
        <v>667</v>
      </c>
      <c r="B668" s="13" t="n">
        <v>44</v>
      </c>
      <c r="C668" s="14">
        <f>INDEX('부작 목록'!$C$2:$C$96,B668)</f>
        <v/>
      </c>
      <c r="D668" s="14" t="inlineStr">
        <is>
          <t>E 빅토르 안전가옥 세션</t>
        </is>
      </c>
      <c r="E668" s="13" t="n">
        <v>22841</v>
      </c>
      <c r="F668" s="13" t="n">
        <v>20</v>
      </c>
      <c r="G668" s="15" t="inlineStr">
        <is>
          <t>며칠 후, 카밀라가 발트해 지역 자금 흐름 분석 결과를 갖고 세션에 합류합니다.</t>
        </is>
      </c>
    </row>
    <row r="669" ht="15" customHeight="1" s="11">
      <c r="A669" s="13" t="n">
        <v>668</v>
      </c>
      <c r="B669" s="13" t="n">
        <v>44</v>
      </c>
      <c r="C669" s="14">
        <f>INDEX('부작 목록'!$C$2:$C$96,B669)</f>
        <v/>
      </c>
      <c r="D669" s="14" t="inlineStr">
        <is>
          <t>E 빅토르 안전가옥 세션</t>
        </is>
      </c>
      <c r="E669" s="13" t="n">
        <v>22865</v>
      </c>
      <c r="F669" s="13" t="n">
        <v>18</v>
      </c>
      <c r="G669" s="15" t="inlineStr">
        <is>
          <t>알바로가 클라우스와 직접 통화하며 독일 내 상황을 더 파악합니다.</t>
        </is>
      </c>
    </row>
    <row r="670" ht="15" customHeight="1" s="11">
      <c r="A670" s="13" t="n">
        <v>669</v>
      </c>
      <c r="B670" s="13" t="n">
        <v>44</v>
      </c>
      <c r="C670" s="14">
        <f>INDEX('부작 목록'!$C$2:$C$96,B670)</f>
        <v/>
      </c>
      <c r="D670" s="14" t="inlineStr">
        <is>
          <t>E 빅토르 안전가옥 세션</t>
        </is>
      </c>
      <c r="E670" s="13" t="n">
        <v>22886</v>
      </c>
      <c r="F670" s="13" t="n">
        <v>18</v>
      </c>
      <c r="G670" s="15" t="inlineStr">
        <is>
          <t>모든 진행 상황을 정리하는 세션. 세 사람과 카밀라가 지금까지의 국제 공조 상황을 종합합니 다.</t>
        </is>
      </c>
    </row>
    <row r="671" ht="15" customHeight="1" s="11">
      <c r="A671" s="13" t="n">
        <v>670</v>
      </c>
      <c r="B671" s="13" t="n">
        <v>44</v>
      </c>
      <c r="C671" s="14">
        <f>INDEX('부작 목록'!$C$2:$C$96,B671)</f>
        <v/>
      </c>
      <c r="D671" s="14" t="inlineStr">
        <is>
          <t>E 빅토르 안전가옥 세션</t>
        </is>
      </c>
      <c r="E671" s="13" t="n">
        <v>22907</v>
      </c>
      <c r="F671" s="13" t="n">
        <v>17</v>
      </c>
      <c r="G671" s="15" t="inlineStr">
        <is>
          <t>그날 밤, 알바로가 카밀라에게 이번 국제 공조에 대한 소회를 나눕니다.</t>
        </is>
      </c>
    </row>
    <row r="672" ht="41.75" customHeight="1" s="11">
      <c r="A672" s="13" t="n">
        <v>671</v>
      </c>
      <c r="B672" s="13" t="n">
        <v>44</v>
      </c>
      <c r="C672" s="14">
        <f>INDEX('부작 목록'!$C$2:$C$96,B672)</f>
        <v/>
      </c>
      <c r="D672" s="14" t="inlineStr">
        <is>
          <t>E 빅토르 안전가옥 세션</t>
        </is>
      </c>
      <c r="E672" s="13" t="n">
        <v>22927</v>
      </c>
      <c r="F672" s="13" t="n">
        <v>11</v>
      </c>
      <c r="G672" s="15" t="inlineStr">
        <is>
          <t>다음 날 아침, 세션 시작 전 카를로스와 빅토르가 짧게 대화합니다.</t>
        </is>
      </c>
    </row>
    <row r="673" ht="28.35" customHeight="1" s="11">
      <c r="A673" s="13" t="n">
        <v>672</v>
      </c>
      <c r="B673" s="13" t="n">
        <v>44</v>
      </c>
      <c r="C673" s="14">
        <f>INDEX('부작 목록'!$C$2:$C$96,B673)</f>
        <v/>
      </c>
      <c r="D673" s="14" t="inlineStr">
        <is>
          <t>E 빅토르 안전가옥 세션</t>
        </is>
      </c>
      <c r="E673" s="13" t="n">
        <v>22940</v>
      </c>
      <c r="F673" s="13" t="n">
        <v>60</v>
      </c>
      <c r="G673" s="15" t="inlineStr">
        <is>
          <t>두 달 후, 바벨탑 공동취재의 보도 당일 새벽입니다. 알바로와 하비에르가 편집국 회의실에서 8개국 기자들과 화상회의를 열고 엠바고 시각을 앞둔 마지막 점검을 하는데, 이탈리아 매체에 법무팀의 제동이 걸렸다는 소식이 들어옵니다.</t>
        </is>
      </c>
    </row>
    <row r="674" ht="28.35" customHeight="1" s="11">
      <c r="A674" s="13" t="n">
        <v>673</v>
      </c>
      <c r="B674" s="13" t="n">
        <v>45</v>
      </c>
      <c r="C674" s="14">
        <f>INDEX('부작 목록'!$C$2:$C$96,B674)</f>
        <v/>
      </c>
      <c r="D674" s="14" t="inlineStr">
        <is>
          <t>E 빅토르 안전가옥 세션</t>
        </is>
      </c>
      <c r="E674" s="13" t="n">
        <v>23002</v>
      </c>
      <c r="F674" s="13" t="n">
        <v>18</v>
      </c>
      <c r="G674" s="15" t="inlineStr">
        <is>
          <t>새로운 세션. 빅토르가 '마레아 작전'을 설명합니다 — 북방의 교향곡과 바벨탑이 인프라라면, 마레아는 특정 선거를 겨냥해 그 인프라 전체를 가동시키는 실행 단계입니다. 특정 정당이나 후보는 언급하지 않고, 기법 자체에 초점을 맞춥니다.</t>
        </is>
      </c>
    </row>
    <row r="675" ht="28.35" customHeight="1" s="11">
      <c r="A675" s="13" t="n">
        <v>674</v>
      </c>
      <c r="B675" s="13" t="n">
        <v>45</v>
      </c>
      <c r="C675" s="14">
        <f>INDEX('부작 목록'!$C$2:$C$96,B675)</f>
        <v/>
      </c>
      <c r="D675" s="14" t="inlineStr">
        <is>
          <t>E 빅토르 안전가옥 세션</t>
        </is>
      </c>
      <c r="E675" s="13" t="n">
        <v>23024</v>
      </c>
      <c r="F675" s="13" t="n">
        <v>18</v>
      </c>
      <c r="G675" s="15" t="inlineStr">
        <is>
          <t>카를로스가 마레아를 사전에 탐지하고 대응할 구체적 방법을 캐묻습니다.</t>
        </is>
      </c>
    </row>
    <row r="676" ht="15" customHeight="1" s="11">
      <c r="A676" s="13" t="n">
        <v>675</v>
      </c>
      <c r="B676" s="13" t="n">
        <v>45</v>
      </c>
      <c r="C676" s="14">
        <f>INDEX('부작 목록'!$C$2:$C$96,B676)</f>
        <v/>
      </c>
      <c r="D676" s="14" t="inlineStr">
        <is>
          <t>E 빅토르 안전가옥 세션</t>
        </is>
      </c>
      <c r="E676" s="13" t="n">
        <v>23045</v>
      </c>
      <c r="F676" s="13" t="n">
        <v>19</v>
      </c>
      <c r="G676" s="15" t="inlineStr">
        <is>
          <t>며칠 후, 마르코스가 조기 경보 시스템 구축 결과를 세션에 보고합니다.</t>
        </is>
      </c>
    </row>
    <row r="677" ht="15" customHeight="1" s="11">
      <c r="A677" s="13" t="n">
        <v>676</v>
      </c>
      <c r="B677" s="13" t="n">
        <v>45</v>
      </c>
      <c r="C677" s="14">
        <f>INDEX('부작 목록'!$C$2:$C$96,B677)</f>
        <v/>
      </c>
      <c r="D677" s="14" t="inlineStr">
        <is>
          <t>E 빅토르 안전가옥 세션</t>
        </is>
      </c>
      <c r="E677" s="13" t="n">
        <v>23067</v>
      </c>
      <c r="F677" s="13" t="n">
        <v>18</v>
      </c>
      <c r="G677" s="15" t="inlineStr">
        <is>
          <t>일주일 후, 모의 훈련(시뮬레이션)이 실시됩니다. 마르코스가 가상 활성화 신호를 발생시키고, 팀 전체가 실전처럼 대응합니다.</t>
        </is>
      </c>
    </row>
    <row r="678" ht="15" customHeight="1" s="11">
      <c r="A678" s="13" t="n">
        <v>677</v>
      </c>
      <c r="B678" s="13" t="n">
        <v>45</v>
      </c>
      <c r="C678" s="14">
        <f>INDEX('부작 목록'!$C$2:$C$96,B678)</f>
        <v/>
      </c>
      <c r="D678" s="14" t="inlineStr">
        <is>
          <t>E 빅토르 안전가옥 세션</t>
        </is>
      </c>
      <c r="E678" s="13" t="n">
        <v>23088</v>
      </c>
      <c r="F678" s="13" t="n">
        <v>18</v>
      </c>
      <c r="G678" s="15" t="inlineStr">
        <is>
          <t>카를로스가 중앙선거관리위원회 관계자와 사전 협의를 진행하며, 알바로가 배석합니다.</t>
        </is>
      </c>
    </row>
    <row r="679" ht="15" customHeight="1" s="11">
      <c r="A679" s="13" t="n">
        <v>678</v>
      </c>
      <c r="B679" s="13" t="n">
        <v>45</v>
      </c>
      <c r="C679" s="14">
        <f>INDEX('부작 목록'!$C$2:$C$96,B679)</f>
        <v/>
      </c>
      <c r="D679" s="14" t="inlineStr">
        <is>
          <t>E 빅토르 안전가옥 세션</t>
        </is>
      </c>
      <c r="E679" s="13" t="n">
        <v>23109</v>
      </c>
      <c r="F679" s="13" t="n">
        <v>18</v>
      </c>
      <c r="G679" s="15" t="inlineStr">
        <is>
          <t>몇 주 후, 마르코스의 조기경보 시스템이 처음으로 실제 이상 징후를 감지하며 긴장이 고조됩니 다.</t>
        </is>
      </c>
    </row>
    <row r="680" ht="28.35" customHeight="1" s="11">
      <c r="A680" s="13" t="n">
        <v>679</v>
      </c>
      <c r="B680" s="13" t="n">
        <v>45</v>
      </c>
      <c r="C680" s="14">
        <f>INDEX('부작 목록'!$C$2:$C$96,B680)</f>
        <v/>
      </c>
      <c r="D680" s="14" t="inlineStr">
        <is>
          <t>E 빅토르 안전가옥 세션</t>
        </is>
      </c>
      <c r="E680" s="13" t="n">
        <v>23130</v>
      </c>
      <c r="F680" s="13" t="n">
        <v>18</v>
      </c>
      <c r="G680" s="15" t="inlineStr">
        <is>
          <t>다음 날, 하비에르가 검증 결과를 갖고 세션에 합류하며, 초기 대응이 어떻게 진행됐는지 공유 합니다.</t>
        </is>
      </c>
    </row>
    <row r="681" ht="15" customHeight="1" s="11">
      <c r="A681" s="13" t="n">
        <v>680</v>
      </c>
      <c r="B681" s="13" t="n">
        <v>45</v>
      </c>
      <c r="C681" s="14">
        <f>INDEX('부작 목록'!$C$2:$C$96,B681)</f>
        <v/>
      </c>
      <c r="D681" s="14" t="inlineStr">
        <is>
          <t>E 빅토르 안전가옥 세션</t>
        </is>
      </c>
      <c r="E681" s="13" t="n">
        <v>23151</v>
      </c>
      <c r="F681" s="13" t="n">
        <v>19</v>
      </c>
      <c r="G681" s="15" t="inlineStr">
        <is>
          <t>며칠 후, 마르코스가 다른 플랫폼으로 옮겨간 새로운 활동을 확인하며 세션이 이어집니다.</t>
        </is>
      </c>
    </row>
    <row r="682" ht="15" customHeight="1" s="11">
      <c r="A682" s="13" t="n">
        <v>681</v>
      </c>
      <c r="B682" s="13" t="n">
        <v>45</v>
      </c>
      <c r="C682" s="14">
        <f>INDEX('부작 목록'!$C$2:$C$96,B682)</f>
        <v/>
      </c>
      <c r="D682" s="14" t="inlineStr">
        <is>
          <t>E 빅토르 안전가옥 세션</t>
        </is>
      </c>
      <c r="E682" s="13" t="n">
        <v>23173</v>
      </c>
      <c r="F682" s="13" t="n">
        <v>18</v>
      </c>
      <c r="G682" s="15" t="inlineStr">
        <is>
          <t>의회 표결 당일. 팀 전체가 실시간으로 상황을 모니터링하며 대응합니다.</t>
        </is>
      </c>
    </row>
    <row r="683" ht="15" customHeight="1" s="11">
      <c r="A683" s="13" t="n">
        <v>682</v>
      </c>
      <c r="B683" s="13" t="n">
        <v>45</v>
      </c>
      <c r="C683" s="14">
        <f>INDEX('부작 목록'!$C$2:$C$96,B683)</f>
        <v/>
      </c>
      <c r="D683" s="14" t="inlineStr">
        <is>
          <t>E 빅토르 안전가옥 세션</t>
        </is>
      </c>
      <c r="E683" s="13" t="n">
        <v>23194</v>
      </c>
      <c r="F683" s="13" t="n">
        <v>17</v>
      </c>
      <c r="G683" s="15" t="inlineStr">
        <is>
          <t>세션을 마무리하며, 카를로스가 이번 대응이 남긴 교훈과 앞으로의 방향을 정리합니다.</t>
        </is>
      </c>
    </row>
    <row r="684" ht="15" customHeight="1" s="11">
      <c r="A684" s="13" t="n">
        <v>683</v>
      </c>
      <c r="B684" s="13" t="n">
        <v>45</v>
      </c>
      <c r="C684" s="14">
        <f>INDEX('부작 목록'!$C$2:$C$96,B684)</f>
        <v/>
      </c>
      <c r="D684" s="14" t="inlineStr">
        <is>
          <t>E 빅토르 안전가옥 세션</t>
        </is>
      </c>
      <c r="E684" s="13" t="n">
        <v>23214</v>
      </c>
      <c r="F684" s="13" t="n">
        <v>19</v>
      </c>
      <c r="G684" s="15" t="inlineStr">
        <is>
          <t>그날 밤, 알바로가 카밀라에게 오늘 하루를 짧게 전합니다.</t>
        </is>
      </c>
    </row>
    <row r="685" ht="15" customHeight="1" s="11">
      <c r="A685" s="13" t="n">
        <v>684</v>
      </c>
      <c r="B685" s="13" t="n">
        <v>46</v>
      </c>
      <c r="C685" s="14">
        <f>INDEX('부작 목록'!$C$2:$C$96,B685)</f>
        <v/>
      </c>
      <c r="D685" s="14" t="inlineStr">
        <is>
          <t>E 빅토르 안전가옥 세션</t>
        </is>
      </c>
      <c r="E685" s="13" t="n">
        <v>23236</v>
      </c>
      <c r="F685" s="13" t="n">
        <v>25</v>
      </c>
      <c r="G685" s="15" t="inlineStr">
        <is>
          <t>새로운 세션. 빅토르가 '돈키호테 작전'을 밝히기 전, 유독 무거운 표정으로 망설입니다. 알바로가 지금까지 겪었던 '아슬아슬한 추적'들이 사실은 의도된 기만이었다는 사실이 드러나기 시작 합니다.</t>
        </is>
      </c>
    </row>
    <row r="686" ht="15" customHeight="1" s="11">
      <c r="A686" s="13" t="n">
        <v>685</v>
      </c>
      <c r="B686" s="13" t="n">
        <v>46</v>
      </c>
      <c r="C686" s="14">
        <f>INDEX('부작 목록'!$C$2:$C$96,B686)</f>
        <v/>
      </c>
      <c r="D686" s="14" t="inlineStr">
        <is>
          <t>E 빅토르 안전가옥 세션</t>
        </is>
      </c>
      <c r="E686" s="13" t="n">
        <v>23264</v>
      </c>
      <c r="F686" s="13" t="n">
        <v>18</v>
      </c>
      <c r="G686" s="15" t="inlineStr">
        <is>
          <t>알바로가 충격에서 벗어나며, 이 모든 걸 어떻게 받아들여야 할지 정면으로 마주합니다.</t>
        </is>
      </c>
    </row>
    <row r="687" ht="15" customHeight="1" s="11">
      <c r="A687" s="13" t="n">
        <v>686</v>
      </c>
      <c r="B687" s="13" t="n">
        <v>46</v>
      </c>
      <c r="C687" s="14">
        <f>INDEX('부작 목록'!$C$2:$C$96,B687)</f>
        <v/>
      </c>
      <c r="D687" s="14" t="inlineStr">
        <is>
          <t>E 빅토르 안전가옥 세션</t>
        </is>
      </c>
      <c r="E687" s="13" t="n">
        <v>23285</v>
      </c>
      <c r="F687" s="13" t="n">
        <v>14</v>
      </c>
      <c r="G687" s="15" t="inlineStr">
        <is>
          <t>카를로스가 로셀요가 왜 이렇게까지 정교한 기만 작전을 벌이는지, 그 동기를 캐묻습니다.</t>
        </is>
      </c>
    </row>
    <row r="688" ht="15" customHeight="1" s="11">
      <c r="A688" s="13" t="n">
        <v>687</v>
      </c>
      <c r="B688" s="13" t="n">
        <v>46</v>
      </c>
      <c r="C688" s="14">
        <f>INDEX('부작 목록'!$C$2:$C$96,B688)</f>
        <v/>
      </c>
      <c r="D688" s="14" t="inlineStr">
        <is>
          <t>E 빅토르 안전가옥 세션</t>
        </is>
      </c>
      <c r="E688" s="13" t="n">
        <v>23302</v>
      </c>
      <c r="F688" s="13" t="n">
        <v>20</v>
      </c>
      <c r="G688" s="15" t="inlineStr">
        <is>
          <t>알바로가 그날 밤 카밀라에게 이 사실을 전하며, 그녀의 반응과 함께 재검증 작업이 시작됩니 다.</t>
        </is>
      </c>
    </row>
    <row r="689" ht="15" customHeight="1" s="11">
      <c r="A689" s="13" t="n">
        <v>688</v>
      </c>
      <c r="B689" s="13" t="n">
        <v>46</v>
      </c>
      <c r="C689" s="14">
        <f>INDEX('부작 목록'!$C$2:$C$96,B689)</f>
        <v/>
      </c>
      <c r="D689" s="14" t="inlineStr">
        <is>
          <t>E 빅토르 안전가옥 세션</t>
        </is>
      </c>
      <c r="E689" s="13" t="n">
        <v>23325</v>
      </c>
      <c r="F689" s="13" t="n">
        <v>16</v>
      </c>
      <c r="G689" s="15" t="inlineStr">
        <is>
          <t>다음 날, 알바로와 카밀라가 발견한 내용을 세션에서 보고하며, 앞으로의 검증 프로토콜을 논의 합니다.</t>
        </is>
      </c>
    </row>
    <row r="690" ht="41.75" customHeight="1" s="11">
      <c r="A690" s="13" t="n">
        <v>689</v>
      </c>
      <c r="B690" s="13" t="n">
        <v>46</v>
      </c>
      <c r="C690" s="14">
        <f>INDEX('부작 목록'!$C$2:$C$96,B690)</f>
        <v/>
      </c>
      <c r="D690" s="14" t="inlineStr">
        <is>
          <t>E 빅토르 안전가옥 세션</t>
        </is>
      </c>
      <c r="E690" s="13" t="n">
        <v>23344</v>
      </c>
      <c r="F690" s="13" t="n">
        <v>17</v>
      </c>
      <c r="G690" s="15" t="inlineStr">
        <is>
          <t>카를로스가 다른 과거 사건들도 재검토가 필요한지 하나씩 짚어봅니다.</t>
        </is>
      </c>
    </row>
    <row r="691" ht="15" customHeight="1" s="11">
      <c r="A691" s="13" t="n">
        <v>690</v>
      </c>
      <c r="B691" s="13" t="n">
        <v>46</v>
      </c>
      <c r="C691" s="14">
        <f>INDEX('부작 목록'!$C$2:$C$96,B691)</f>
        <v/>
      </c>
      <c r="D691" s="14" t="inlineStr">
        <is>
          <t>E 빅토르 안전가옥 세션</t>
        </is>
      </c>
      <c r="E691" s="13" t="n">
        <v>23364</v>
      </c>
      <c r="F691" s="13" t="n">
        <v>18</v>
      </c>
      <c r="G691" s="15" t="inlineStr">
        <is>
          <t>며칠 후, 마르코스가 누베 이베리카 사건을 재검토한 결과를 갖고 세션에 합류합니다.</t>
        </is>
      </c>
    </row>
    <row r="692" ht="15" customHeight="1" s="11">
      <c r="A692" s="13" t="n">
        <v>691</v>
      </c>
      <c r="B692" s="13" t="n">
        <v>46</v>
      </c>
      <c r="C692" s="14">
        <f>INDEX('부작 목록'!$C$2:$C$96,B692)</f>
        <v/>
      </c>
      <c r="D692" s="14" t="inlineStr">
        <is>
          <t>E 빅토르 안전가옥 세션</t>
        </is>
      </c>
      <c r="E692" s="13" t="n">
        <v>23385</v>
      </c>
      <c r="F692" s="13" t="n">
        <v>18</v>
      </c>
      <c r="G692" s="15" t="inlineStr">
        <is>
          <t>세션 후, 알바로가 카를로스와 단둘이 남아 이번 폭로가 자신에게 미친 개인적 영향을 이야기합 니다.</t>
        </is>
      </c>
    </row>
    <row r="693" ht="28.35" customHeight="1" s="11">
      <c r="A693" s="13" t="n">
        <v>692</v>
      </c>
      <c r="B693" s="13" t="n">
        <v>46</v>
      </c>
      <c r="C693" s="14">
        <f>INDEX('부작 목록'!$C$2:$C$96,B693)</f>
        <v/>
      </c>
      <c r="D693" s="14" t="inlineStr">
        <is>
          <t>E 빅토르 안전가옥 세션</t>
        </is>
      </c>
      <c r="E693" s="13" t="n">
        <v>23406</v>
      </c>
      <c r="F693" s="13" t="n">
        <v>17</v>
      </c>
      <c r="G693" s="15" t="inlineStr">
        <is>
          <t>며칠 후, 팀 전체가 다시 모여 돈키호테 작전에 대한 대응을 최종 정리하며 앞으로 나아갈 결의 를 다집니다.</t>
        </is>
      </c>
    </row>
    <row r="694" ht="15" customHeight="1" s="11">
      <c r="A694" s="13" t="n">
        <v>693</v>
      </c>
      <c r="B694" s="13" t="n">
        <v>46</v>
      </c>
      <c r="C694" s="14">
        <f>INDEX('부작 목록'!$C$2:$C$96,B694)</f>
        <v/>
      </c>
      <c r="D694" s="14" t="inlineStr">
        <is>
          <t>E 빅토르 안전가옥 세션</t>
        </is>
      </c>
      <c r="E694" s="13" t="n">
        <v>23426</v>
      </c>
      <c r="F694" s="13" t="n">
        <v>26</v>
      </c>
      <c r="G694" s="15" t="inlineStr">
        <is>
          <t>그날 밤, 알바로와 카밀라가 조용히 이번 폭로가 남긴 감정을 정리합니다.</t>
        </is>
      </c>
    </row>
    <row r="695" ht="15" customHeight="1" s="11">
      <c r="A695" s="13" t="n">
        <v>694</v>
      </c>
      <c r="B695" s="13" t="n">
        <v>47</v>
      </c>
      <c r="C695" s="14">
        <f>INDEX('부작 목록'!$C$2:$C$96,B695)</f>
        <v/>
      </c>
      <c r="D695" s="14" t="inlineStr">
        <is>
          <t>E 빅토르 안전가옥 세션</t>
        </is>
      </c>
      <c r="E695" s="13" t="n">
        <v>23455</v>
      </c>
      <c r="F695" s="13" t="n">
        <v>28</v>
      </c>
      <c r="G695" s="15" t="inlineStr">
        <is>
          <t>새로운 세션. 빅토르가 '자칼 작전'을 밝힙니다 — 위협이 되는 인물을 제거하는 전담팀이며, 그 리더는 다름 아닌 로셀요의 옛 담당관, 별명 '라 세르피엔테'입니다.</t>
        </is>
      </c>
    </row>
    <row r="696" ht="15" customHeight="1" s="11">
      <c r="A696" s="13" t="n">
        <v>695</v>
      </c>
      <c r="B696" s="13" t="n">
        <v>47</v>
      </c>
      <c r="C696" s="14">
        <f>INDEX('부작 목록'!$C$2:$C$96,B696)</f>
        <v/>
      </c>
      <c r="D696" s="14" t="inlineStr">
        <is>
          <t>E 빅토르 안전가옥 세션</t>
        </is>
      </c>
      <c r="E696" s="13" t="n">
        <v>23486</v>
      </c>
      <c r="F696" s="13" t="n">
        <v>16</v>
      </c>
      <c r="G696" s="15" t="inlineStr">
        <is>
          <t>알바로가 라 세르피엔테와 로셀요 사이의 관계에 대해 더 깊이 캐물으며, 니스에서의 협박도 재 해석됩니다.</t>
        </is>
      </c>
    </row>
    <row r="697" ht="15" customHeight="1" s="11">
      <c r="A697" s="13" t="n">
        <v>696</v>
      </c>
      <c r="B697" s="13" t="n">
        <v>47</v>
      </c>
      <c r="C697" s="14">
        <f>INDEX('부작 목록'!$C$2:$C$96,B697)</f>
        <v/>
      </c>
      <c r="D697" s="14" t="inlineStr">
        <is>
          <t>E 빅토르 안전가옥 세션</t>
        </is>
      </c>
      <c r="E697" s="13" t="n">
        <v>23505</v>
      </c>
      <c r="F697" s="13" t="n">
        <v>16</v>
      </c>
      <c r="G697" s="15" t="inlineStr">
        <is>
          <t>카를로스가 자칼 작전이 팀 전체, 특히 마르코스와 카밀라에게 미칠 수 있는 위협을 평가합니 다.</t>
        </is>
      </c>
    </row>
    <row r="698" ht="15" customHeight="1" s="11">
      <c r="A698" s="13" t="n">
        <v>697</v>
      </c>
      <c r="B698" s="13" t="n">
        <v>47</v>
      </c>
      <c r="C698" s="14">
        <f>INDEX('부작 목록'!$C$2:$C$96,B698)</f>
        <v/>
      </c>
      <c r="D698" s="14" t="inlineStr">
        <is>
          <t>E 빅토르 안전가옥 세션</t>
        </is>
      </c>
      <c r="E698" s="13" t="n">
        <v>23524</v>
      </c>
      <c r="F698" s="13" t="n">
        <v>16</v>
      </c>
      <c r="G698" s="15" t="inlineStr">
        <is>
          <t>알바로가 그날 밤 카밀라에게 자칼 작전에 대해 전하며, 그녀의 안전에 대해 진지하게 이야기합 니다.</t>
        </is>
      </c>
    </row>
    <row r="699" ht="15" customHeight="1" s="11">
      <c r="A699" s="13" t="n">
        <v>698</v>
      </c>
      <c r="B699" s="13" t="n">
        <v>47</v>
      </c>
      <c r="C699" s="14">
        <f>INDEX('부작 목록'!$C$2:$C$96,B699)</f>
        <v/>
      </c>
      <c r="D699" s="14" t="inlineStr">
        <is>
          <t>E 빅토르 안전가옥 세션</t>
        </is>
      </c>
      <c r="E699" s="13" t="n">
        <v>23543</v>
      </c>
      <c r="F699" s="13" t="n">
        <v>20</v>
      </c>
      <c r="G699" s="15" t="inlineStr">
        <is>
          <t>다음 날, 알바로가 도밍고와 안셀모에게 전화해 상황을 알리고 보호 조치를 안내합니다.</t>
        </is>
      </c>
    </row>
    <row r="700" ht="15" customHeight="1" s="11">
      <c r="A700" s="13" t="n">
        <v>699</v>
      </c>
      <c r="B700" s="13" t="n">
        <v>47</v>
      </c>
      <c r="C700" s="14">
        <f>INDEX('부작 목록'!$C$2:$C$96,B700)</f>
        <v/>
      </c>
      <c r="D700" s="14" t="inlineStr">
        <is>
          <t>E 빅토르 안전가옥 세션</t>
        </is>
      </c>
      <c r="E700" s="13" t="n">
        <v>23566</v>
      </c>
      <c r="F700" s="13" t="n">
        <v>17</v>
      </c>
      <c r="G700" s="15" t="inlineStr">
        <is>
          <t>며칠 후, 알바로가 스스로 미행당하는 느낌을 받으며 긴장이 고조됩니다.</t>
        </is>
      </c>
    </row>
    <row r="701" ht="28.35" customHeight="1" s="11">
      <c r="A701" s="13" t="n">
        <v>700</v>
      </c>
      <c r="B701" s="13" t="n">
        <v>47</v>
      </c>
      <c r="C701" s="14">
        <f>INDEX('부작 목록'!$C$2:$C$96,B701)</f>
        <v/>
      </c>
      <c r="D701" s="14" t="inlineStr">
        <is>
          <t>E 빅토르 안전가옥 세션</t>
        </is>
      </c>
      <c r="E701" s="13" t="n">
        <v>23586</v>
      </c>
      <c r="F701" s="13" t="n">
        <v>16</v>
      </c>
      <c r="G701" s="15" t="inlineStr">
        <is>
          <t>안전가옥에서, 빅토르가 이 미행 사건을 분석하며 자칼의 정찰 단계임을 확인합니다.</t>
        </is>
      </c>
    </row>
    <row r="702" ht="15" customHeight="1" s="11">
      <c r="A702" s="13" t="n">
        <v>701</v>
      </c>
      <c r="B702" s="13" t="n">
        <v>47</v>
      </c>
      <c r="C702" s="14">
        <f>INDEX('부작 목록'!$C$2:$C$96,B702)</f>
        <v/>
      </c>
      <c r="D702" s="14" t="inlineStr">
        <is>
          <t>E 빅토르 안전가옥 세션</t>
        </is>
      </c>
      <c r="E702" s="13" t="n">
        <v>23605</v>
      </c>
      <c r="F702" s="13" t="n">
        <v>17</v>
      </c>
      <c r="G702" s="15" t="inlineStr">
        <is>
          <t>카를로스가 자칼 팀 자체를 역으로 추적할 방법을 논의합니다.</t>
        </is>
      </c>
    </row>
    <row r="703" ht="15" customHeight="1" s="11">
      <c r="A703" s="13" t="n">
        <v>702</v>
      </c>
      <c r="B703" s="13" t="n">
        <v>47</v>
      </c>
      <c r="C703" s="14">
        <f>INDEX('부작 목록'!$C$2:$C$96,B703)</f>
        <v/>
      </c>
      <c r="D703" s="14" t="inlineStr">
        <is>
          <t>E 빅토르 안전가옥 세션</t>
        </is>
      </c>
      <c r="E703" s="13" t="n">
        <v>23625</v>
      </c>
      <c r="F703" s="13" t="n">
        <v>17</v>
      </c>
      <c r="G703" s="17" t="inlineStr">
        <is>
          <t>며칠 후, 역정찰 팀이 첫 결과를 보고하며 세션이 재개됩니다.</t>
        </is>
      </c>
    </row>
    <row r="704" ht="15" customHeight="1" s="11">
      <c r="A704" s="13" t="n">
        <v>703</v>
      </c>
      <c r="B704" s="13" t="n">
        <v>47</v>
      </c>
      <c r="C704" s="14">
        <f>INDEX('부작 목록'!$C$2:$C$96,B704)</f>
        <v/>
      </c>
      <c r="D704" s="14" t="inlineStr">
        <is>
          <t>E 빅토르 안전가옥 세션</t>
        </is>
      </c>
      <c r="E704" s="13" t="n">
        <v>23645</v>
      </c>
      <c r="F704" s="13" t="n">
        <v>10</v>
      </c>
      <c r="G704" s="15" t="inlineStr">
        <is>
          <t>세션을 마무리하며, 팀이 앞으로의 경계 태세를 다집니다.</t>
        </is>
      </c>
    </row>
    <row r="705" ht="15" customHeight="1" s="11">
      <c r="A705" s="13" t="n">
        <v>704</v>
      </c>
      <c r="B705" s="13" t="n">
        <v>47</v>
      </c>
      <c r="C705" s="14">
        <f>INDEX('부작 목록'!$C$2:$C$96,B705)</f>
        <v/>
      </c>
      <c r="D705" s="14" t="inlineStr">
        <is>
          <t>E 빅토르 안전가옥 세션</t>
        </is>
      </c>
      <c r="E705" s="13" t="n">
        <v>23658</v>
      </c>
      <c r="F705" s="13" t="n">
        <v>16</v>
      </c>
      <c r="G705" s="17" t="inlineStr">
        <is>
          <t>그날 밤, 알바로와 카밀라가 새로운 경계 속에서도 서로에게 의지하며 하루를 마무리합니다.</t>
        </is>
      </c>
    </row>
    <row r="706" ht="15" customHeight="1" s="11">
      <c r="A706" s="13" t="n">
        <v>705</v>
      </c>
      <c r="B706" s="13" t="n">
        <v>48</v>
      </c>
      <c r="C706" s="14">
        <f>INDEX('부작 목록'!$C$2:$C$96,B706)</f>
        <v/>
      </c>
      <c r="D706" s="14" t="inlineStr">
        <is>
          <t>E 빅토르 안전가옥 세션</t>
        </is>
      </c>
      <c r="E706" s="13" t="n">
        <v>23677</v>
      </c>
      <c r="F706" s="13" t="n">
        <v>17</v>
      </c>
      <c r="G706" s="15" t="inlineStr">
        <is>
          <t>새로운 세션. 빅토르가 '파로 작전'을 소개합니다 — 아직 실행되지 않은, 문서로만 존재하는 계 획입니다. 스페인의 해상풍력 등 재생에너지 인프라 입찰에 위장 컨소시엄을 침투시켜, 장기적 으로 전력망 일부 통제권을 확보하려는 계획입니다.</t>
        </is>
      </c>
    </row>
    <row r="707" ht="15" customHeight="1" s="11">
      <c r="A707" s="13" t="n">
        <v>706</v>
      </c>
      <c r="B707" s="13" t="n">
        <v>48</v>
      </c>
      <c r="C707" s="14">
        <f>INDEX('부작 목록'!$C$2:$C$96,B707)</f>
        <v/>
      </c>
      <c r="D707" s="14" t="inlineStr">
        <is>
          <t>E 빅토르 안전가옥 세션</t>
        </is>
      </c>
      <c r="E707" s="13" t="n">
        <v>23697</v>
      </c>
      <c r="F707" s="13" t="n">
        <v>14</v>
      </c>
      <c r="G707" s="15" t="inlineStr">
        <is>
          <t>카를로스가 위장 컨소시엄의 구체적 구조를 캐묻습니다.</t>
        </is>
      </c>
    </row>
    <row r="708" ht="15" customHeight="1" s="11">
      <c r="A708" s="13" t="n">
        <v>707</v>
      </c>
      <c r="B708" s="13" t="n">
        <v>48</v>
      </c>
      <c r="C708" s="14">
        <f>INDEX('부작 목록'!$C$2:$C$96,B708)</f>
        <v/>
      </c>
      <c r="D708" s="14" t="inlineStr">
        <is>
          <t>E 빅토르 안전가옥 세션</t>
        </is>
      </c>
      <c r="E708" s="13" t="n">
        <v>23714</v>
      </c>
      <c r="F708" s="13" t="n">
        <v>18</v>
      </c>
      <c r="G708" s="15" t="inlineStr">
        <is>
          <t>카를로스가 아직 실행 전인 이 계획을 어떻게 저지할지 구체적으로 논의합니다.</t>
        </is>
      </c>
    </row>
    <row r="709" ht="15" customHeight="1" s="11">
      <c r="A709" s="13" t="n">
        <v>708</v>
      </c>
      <c r="B709" s="13" t="n">
        <v>48</v>
      </c>
      <c r="C709" s="14">
        <f>INDEX('부작 목록'!$C$2:$C$96,B709)</f>
        <v/>
      </c>
      <c r="D709" s="14" t="inlineStr">
        <is>
          <t>E 빅토르 안전가옥 세션</t>
        </is>
      </c>
      <c r="E709" s="13" t="n">
        <v>23735</v>
      </c>
      <c r="F709" s="13" t="n">
        <v>58</v>
      </c>
      <c r="G709" s="15" t="inlineStr">
        <is>
          <t>이틀 후, 파로 작전 회의에 앞서 카밀라와 마르코스가 몇 주째 붙잡고 있던 미네르바의 '세 번째 후보' 분석 결과를 세션에 가져옵니다. 빅토르의 오래된 기억이 마지막 조각을 맞추고, 카를로스는 그 자료를 경찰과 원자력안전위원회(CSN)에 넘깁니다.</t>
        </is>
      </c>
    </row>
    <row r="710" ht="15" customHeight="1" s="11">
      <c r="A710" s="13" t="n">
        <v>709</v>
      </c>
      <c r="B710" s="13" t="n">
        <v>48</v>
      </c>
      <c r="C710" s="14">
        <f>INDEX('부작 목록'!$C$2:$C$96,B710)</f>
        <v/>
      </c>
      <c r="D710" s="14" t="inlineStr">
        <is>
          <t>E 빅토르 안전가옥 세션</t>
        </is>
      </c>
      <c r="E710" s="13" t="n">
        <v>23795</v>
      </c>
      <c r="F710" s="13" t="n">
        <v>59</v>
      </c>
      <c r="G710" s="15" t="inlineStr">
        <is>
          <t>며칠 후, 세션이 끝나고 카밀라와 마르코스가 먼저 자리를 뜨자, 빅토르가 서류가방에서 갈색 봉투 하나를 꺼냅니다. '영원의 도서관'에 있다던 '스페인 탐사기자 한 명'의 파일 사본, 바로 알바로의 파일입니다. 그날 밤, 알바로는 카밀라와 함께 자신에 대해 수집된 기록을 한 장씩 읽어 내려갑니다.</t>
        </is>
      </c>
    </row>
    <row r="711" ht="28.35" customHeight="1" s="11">
      <c r="A711" s="13" t="n">
        <v>710</v>
      </c>
      <c r="B711" s="13" t="n">
        <v>48</v>
      </c>
      <c r="C711" s="14">
        <f>INDEX('부작 목록'!$C$2:$C$96,B711)</f>
        <v/>
      </c>
      <c r="D711" s="14" t="inlineStr">
        <is>
          <t>E 빅토르 안전가옥 세션</t>
        </is>
      </c>
      <c r="E711" s="13" t="n">
        <v>23856</v>
      </c>
      <c r="F711" s="13" t="n">
        <v>17</v>
      </c>
      <c r="G711" s="15" t="inlineStr">
        <is>
          <t>며칠 후, 카밀라가 더블린 펀드에 대한 초기 분석 결과를 세션에 보고합니다.</t>
        </is>
      </c>
    </row>
    <row r="712" ht="15" customHeight="1" s="11">
      <c r="A712" s="13" t="n">
        <v>711</v>
      </c>
      <c r="B712" s="13" t="n">
        <v>48</v>
      </c>
      <c r="C712" s="14">
        <f>INDEX('부작 목록'!$C$2:$C$96,B712)</f>
        <v/>
      </c>
      <c r="D712" s="14" t="inlineStr">
        <is>
          <t>E 빅토르 안전가옥 세션</t>
        </is>
      </c>
      <c r="E712" s="13" t="n">
        <v>23876</v>
      </c>
      <c r="F712" s="13" t="n">
        <v>15</v>
      </c>
      <c r="G712" s="15" t="inlineStr">
        <is>
          <t>며칠 후, 마르코스가 다른 유럽 국가에서의 유사 입찰 패턴을 발견하며 세션에 합류합니다.</t>
        </is>
      </c>
    </row>
    <row r="713" ht="15" customHeight="1" s="11">
      <c r="A713" s="13" t="n">
        <v>712</v>
      </c>
      <c r="B713" s="13" t="n">
        <v>48</v>
      </c>
      <c r="C713" s="14">
        <f>INDEX('부작 목록'!$C$2:$C$96,B713)</f>
        <v/>
      </c>
      <c r="D713" s="14" t="inlineStr">
        <is>
          <t>E 빅토르 안전가옥 세션</t>
        </is>
      </c>
      <c r="E713" s="13" t="n">
        <v>23894</v>
      </c>
      <c r="F713" s="13" t="n">
        <v>8</v>
      </c>
      <c r="G713" s="15" t="inlineStr">
        <is>
          <t>알바로가 환경부 담당 부서와의 접촉을 준비하며, 세션에서 접근 전략을 논의합니다.</t>
        </is>
      </c>
    </row>
    <row r="714" ht="15" customHeight="1" s="11">
      <c r="A714" s="13" t="n">
        <v>713</v>
      </c>
      <c r="B714" s="13" t="n">
        <v>48</v>
      </c>
      <c r="C714" s="14">
        <f>INDEX('부작 목록'!$C$2:$C$96,B714)</f>
        <v/>
      </c>
      <c r="D714" s="14" t="inlineStr">
        <is>
          <t>E 빅토르 안전가옥 세션</t>
        </is>
      </c>
      <c r="E714" s="13" t="n">
        <v>23904</v>
      </c>
      <c r="F714" s="13" t="n">
        <v>14</v>
      </c>
      <c r="G714" s="15" t="inlineStr">
        <is>
          <t>다음 날, 알바로가 부처 담당자와의 통화 결과를 세션에 보고합니다.</t>
        </is>
      </c>
    </row>
    <row r="715" ht="15" customHeight="1" s="11">
      <c r="A715" s="13" t="n">
        <v>714</v>
      </c>
      <c r="B715" s="13" t="n">
        <v>48</v>
      </c>
      <c r="C715" s="14">
        <f>INDEX('부작 목록'!$C$2:$C$96,B715)</f>
        <v/>
      </c>
      <c r="D715" s="14" t="inlineStr">
        <is>
          <t>E 빅토르 안전가옥 세션</t>
        </is>
      </c>
      <c r="E715" s="13" t="n">
        <v>23921</v>
      </c>
      <c r="F715" s="13" t="n">
        <v>16</v>
      </c>
      <c r="G715" s="15" t="inlineStr">
        <is>
          <t>2주 후, 카밀라가 완성된 분석 결과를 갖고 세션에 합류하며 결정적 증거를 제시합니다.</t>
        </is>
      </c>
    </row>
    <row r="716" ht="15" customHeight="1" s="11">
      <c r="A716" s="13" t="n">
        <v>715</v>
      </c>
      <c r="B716" s="13" t="n">
        <v>48</v>
      </c>
      <c r="C716" s="14">
        <f>INDEX('부작 목록'!$C$2:$C$96,B716)</f>
        <v/>
      </c>
      <c r="D716" s="14" t="inlineStr">
        <is>
          <t>E 빅토르 안전가옥 세션</t>
        </is>
      </c>
      <c r="E716" s="13" t="n">
        <v>23941</v>
      </c>
      <c r="F716" s="13" t="n">
        <v>17</v>
      </c>
      <c r="G716" s="15" t="inlineStr">
        <is>
          <t>며칠 후, 알바로와 카밀라가 베아트리스 솔라노와 공식 회의를 갖습니다.</t>
        </is>
      </c>
    </row>
    <row r="717" ht="15" customHeight="1" s="11">
      <c r="A717" s="13" t="n">
        <v>716</v>
      </c>
      <c r="B717" s="13" t="n">
        <v>48</v>
      </c>
      <c r="C717" s="14">
        <f>INDEX('부작 목록'!$C$2:$C$96,B717)</f>
        <v/>
      </c>
      <c r="D717" s="14" t="inlineStr">
        <is>
          <t>E 빅토르 안전가옥 세션</t>
        </is>
      </c>
      <c r="E717" s="13" t="n">
        <v>23961</v>
      </c>
      <c r="F717" s="13" t="n">
        <v>16</v>
      </c>
      <c r="G717" s="15" t="inlineStr">
        <is>
          <t>3주 후, 카를로스가 최종 결과를 세션에 보고합니다.</t>
        </is>
      </c>
    </row>
    <row r="718" ht="15" customHeight="1" s="11">
      <c r="A718" s="13" t="n">
        <v>717</v>
      </c>
      <c r="B718" s="13" t="n">
        <v>48</v>
      </c>
      <c r="C718" s="14">
        <f>INDEX('부작 목록'!$C$2:$C$96,B718)</f>
        <v/>
      </c>
      <c r="D718" s="14" t="inlineStr">
        <is>
          <t>E 빅토르 안전가옥 세션</t>
        </is>
      </c>
      <c r="E718" s="13" t="n">
        <v>23981</v>
      </c>
      <c r="F718" s="13" t="n">
        <v>7</v>
      </c>
      <c r="G718" s="15" t="inlineStr">
        <is>
          <t>며칠 후, 알바로가 베아트리스에게 감사 인사를 전하며 향후 협력 가능성을 열어둡니다.</t>
        </is>
      </c>
    </row>
    <row r="719" ht="15" customHeight="1" s="11">
      <c r="A719" s="13" t="n">
        <v>718</v>
      </c>
      <c r="B719" s="13" t="n">
        <v>48</v>
      </c>
      <c r="C719" s="14">
        <f>INDEX('부작 목록'!$C$2:$C$96,B719)</f>
        <v/>
      </c>
      <c r="D719" s="14" t="inlineStr">
        <is>
          <t>E 빅토르 안전가옥 세션</t>
        </is>
      </c>
      <c r="E719" s="13" t="n">
        <v>23990</v>
      </c>
      <c r="F719" s="13" t="n">
        <v>9</v>
      </c>
      <c r="G719" s="15" t="inlineStr">
        <is>
          <t>며칠 후, 마르코스가 포르투갈 쪽에서 얻은 추가 정보를 세션에 공유합니다.</t>
        </is>
      </c>
    </row>
    <row r="720" ht="15" customHeight="1" s="11">
      <c r="A720" s="13" t="n">
        <v>719</v>
      </c>
      <c r="B720" s="13" t="n">
        <v>48</v>
      </c>
      <c r="C720" s="14">
        <f>INDEX('부작 목록'!$C$2:$C$96,B720)</f>
        <v/>
      </c>
      <c r="D720" s="14" t="inlineStr">
        <is>
          <t>E 빅토르 안전가옥 세션</t>
        </is>
      </c>
      <c r="E720" s="13" t="n">
        <v>24002</v>
      </c>
      <c r="F720" s="13" t="n">
        <v>10</v>
      </c>
      <c r="G720" s="15" t="inlineStr">
        <is>
          <t>그날 밤, 알바로와 카밀라가 조용한 저녁으로 이번 성공을 자축합니다.</t>
        </is>
      </c>
    </row>
    <row r="721" ht="15" customHeight="1" s="11">
      <c r="A721" s="13" t="n">
        <v>720</v>
      </c>
      <c r="B721" s="13" t="n">
        <v>48</v>
      </c>
      <c r="C721" s="14">
        <f>INDEX('부작 목록'!$C$2:$C$96,B721)</f>
        <v/>
      </c>
      <c r="D721" s="14" t="inlineStr">
        <is>
          <t>E 빅토르 안전가옥 세션</t>
        </is>
      </c>
      <c r="E721" s="13" t="n">
        <v>24014</v>
      </c>
      <c r="F721" s="13" t="n">
        <v>27</v>
      </c>
      <c r="G721" s="15" t="inlineStr">
        <is>
          <t>다음 세션에서, 알바로가 빅토르에게 개인적으로 감사를 전합니다.</t>
        </is>
      </c>
    </row>
    <row r="722" ht="41.75" customHeight="1" s="11">
      <c r="A722" s="13" t="n">
        <v>721</v>
      </c>
      <c r="B722" s="13" t="n">
        <v>49</v>
      </c>
      <c r="C722" s="14">
        <f>INDEX('부작 목록'!$C$2:$C$96,B722)</f>
        <v/>
      </c>
      <c r="D722" s="14" t="inlineStr">
        <is>
          <t>E 빅토르 안전가옥 세션</t>
        </is>
      </c>
      <c r="E722" s="13" t="n">
        <v>24045</v>
      </c>
      <c r="F722" s="13" t="n">
        <v>17</v>
      </c>
      <c r="G722" s="15" t="inlineStr">
        <is>
          <t>새로운 세션. 빅토르가 마지막 작전, '불꽃 작전'을 밝힙니다 — 조직이 궁지에 몰렸다고 느낄 때 발동되는 증거·증인 소각 프로토콜입니다. 지금까지 폭로해온 모든 것 때문에, 이미 발동 직전이 라는 긴박한 경고로 시작됩니다.</t>
        </is>
      </c>
    </row>
    <row r="723" ht="15" customHeight="1" s="11">
      <c r="A723" s="13" t="n">
        <v>722</v>
      </c>
      <c r="B723" s="13" t="n">
        <v>49</v>
      </c>
      <c r="C723" s="14">
        <f>INDEX('부작 목록'!$C$2:$C$96,B723)</f>
        <v/>
      </c>
      <c r="D723" s="14" t="inlineStr">
        <is>
          <t>E 빅토르 안전가옥 세션</t>
        </is>
      </c>
      <c r="E723" s="13" t="n">
        <v>24065</v>
      </c>
      <c r="F723" s="13" t="n">
        <v>18</v>
      </c>
      <c r="G723" s="15" t="inlineStr">
        <is>
          <t>카를로스가 실시간으로 각 협력자에 대한 긴급 보호 조치를 지시합니다.</t>
        </is>
      </c>
    </row>
    <row r="724" ht="15" customHeight="1" s="11">
      <c r="A724" s="13" t="n">
        <v>723</v>
      </c>
      <c r="B724" s="13" t="n">
        <v>49</v>
      </c>
      <c r="C724" s="14">
        <f>INDEX('부작 목록'!$C$2:$C$96,B724)</f>
        <v/>
      </c>
      <c r="D724" s="14" t="inlineStr">
        <is>
          <t>E 빅토르 안전가옥 세션</t>
        </is>
      </c>
      <c r="E724" s="13" t="n">
        <v>24086</v>
      </c>
      <c r="F724" s="13" t="n">
        <v>18</v>
      </c>
      <c r="G724" s="15" t="inlineStr">
        <is>
          <t>긴박한 순간들이 흐르고, 도밍고와 안셀모의 안전 확보 소식이 전해집니다.</t>
        </is>
      </c>
    </row>
    <row r="725" ht="15" customHeight="1" s="11">
      <c r="A725" s="13" t="n">
        <v>724</v>
      </c>
      <c r="B725" s="13" t="n">
        <v>49</v>
      </c>
      <c r="C725" s="14">
        <f>INDEX('부작 목록'!$C$2:$C$96,B725)</f>
        <v/>
      </c>
      <c r="D725" s="14" t="inlineStr">
        <is>
          <t>E 빅토르 안전가옥 세션</t>
        </is>
      </c>
      <c r="E725" s="13" t="n">
        <v>24107</v>
      </c>
      <c r="F725" s="13" t="n">
        <v>11</v>
      </c>
      <c r="G725" s="15" t="inlineStr">
        <is>
          <t>카밀라와 마르코스가 안전가옥에 도착하며, 카를로스가 시설 전체 보안을 강화합니다.</t>
        </is>
      </c>
    </row>
    <row r="726" ht="15" customHeight="1" s="11">
      <c r="A726" s="13" t="n">
        <v>725</v>
      </c>
      <c r="B726" s="13" t="n">
        <v>49</v>
      </c>
      <c r="C726" s="14">
        <f>INDEX('부작 목록'!$C$2:$C$96,B726)</f>
        <v/>
      </c>
      <c r="D726" s="14" t="inlineStr">
        <is>
          <t>E 빅토르 안전가옥 세션</t>
        </is>
      </c>
      <c r="E726" s="13" t="n">
        <v>24120</v>
      </c>
      <c r="F726" s="13" t="n">
        <v>18</v>
      </c>
      <c r="G726" s="15" t="inlineStr">
        <is>
          <t>빅토르가 위험을 감수하고 옛 연락망을 통해 상황을 파악하려 시도합니다.</t>
        </is>
      </c>
    </row>
    <row r="727" ht="15" customHeight="1" s="11">
      <c r="A727" s="13" t="n">
        <v>726</v>
      </c>
      <c r="B727" s="13" t="n">
        <v>49</v>
      </c>
      <c r="C727" s="14">
        <f>INDEX('부작 목록'!$C$2:$C$96,B727)</f>
        <v/>
      </c>
      <c r="D727" s="14" t="inlineStr">
        <is>
          <t>E 빅토르 안전가옥 세션</t>
        </is>
      </c>
      <c r="E727" s="13" t="n">
        <v>24141</v>
      </c>
      <c r="F727" s="13" t="n">
        <v>9</v>
      </c>
      <c r="G727" s="15" t="inlineStr">
        <is>
          <t>카를로스가 베르메호와 베르호벤이 수감된 시설의 보안 강화 상황을 확인합니다.</t>
        </is>
      </c>
    </row>
    <row r="728" ht="15" customHeight="1" s="11">
      <c r="A728" s="13" t="n">
        <v>727</v>
      </c>
      <c r="B728" s="13" t="n">
        <v>49</v>
      </c>
      <c r="C728" s="14">
        <f>INDEX('부작 목록'!$C$2:$C$96,B728)</f>
        <v/>
      </c>
      <c r="D728" s="14" t="inlineStr">
        <is>
          <t>E 빅토르 안전가옥 세션</t>
        </is>
      </c>
      <c r="E728" s="13" t="n">
        <v>24153</v>
      </c>
      <c r="F728" s="13" t="n">
        <v>10</v>
      </c>
      <c r="G728" s="15" t="inlineStr">
        <is>
          <t>그날 밤, 안전가옥에서 모두가 뜬눈으로 상황을 지켜보며 긴장된 시간을 보냅니다.</t>
        </is>
      </c>
    </row>
    <row r="729" ht="15" customHeight="1" s="11">
      <c r="A729" s="13" t="n">
        <v>728</v>
      </c>
      <c r="B729" s="13" t="n">
        <v>49</v>
      </c>
      <c r="C729" s="14">
        <f>INDEX('부작 목록'!$C$2:$C$96,B729)</f>
        <v/>
      </c>
      <c r="D729" s="14" t="inlineStr">
        <is>
          <t>E 빅토르 안전가옥 세션</t>
        </is>
      </c>
      <c r="E729" s="13" t="n">
        <v>24165</v>
      </c>
      <c r="F729" s="13" t="n">
        <v>10</v>
      </c>
      <c r="G729" s="15" t="inlineStr">
        <is>
          <t>긴장된 밤중에, 알바로와 카밀라가 조용히 서로에게 의지하며 대화를 나눕니다.</t>
        </is>
      </c>
    </row>
    <row r="730" ht="15" customHeight="1" s="11">
      <c r="A730" s="13" t="n">
        <v>729</v>
      </c>
      <c r="B730" s="13" t="n">
        <v>49</v>
      </c>
      <c r="C730" s="14">
        <f>INDEX('부작 목록'!$C$2:$C$96,B730)</f>
        <v/>
      </c>
      <c r="D730" s="14" t="inlineStr">
        <is>
          <t>E 빅토르 안전가옥 세션</t>
        </is>
      </c>
      <c r="E730" s="13" t="n">
        <v>24178</v>
      </c>
      <c r="F730" s="13" t="n">
        <v>21</v>
      </c>
      <c r="G730" s="15" t="inlineStr">
        <is>
          <t>새벽녘, 마르코스가 시스템에서 이상 활동을 감지하며 새로운 긴장이 발생합니다.</t>
        </is>
      </c>
    </row>
    <row r="731" ht="15" customHeight="1" s="11">
      <c r="A731" s="13" t="n">
        <v>730</v>
      </c>
      <c r="B731" s="13" t="n">
        <v>49</v>
      </c>
      <c r="C731" s="14">
        <f>INDEX('부작 목록'!$C$2:$C$96,B731)</f>
        <v/>
      </c>
      <c r="D731" s="14" t="inlineStr">
        <is>
          <t>E 빅토르 안전가옥 세션</t>
        </is>
      </c>
      <c r="E731" s="13" t="n">
        <v>24202</v>
      </c>
      <c r="F731" s="13" t="n">
        <v>11</v>
      </c>
      <c r="G731" s="15" t="inlineStr">
        <is>
          <t>며칠 후, 알바로가 임시 안전 시설에서 도밍고와 안셀모를 방문합니다.</t>
        </is>
      </c>
    </row>
    <row r="732" ht="15" customHeight="1" s="11">
      <c r="A732" s="13" t="n">
        <v>731</v>
      </c>
      <c r="B732" s="13" t="n">
        <v>49</v>
      </c>
      <c r="C732" s="14">
        <f>INDEX('부작 목록'!$C$2:$C$96,B732)</f>
        <v/>
      </c>
      <c r="D732" s="14" t="inlineStr">
        <is>
          <t>E 빅토르 안전가옥 세션</t>
        </is>
      </c>
      <c r="E732" s="13" t="n">
        <v>24216</v>
      </c>
      <c r="F732" s="13" t="n">
        <v>9</v>
      </c>
      <c r="G732" s="15" t="inlineStr">
        <is>
          <t>몇 주 후, 위기가 진정되며 세 사람과 카밀라, 마르코스가 지금까지 밝혀진 모든 작전을 종합 정리하는 마지막 세션을 갖습니다.</t>
        </is>
      </c>
    </row>
    <row r="733" ht="15" customHeight="1" s="11">
      <c r="A733" s="13" t="n">
        <v>732</v>
      </c>
      <c r="B733" s="13" t="n">
        <v>49</v>
      </c>
      <c r="C733" s="14">
        <f>INDEX('부작 목록'!$C$2:$C$96,B733)</f>
        <v/>
      </c>
      <c r="D733" s="14" t="inlineStr">
        <is>
          <t>E 빅토르 안전가옥 세션</t>
        </is>
      </c>
      <c r="E733" s="13" t="n">
        <v>24227</v>
      </c>
      <c r="F733" s="13" t="n">
        <v>10</v>
      </c>
      <c r="G733" s="15" t="inlineStr">
        <is>
          <t>카를로스가 이제 다음 단계, 즉 로셀요 검거를 향한 본격적인 준비를 제안합니다.</t>
        </is>
      </c>
    </row>
    <row r="734" ht="15" customHeight="1" s="11">
      <c r="A734" s="13" t="n">
        <v>733</v>
      </c>
      <c r="B734" s="13" t="n">
        <v>49</v>
      </c>
      <c r="C734" s="14">
        <f>INDEX('부작 목록'!$C$2:$C$96,B734)</f>
        <v/>
      </c>
      <c r="D734" s="14" t="inlineStr">
        <is>
          <t>E 빅토르 안전가옥 세션</t>
        </is>
      </c>
      <c r="E734" s="13" t="n">
        <v>24240</v>
      </c>
      <c r="F734" s="13" t="n">
        <v>10</v>
      </c>
      <c r="G734" s="15" t="inlineStr">
        <is>
          <t>세션이 끝나갈 무렵, 빅토르가 지금까지의 여정에 대한 깊은 소회를 나눕니다.</t>
        </is>
      </c>
    </row>
    <row r="735" ht="15" customHeight="1" s="11">
      <c r="A735" s="13" t="n">
        <v>734</v>
      </c>
      <c r="B735" s="13" t="n">
        <v>49</v>
      </c>
      <c r="C735" s="14">
        <f>INDEX('부작 목록'!$C$2:$C$96,B735)</f>
        <v/>
      </c>
      <c r="D735" s="14" t="inlineStr">
        <is>
          <t>E 빅토르 안전가옥 세션</t>
        </is>
      </c>
      <c r="E735" s="13" t="n">
        <v>24253</v>
      </c>
      <c r="F735" s="13" t="n">
        <v>29</v>
      </c>
      <c r="G735" s="15" t="inlineStr">
        <is>
          <t>그날 밤, 알바로와 카밀라가 마침내 조금은 평온한 저녁을 함께합니다.</t>
        </is>
      </c>
    </row>
    <row r="736" ht="28.35" customHeight="1" s="11">
      <c r="A736" s="13" t="n">
        <v>735</v>
      </c>
      <c r="B736" s="13" t="n">
        <v>50</v>
      </c>
      <c r="C736" s="14">
        <f>INDEX('부작 목록'!$C$2:$C$96,B736)</f>
        <v/>
      </c>
      <c r="D736" s="14" t="inlineStr">
        <is>
          <t>E 빅토르 안전가옥 세션</t>
        </is>
      </c>
      <c r="E736" s="13" t="n">
        <v>24285</v>
      </c>
      <c r="F736" s="13" t="n">
        <v>50</v>
      </c>
      <c r="G736" s="15" t="inlineStr">
        <is>
          <t>새로운 시리즈 시작. 궁지에 몰린 로셀요가 급전 마련을 위해 직접 개입한 온라인 투자사기 조직을 빅토르가 밝힙니다 — 텔레그램 '리딩방'을 통한 폰지 스킴입니다. 빅토르는 휴대전화 화면에 띄운 광고 캡처를 보여 주며, 그 화려한 겉모습 뒤에 숨은 구조를 하나씩 설명합니다.</t>
        </is>
      </c>
    </row>
    <row r="737" ht="15" customHeight="1" s="11">
      <c r="A737" s="13" t="n">
        <v>736</v>
      </c>
      <c r="B737" s="13" t="n">
        <v>50</v>
      </c>
      <c r="C737" s="14">
        <f>INDEX('부작 목록'!$C$2:$C$96,B737)</f>
        <v/>
      </c>
      <c r="D737" s="14" t="inlineStr">
        <is>
          <t>E 빅토르 안전가옥 세션</t>
        </is>
      </c>
      <c r="E737" s="13" t="n">
        <v>24337</v>
      </c>
      <c r="F737" s="13" t="n">
        <v>50</v>
      </c>
      <c r="G737" s="15" t="inlineStr">
        <is>
          <t>카밀라가 세션에 합류해 다섯 개 채널의 자금 흐름을 추적하기 시작합니다. 그녀는 블록체인 탐색기와 은행 송금 기록을 나란히 띄워 놓고, 서로 다른 채널의 돈이 같은 곳으로 흘러드는 순간을 짚어 냅니다.</t>
        </is>
      </c>
    </row>
    <row r="738" ht="15" customHeight="1" s="11">
      <c r="A738" s="13" t="n">
        <v>737</v>
      </c>
      <c r="B738" s="13" t="n">
        <v>50</v>
      </c>
      <c r="C738" s="14">
        <f>INDEX('부작 목록'!$C$2:$C$96,B738)</f>
        <v/>
      </c>
      <c r="D738" s="14" t="inlineStr">
        <is>
          <t>E 빅토르 안전가옥 세션</t>
        </is>
      </c>
      <c r="E738" s="13" t="n">
        <v>24389</v>
      </c>
      <c r="F738" s="13" t="n">
        <v>50</v>
      </c>
      <c r="G738" s="15" t="inlineStr">
        <is>
          <t>하비에르가 피해자 한 명을 인터뷰하며, 이 사기가 실제 사람들에게 미친 피해를 취재합니다. 오십 대 후반의 남성은 휴대전화에 남은 채팅 기록과 송금 영수증을 보여 주며, 처음엔 모든 것이 얼마나 그럴듯해 보였는지를 이야기합니다.</t>
        </is>
      </c>
    </row>
    <row r="739" ht="15" customHeight="1" s="11">
      <c r="A739" s="13" t="n">
        <v>738</v>
      </c>
      <c r="B739" s="13" t="n">
        <v>50</v>
      </c>
      <c r="C739" s="14">
        <f>INDEX('부작 목록'!$C$2:$C$96,B739)</f>
        <v/>
      </c>
      <c r="D739" s="14" t="inlineStr">
        <is>
          <t>E 빅토르 안전가옥 세션</t>
        </is>
      </c>
      <c r="E739" s="13" t="n">
        <v>24441</v>
      </c>
      <c r="F739" s="13" t="n">
        <v>48</v>
      </c>
      <c r="G739" s="15" t="inlineStr">
        <is>
          <t>일주일 후, 카밀라가 완성된 분석을 보고하며, 법원의 계좌 동결 승인을 확인합니다. 판사의 서명이 담긴 명령서와 카밀라의 자금 흐름도가 테이블 위에 나란히 놓이고, 팀은 다음 날 아침의 동시 작전을 분 단위로 맞춥니다.</t>
        </is>
      </c>
    </row>
    <row r="740" ht="15" customHeight="1" s="11">
      <c r="A740" s="13" t="n">
        <v>739</v>
      </c>
      <c r="B740" s="13" t="n">
        <v>50</v>
      </c>
      <c r="C740" s="14">
        <f>INDEX('부작 목록'!$C$2:$C$96,B740)</f>
        <v/>
      </c>
      <c r="D740" s="14" t="inlineStr">
        <is>
          <t>E 빅토르 안전가옥 세션</t>
        </is>
      </c>
      <c r="E740" s="13" t="n">
        <v>24491</v>
      </c>
      <c r="F740" s="13" t="n">
        <v>49</v>
      </c>
      <c r="G740" s="15" t="inlineStr">
        <is>
          <t>세션이 재개됩니다. 빅토르가 로셀요와 연결된 국제 장기매매 브로커 조직을 밝힙니다. 지금까지 다룬 것 중 가장 인간의 존엄을 직접적으로 해치는 범죄로, 세 사람 모두 무거운 침묵 속에 대화를 시작합니다. 빅토르는 평소와 달리 자료를 바로 꺼내지 않고, 한참 동안 손에 쥔 채 말을 고릅니다.</t>
        </is>
      </c>
    </row>
    <row r="741" ht="15" customHeight="1" s="11">
      <c r="A741" s="13" t="n">
        <v>740</v>
      </c>
      <c r="B741" s="13" t="n">
        <v>50</v>
      </c>
      <c r="C741" s="14">
        <f>INDEX('부작 목록'!$C$2:$C$96,B741)</f>
        <v/>
      </c>
      <c r="D741" s="14" t="inlineStr">
        <is>
          <t>E 빅토르 안전가옥 세션</t>
        </is>
      </c>
      <c r="E741" s="13" t="n">
        <v>24542</v>
      </c>
      <c r="F741" s="13" t="n">
        <v>48</v>
      </c>
      <c r="G741" s="15" t="inlineStr">
        <is>
          <t>카밀라가 이 사건의 심각성에 감정적으로 반응하며, 국제 인신매매 전담 기구와의 협조를 제안합니다. 그녀는 빅토르의 자료를 끝까지 읽은 뒤 한동안 말없이 창밖을 바라보다가, 이 사건은 금융 범죄의 방식만으로는 다룰 수 없다고 단호하게 말합니다.</t>
        </is>
      </c>
    </row>
    <row r="742" ht="15" customHeight="1" s="11">
      <c r="A742" s="13" t="n">
        <v>741</v>
      </c>
      <c r="B742" s="13" t="n">
        <v>50</v>
      </c>
      <c r="C742" s="14">
        <f>INDEX('부작 목록'!$C$2:$C$96,B742)</f>
        <v/>
      </c>
      <c r="D742" s="14" t="inlineStr">
        <is>
          <t>E 빅토르 안전가옥 세션</t>
        </is>
      </c>
      <c r="E742" s="13" t="n">
        <v>24592</v>
      </c>
      <c r="F742" s="13" t="n">
        <v>47</v>
      </c>
      <c r="G742" s="15" t="inlineStr">
        <is>
          <t>며칠 후, 카를로스가 전담 경찰 부서와의 협조 결과를 보고합니다. 경찰 인신매매 전담반은 넘겨받은 자금 정보를 바탕으로 이미 움직이기 시작했고, 카를로스는 루마니아의 모집책 한 명이 특정되었다는 소식을 가져옵니다.</t>
        </is>
      </c>
    </row>
    <row r="743" ht="15" customHeight="1" s="11">
      <c r="A743" s="13" t="n">
        <v>742</v>
      </c>
      <c r="B743" s="13" t="n">
        <v>50</v>
      </c>
      <c r="C743" s="14">
        <f>INDEX('부작 목록'!$C$2:$C$96,B743)</f>
        <v/>
      </c>
      <c r="D743" s="14" t="inlineStr">
        <is>
          <t>E 빅토르 안전가옥 세션</t>
        </is>
      </c>
      <c r="E743" s="13" t="n">
        <v>24641</v>
      </c>
      <c r="F743" s="13" t="n">
        <v>50</v>
      </c>
      <c r="G743" s="15" t="inlineStr">
        <is>
          <t>다음 날 세션. 카밀라가 5개 텔레그램 채널을 통해 발견한 루마니아 모집책 관련 자금줄을 추적한 결과를 보고합니다. 키프로스 계좌와 스위스의 의료 재단을 거쳐 로셀요의 구조로 이어지는 세 단계의 흐름이 화이트보드 위에 그려지고, 팀은 진짜 연구자들이 일하는 재단을 어떻게 다룰지 고민합니다.</t>
        </is>
      </c>
    </row>
    <row r="744" ht="15" customHeight="1" s="11">
      <c r="A744" s="13" t="n">
        <v>743</v>
      </c>
      <c r="B744" s="13" t="n">
        <v>50</v>
      </c>
      <c r="C744" s="14">
        <f>INDEX('부작 목록'!$C$2:$C$96,B744)</f>
        <v/>
      </c>
      <c r="D744" s="14" t="inlineStr">
        <is>
          <t>E 빅토르 안전가옥 세션</t>
        </is>
      </c>
      <c r="E744" s="13" t="n">
        <v>24693</v>
      </c>
      <c r="F744" s="13" t="n">
        <v>45</v>
      </c>
      <c r="G744" s="15" t="inlineStr">
        <is>
          <t>일주일 후, 카밀라가 스위스 재단 연구자들의 공모 여부를 조사한 결과를 세션에 보고합니다. 그녀는 다섯 명의 논문, 학회 기록, 지출 승인 서명을 하나하나 대조한 끝에, 두 사람과 다른 세 사람 사이에 선명한 경계를 긋습니다.</t>
        </is>
      </c>
    </row>
    <row r="745" ht="15" customHeight="1" s="11">
      <c r="A745" s="13" t="n">
        <v>744</v>
      </c>
      <c r="B745" s="13" t="n">
        <v>50</v>
      </c>
      <c r="C745" s="14">
        <f>INDEX('부작 목록'!$C$2:$C$96,B745)</f>
        <v/>
      </c>
      <c r="D745" s="14" t="inlineStr">
        <is>
          <t>E 빅토르 안전가옥 세션</t>
        </is>
      </c>
      <c r="E745" s="13" t="n">
        <v>24740</v>
      </c>
      <c r="F745" s="13" t="n">
        <v>46</v>
      </c>
      <c r="G745" s="15" t="inlineStr">
        <is>
          <t>며칠 후, 스위스 당국이 조치를 취하며 세션에서 그 결과를 확인합니다. 두 연구자가 체포되고 재단은 압수수색을 당하지만, 무고한 세 연구자에게는 법률 지원이 주어졌다는 소식에 팀은 조금이나마 안도합니다.</t>
        </is>
      </c>
    </row>
    <row r="746" ht="28.35" customHeight="1" s="11">
      <c r="A746" s="13" t="n">
        <v>745</v>
      </c>
      <c r="B746" s="13" t="n">
        <v>50</v>
      </c>
      <c r="C746" s="14">
        <f>INDEX('부작 목록'!$C$2:$C$96,B746)</f>
        <v/>
      </c>
      <c r="D746" s="14" t="inlineStr">
        <is>
          <t>E 빅토르 안전가옥 세션</t>
        </is>
      </c>
      <c r="E746" s="13" t="n">
        <v>24788</v>
      </c>
      <c r="F746" s="13" t="n">
        <v>48</v>
      </c>
      <c r="G746" s="15" t="inlineStr">
        <is>
          <t>그날 밤, 알바로가 카밀라에게 이번 사건이 남긴 감정적 무게에 대해 이야기합니다. 식어 가는 저녁을 앞에 두고, 두 사람은 되돌릴 수 없는 피해 앞에서 기자와 분석가가 할 수 있는 일이 무엇인지 조용히 이야기를 나눕니다.</t>
        </is>
      </c>
    </row>
    <row r="747" ht="15" customHeight="1" s="11">
      <c r="A747" s="13" t="n">
        <v>746</v>
      </c>
      <c r="B747" s="13" t="n">
        <v>50</v>
      </c>
      <c r="C747" s="14">
        <f>INDEX('부작 목록'!$C$2:$C$96,B747)</f>
        <v/>
      </c>
      <c r="D747" s="14" t="inlineStr">
        <is>
          <t>E 빅토르 안전가옥 세션</t>
        </is>
      </c>
      <c r="E747" s="13" t="n">
        <v>24838</v>
      </c>
      <c r="F747" s="13" t="n">
        <v>48</v>
      </c>
      <c r="G747" s="15" t="inlineStr">
        <is>
          <t>며칠 후, 하비에르가 한 피해 생존자를 인터뷰하며 그의 이야기를 취재합니다. 신원 보호를 위해 얼굴을 가린 채 통역의 도움을 받는 생존자는, 마을의 한 남자가 건넨 제안부터 수술 후 아무도 연락하지 않았던 날들까지를 담담하게 털어놓습니다.</t>
        </is>
      </c>
    </row>
    <row r="748" ht="15" customHeight="1" s="11">
      <c r="A748" s="13" t="n">
        <v>747</v>
      </c>
      <c r="B748" s="13" t="n">
        <v>50</v>
      </c>
      <c r="C748" s="14">
        <f>INDEX('부작 목록'!$C$2:$C$96,B748)</f>
        <v/>
      </c>
      <c r="D748" s="14" t="inlineStr">
        <is>
          <t>E 빅토르 안전가옥 세션</t>
        </is>
      </c>
      <c r="E748" s="13" t="n">
        <v>24888</v>
      </c>
      <c r="F748" s="13" t="n">
        <v>47</v>
      </c>
      <c r="G748" s="15" t="inlineStr">
        <is>
          <t>세션에서, 카를로스가 하비에르의 취재 결과를 바탕으로 정책 제안을 논의합니다. 생존자의 마지막 문장이 실린 하비에르의 기사가 큰 반향을 일으키고, 의회에서 장기이식법 강화 논의가 시작되었다는 소식이 전해집니다.</t>
        </is>
      </c>
    </row>
    <row r="749" ht="15" customHeight="1" s="11">
      <c r="A749" s="13" t="n">
        <v>748</v>
      </c>
      <c r="B749" s="13" t="n">
        <v>50</v>
      </c>
      <c r="C749" s="14">
        <f>INDEX('부작 목록'!$C$2:$C$96,B749)</f>
        <v/>
      </c>
      <c r="D749" s="14" t="inlineStr">
        <is>
          <t>E 빅토르 안전가옥 세션</t>
        </is>
      </c>
      <c r="E749" s="13" t="n">
        <v>24937</v>
      </c>
      <c r="F749" s="13" t="n">
        <v>50</v>
      </c>
      <c r="G749" s="15" t="inlineStr">
        <is>
          <t>몇 주 후, 마르코스가 동남아시아 클리닉 쪽 자금 흐름을 추가로 조사한 결과를 세션에 보고합니다. 송금 시점과 루마니아 모집책들의 이동 일정 사이의 상관관계가 드러납니다.</t>
        </is>
      </c>
    </row>
    <row r="750" ht="28.35" customHeight="1" s="11">
      <c r="A750" s="13" t="n">
        <v>749</v>
      </c>
      <c r="B750" s="13" t="n">
        <v>50</v>
      </c>
      <c r="C750" s="14">
        <f>INDEX('부작 목록'!$C$2:$C$96,B750)</f>
        <v/>
      </c>
      <c r="D750" s="14" t="inlineStr">
        <is>
          <t>E 빅토르 안전가옥 세션</t>
        </is>
      </c>
      <c r="E750" s="13" t="n">
        <v>24989</v>
      </c>
      <c r="F750" s="13" t="n">
        <v>51</v>
      </c>
      <c r="G750" s="15" t="inlineStr">
        <is>
          <t>몇 주 후, 인터폴과의 공조 결과가 도착하며 세션에서 국제 수사 진전을 확인합니다. 방콕 클리닉 압수수색에서 확보한 기록이 이 조직의 냉혹한 실체를 보여줍니다.</t>
        </is>
      </c>
    </row>
    <row r="751" ht="15" customHeight="1" s="11">
      <c r="A751" s="13" t="n">
        <v>750</v>
      </c>
      <c r="B751" s="13" t="n">
        <v>50</v>
      </c>
      <c r="C751" s="14">
        <f>INDEX('부작 목록'!$C$2:$C$96,B751)</f>
        <v/>
      </c>
      <c r="D751" s="14" t="inlineStr">
        <is>
          <t>E 빅토르 안전가옥 세션</t>
        </is>
      </c>
      <c r="E751" s="13" t="n">
        <v>25042</v>
      </c>
      <c r="F751" s="13" t="n">
        <v>50</v>
      </c>
      <c r="G751" s="15" t="inlineStr">
        <is>
          <t>카밀라가 이 사건에서 배운 국제 인신매매 재정추적 방법론을 향후 사건에 적용할 방안을 제안합니다. 팀은 그 방법의 가능성과 함께, 무고한 사람을 의심할 위험도 따져봅니다.</t>
        </is>
      </c>
    </row>
    <row r="752" ht="15" customHeight="1" s="11">
      <c r="A752" s="13" t="n">
        <v>751</v>
      </c>
      <c r="B752" s="13" t="n">
        <v>50</v>
      </c>
      <c r="C752" s="14">
        <f>INDEX('부작 목록'!$C$2:$C$96,B752)</f>
        <v/>
      </c>
      <c r="D752" s="14" t="inlineStr">
        <is>
          <t>E 빅토르 안전가옥 세션</t>
        </is>
      </c>
      <c r="E752" s="13" t="n">
        <v>25094</v>
      </c>
      <c r="F752" s="13" t="n">
        <v>49</v>
      </c>
      <c r="G752" s="15" t="inlineStr">
        <is>
          <t>다음 세션에서, 필리핀 클리닉 관련 최종 조치 결과가 보고됩니다. 팀은 네트워크 해체의 의미와, 또 한 번 자금줄을 잃은 로셀요가 어떻게 움직일지를 짚어봅니다.</t>
        </is>
      </c>
    </row>
    <row r="753" ht="15" customHeight="1" s="11">
      <c r="A753" s="13" t="n">
        <v>752</v>
      </c>
      <c r="B753" s="13" t="n">
        <v>50</v>
      </c>
      <c r="C753" s="14">
        <f>INDEX('부작 목록'!$C$2:$C$96,B753)</f>
        <v/>
      </c>
      <c r="D753" s="14" t="inlineStr">
        <is>
          <t>E 빅토르 안전가옥 세션</t>
        </is>
      </c>
      <c r="E753" s="13" t="n">
        <v>25145</v>
      </c>
      <c r="F753" s="13" t="n">
        <v>49</v>
      </c>
      <c r="G753" s="15" t="inlineStr">
        <is>
          <t>그날 밤, 알바로가 취재원과의 인터뷰를 곱씹으며 카밀라와 대화합니다. 비 오는 밤, 따뜻한 차를 사이에 두고 두 사람은 냉소에 빠지지 않는 법을 이야기합니다.</t>
        </is>
      </c>
    </row>
    <row r="754" ht="28.35" customHeight="1" s="11">
      <c r="A754" s="13" t="n">
        <v>753</v>
      </c>
      <c r="B754" s="13" t="n">
        <v>50</v>
      </c>
      <c r="C754" s="14">
        <f>INDEX('부작 목록'!$C$2:$C$96,B754)</f>
        <v/>
      </c>
      <c r="D754" s="14" t="inlineStr">
        <is>
          <t>E 빅토르 안전가옥 세션</t>
        </is>
      </c>
      <c r="E754" s="13" t="n">
        <v>25196</v>
      </c>
      <c r="F754" s="13" t="n">
        <v>47</v>
      </c>
      <c r="G754" s="15" t="inlineStr">
        <is>
          <t>몇 달 후, 국제 재판이 시작되며 알바로가 그 재판 과정을 취재합니다. 방청석의 무거운 공기와 검사의 첫 진술, 피고 측의 반론이 알바로의 수첩을 채웁니다.</t>
        </is>
      </c>
    </row>
    <row r="755" ht="15" customHeight="1" s="11">
      <c r="A755" s="13" t="n">
        <v>754</v>
      </c>
      <c r="B755" s="13" t="n">
        <v>50</v>
      </c>
      <c r="C755" s="14">
        <f>INDEX('부작 목록'!$C$2:$C$96,B755)</f>
        <v/>
      </c>
      <c r="D755" s="14" t="inlineStr">
        <is>
          <t>E 빅토르 안전가옥 세션</t>
        </is>
      </c>
      <c r="E755" s="13" t="n">
        <v>25245</v>
      </c>
      <c r="F755" s="13" t="n">
        <v>50</v>
      </c>
      <c r="G755" s="15" t="inlineStr">
        <is>
          <t>몇 주 후, 재판 결과가 나오며 세션에서 최종 결과를 정리합니다. 판결문 어디에도 이름이 적히지 않은 로셀요의 그림자를 두고, 팀은 신중한 해석을 나눕니다.</t>
        </is>
      </c>
    </row>
    <row r="756" ht="15" customHeight="1" s="11">
      <c r="A756" s="13" t="n">
        <v>755</v>
      </c>
      <c r="B756" s="13" t="n">
        <v>50</v>
      </c>
      <c r="C756" s="14">
        <f>INDEX('부작 목록'!$C$2:$C$96,B756)</f>
        <v/>
      </c>
      <c r="D756" s="14" t="inlineStr">
        <is>
          <t>E 빅토르 안전가옥 세션</t>
        </is>
      </c>
      <c r="E756" s="13" t="n">
        <v>25297</v>
      </c>
      <c r="F756" s="13" t="n">
        <v>50</v>
      </c>
      <c r="G756" s="15" t="inlineStr">
        <is>
          <t>카밀라가 피해자 지원기금 설계 과정에 자문으로 참여하며, 알바로에게 그 경험을 나눕니다. 식탁 위에 펼쳐진 서류 사이에서 두 사람은 '공정함'의 기준을 함께 고민합니다.</t>
        </is>
      </c>
    </row>
    <row r="757" ht="15" customHeight="1" s="11">
      <c r="A757" s="13" t="n">
        <v>756</v>
      </c>
      <c r="B757" s="13" t="n">
        <v>50</v>
      </c>
      <c r="C757" s="14">
        <f>INDEX('부작 목록'!$C$2:$C$96,B757)</f>
        <v/>
      </c>
      <c r="D757" s="14" t="inlineStr">
        <is>
          <t>E 빅토르 안전가옥 세션</t>
        </is>
      </c>
      <c r="E757" s="13" t="n">
        <v>25349</v>
      </c>
      <c r="F757" s="13" t="n">
        <v>50</v>
      </c>
      <c r="G757" s="15" t="inlineStr">
        <is>
          <t>몇 달 후, 마르코스가 기금 분배 시스템 구축을 완료하며 세션에 결과를 보고합니다. 연락이 닿지 않는 피해자들을 찾아내는 일이 새로운 과제로 떠오릅니다.</t>
        </is>
      </c>
    </row>
    <row r="758" ht="15" customHeight="1" s="11">
      <c r="A758" s="13" t="n">
        <v>757</v>
      </c>
      <c r="B758" s="13" t="n">
        <v>50</v>
      </c>
      <c r="C758" s="14">
        <f>INDEX('부작 목록'!$C$2:$C$96,B758)</f>
        <v/>
      </c>
      <c r="D758" s="14" t="inlineStr">
        <is>
          <t>E 빅토르 안전가옥 세션</t>
        </is>
      </c>
      <c r="E758" s="13" t="n">
        <v>25401</v>
      </c>
      <c r="F758" s="13" t="n">
        <v>48</v>
      </c>
      <c r="G758" s="15" t="inlineStr">
        <is>
          <t>빅토르가 이 사건 전체를 되짚으며 팀에게 마지막 소회를 전합니다. 평소보다 낮은 목소리로, 그는 오랫동안 묻어두었던 질문을 꺼냅니다.</t>
        </is>
      </c>
    </row>
    <row r="759" ht="15" customHeight="1" s="11">
      <c r="A759" s="13" t="n">
        <v>758</v>
      </c>
      <c r="B759" s="13" t="n">
        <v>50</v>
      </c>
      <c r="C759" s="14">
        <f>INDEX('부작 목록'!$C$2:$C$96,B759)</f>
        <v/>
      </c>
      <c r="D759" s="14" t="inlineStr">
        <is>
          <t>E 빅토르 안전가옥 세션</t>
        </is>
      </c>
      <c r="E759" s="13" t="n">
        <v>25451</v>
      </c>
      <c r="F759" s="13" t="n">
        <v>48</v>
      </c>
      <c r="G759" s="15" t="inlineStr">
        <is>
          <t>며칠 후, 하비에르가 후속 기사에서 피해자 지원기금의 진행 상황을 취재하며 세션에 최신 소식을 전합니다. 한 생존자의 짧은 음성 메시지가 모두의 마음을 움직입니다.</t>
        </is>
      </c>
    </row>
    <row r="760" ht="15" customHeight="1" s="11">
      <c r="A760" s="13" t="n">
        <v>759</v>
      </c>
      <c r="B760" s="13" t="n">
        <v>50</v>
      </c>
      <c r="C760" s="14">
        <f>INDEX('부작 목록'!$C$2:$C$96,B760)</f>
        <v/>
      </c>
      <c r="D760" s="14" t="inlineStr">
        <is>
          <t>E 빅토르 안전가옥 세션</t>
        </is>
      </c>
      <c r="E760" s="13" t="n">
        <v>25501</v>
      </c>
      <c r="F760" s="13" t="n">
        <v>48</v>
      </c>
      <c r="G760" s="15" t="inlineStr">
        <is>
          <t>그날 밤, 알바로와 카밀라가 이번 사건 전체를 마무리하며 조용한 저녁을 갖습니다. 창밖의 마드리드 불빛 아래, 두 사람은 오랜만에 희망이라는 단어를 꺼냅니다.</t>
        </is>
      </c>
    </row>
    <row r="761" ht="15" customHeight="1" s="11">
      <c r="A761" s="13" t="n">
        <v>760</v>
      </c>
      <c r="B761" s="13" t="n">
        <v>51</v>
      </c>
      <c r="C761" s="14">
        <f>INDEX('부작 목록'!$C$2:$C$96,B761)</f>
        <v/>
      </c>
      <c r="D761" s="14" t="inlineStr">
        <is>
          <t>E 빅토르 안전가옥 세션</t>
        </is>
      </c>
      <c r="E761" s="13" t="n">
        <v>25551</v>
      </c>
      <c r="F761" s="13" t="n">
        <v>50</v>
      </c>
      <c r="G761" s="15" t="inlineStr">
        <is>
          <t>다음 날 아침, 세션 시작 전 카를로스와 빅토르가 짧게 대화합니다. 아직 아무도 도착하지 않은 회의실에서, 커피 한 잔을 사이에 두고 두 사람은 전날의 무거운 사건과 오늘 다룰 제약회사 건에 대해 이야기를 나눕니다.</t>
        </is>
      </c>
    </row>
    <row r="762" ht="15" customHeight="1" s="11">
      <c r="A762" s="13" t="n">
        <v>761</v>
      </c>
      <c r="B762" s="13" t="n">
        <v>51</v>
      </c>
      <c r="C762" s="14">
        <f>INDEX('부작 목록'!$C$2:$C$96,B762)</f>
        <v/>
      </c>
      <c r="D762" s="14" t="inlineStr">
        <is>
          <t>E 빅토르 안전가옥 세션</t>
        </is>
      </c>
      <c r="E762" s="13" t="n">
        <v>25603</v>
      </c>
      <c r="F762" s="13" t="n">
        <v>48</v>
      </c>
      <c r="G762" s="15" t="inlineStr">
        <is>
          <t>카밀라와 알바로가 도착하며, 짧은 인사를 나눈 뒤 세션이 정식으로 시작됩니다. 전날의 무거운 분위기가 아직 남아 있지만, 가벼운 농담과 안부가 오가며 조금씩 긴장이 풀립니다.</t>
        </is>
      </c>
    </row>
    <row r="763" ht="15" customHeight="1" s="11">
      <c r="A763" s="13" t="n">
        <v>762</v>
      </c>
      <c r="B763" s="13" t="n">
        <v>51</v>
      </c>
      <c r="C763" s="14">
        <f>INDEX('부작 목록'!$C$2:$C$96,B763)</f>
        <v/>
      </c>
      <c r="D763" s="14" t="inlineStr">
        <is>
          <t>E 빅토르 안전가옥 세션</t>
        </is>
      </c>
      <c r="E763" s="13" t="n">
        <v>25653</v>
      </c>
      <c r="F763" s="13" t="n">
        <v>51</v>
      </c>
      <c r="G763" s="15" t="inlineStr">
        <is>
          <t>빅토르가 로셀요가 자금을 세탁해온 제약회사의 임상시험 데이터 조작 사건을 밝힙니다. 환자들의 생명이 걸린 만큼, 팀은 이번만큼은 수사보다 보건 당국에 대한 경보를 먼저 울려야 한다는 데 뜻을 모읍니다.</t>
        </is>
      </c>
    </row>
    <row r="764" ht="15" customHeight="1" s="11">
      <c r="A764" s="13" t="n">
        <v>763</v>
      </c>
      <c r="B764" s="13" t="n">
        <v>51</v>
      </c>
      <c r="C764" s="14">
        <f>INDEX('부작 목록'!$C$2:$C$96,B764)</f>
        <v/>
      </c>
      <c r="D764" s="14" t="inlineStr">
        <is>
          <t>E 빅토르 안전가옥 세션</t>
        </is>
      </c>
      <c r="E764" s="13" t="n">
        <v>25706</v>
      </c>
      <c r="F764" s="13" t="n">
        <v>50</v>
      </c>
      <c r="G764" s="15" t="inlineStr">
        <is>
          <t>며칠 후, 카를로스가 규제당국의 대응 결과를 보고합니다. 카밀라는 로셀요와의 자금 연결고리를 확인하고, 알바로는 마침내 기사 준비에 들어갈 수 있게 됩니다.</t>
        </is>
      </c>
    </row>
    <row r="765" ht="15" customHeight="1" s="11">
      <c r="A765" s="13" t="n">
        <v>764</v>
      </c>
      <c r="B765" s="13" t="n">
        <v>51</v>
      </c>
      <c r="C765" s="14">
        <f>INDEX('부작 목록'!$C$2:$C$96,B765)</f>
        <v/>
      </c>
      <c r="D765" s="14" t="inlineStr">
        <is>
          <t>E 빅토르 안전가옥 세션</t>
        </is>
      </c>
      <c r="E765" s="13" t="n">
        <v>25758</v>
      </c>
      <c r="F765" s="13" t="n">
        <v>51</v>
      </c>
      <c r="G765" s="15" t="inlineStr">
        <is>
          <t>카밀라가 제약회사와 로셀요를 연결하는 자금 흐름의 완전한 그림을 세션에서 보고합니다. 중개인이 알바로와 같은 '푸엔테스'라는 성을 가졌다는 사실에 잠시 웃음이 오가지만, 곧 그의 역할을 두고 신중한 분석이 이어집니다.</t>
        </is>
      </c>
    </row>
    <row r="766" ht="15" customHeight="1" s="11">
      <c r="A766" s="13" t="n">
        <v>765</v>
      </c>
      <c r="B766" s="13" t="n">
        <v>51</v>
      </c>
      <c r="C766" s="14">
        <f>INDEX('부작 목록'!$C$2:$C$96,B766)</f>
        <v/>
      </c>
      <c r="D766" s="14" t="inlineStr">
        <is>
          <t>E 빅토르 안전가옥 세션</t>
        </is>
      </c>
      <c r="E766" s="13" t="n">
        <v>25811</v>
      </c>
      <c r="F766" s="13" t="n">
        <v>53</v>
      </c>
      <c r="G766" s="15" t="inlineStr">
        <is>
          <t>하비에르가 임상시험에 참여했던 피해 환자를 인터뷰하며 실제 부작용 사례를 취재합니다. 한적한 카페에서, 환자는 임상시험에 들어가게 된 경위와 증상, 연구진의 반응, 그리고 응급실에 실려 간 날을 자세히 털어놓습니다.</t>
        </is>
      </c>
    </row>
    <row r="767" ht="15" customHeight="1" s="11">
      <c r="A767" s="13" t="n">
        <v>766</v>
      </c>
      <c r="B767" s="13" t="n">
        <v>51</v>
      </c>
      <c r="C767" s="14">
        <f>INDEX('부작 목록'!$C$2:$C$96,B767)</f>
        <v/>
      </c>
      <c r="D767" s="14" t="inlineStr">
        <is>
          <t>E 빅토르 안전가옥 세션</t>
        </is>
      </c>
      <c r="E767" s="13" t="n">
        <v>25866</v>
      </c>
      <c r="F767" s="13" t="n">
        <v>49</v>
      </c>
      <c r="G767" s="15" t="inlineStr">
        <is>
          <t>세션에서, 팀이 이 환자 사례를 규제당국에 어떻게 전달할지 논의합니다. 환자의 신원 보호와 회사에 수사 사실이 새어 나갈 위험 사이에서 신중한 판단이 필요합니다.</t>
        </is>
      </c>
    </row>
    <row r="768" ht="15" customHeight="1" s="11">
      <c r="A768" s="13" t="n">
        <v>767</v>
      </c>
      <c r="B768" s="13" t="n">
        <v>51</v>
      </c>
      <c r="C768" s="14">
        <f>INDEX('부작 목록'!$C$2:$C$96,B768)</f>
        <v/>
      </c>
      <c r="D768" s="14" t="inlineStr">
        <is>
          <t>E 빅토르 안전가옥 세션</t>
        </is>
      </c>
      <c r="E768" s="13" t="n">
        <v>25917</v>
      </c>
      <c r="F768" s="13" t="n">
        <v>51</v>
      </c>
      <c r="G768" s="15" t="inlineStr">
        <is>
          <t>며칠 후, 법원 승인이 나오며 세션에서 의료기록 확보 절차를 확인합니다. 마르코스는 원본 기록과 공개된 보고서를 나란히 비교하는 데이터베이스를 만들어 첫 번째 불일치들을 찾아냅니다.</t>
        </is>
      </c>
    </row>
    <row r="769" ht="15" customHeight="1" s="11">
      <c r="A769" s="13" t="n">
        <v>768</v>
      </c>
      <c r="B769" s="13" t="n">
        <v>51</v>
      </c>
      <c r="C769" s="14">
        <f>INDEX('부작 목록'!$C$2:$C$96,B769)</f>
        <v/>
      </c>
      <c r="D769" s="14" t="inlineStr">
        <is>
          <t>E 빅토르 안전가옥 세션</t>
        </is>
      </c>
      <c r="E769" s="13" t="n">
        <v>25970</v>
      </c>
      <c r="F769" s="13" t="n">
        <v>50</v>
      </c>
      <c r="G769" s="15" t="inlineStr">
        <is>
          <t>며칠 후, 규제당국이 긴급 안전 경보를 발령하며 세션에서 그 결과가 확인됩니다. 회사는 '행정 착오'라며 발뺌하고, 알바로는 기사를 서두르고 싶은 마음을 누르며 참가자들을 위한 공익 기사부터 준비합니다.</t>
        </is>
      </c>
    </row>
    <row r="770" ht="15" customHeight="1" s="11">
      <c r="A770" s="13" t="n">
        <v>769</v>
      </c>
      <c r="B770" s="13" t="n">
        <v>51</v>
      </c>
      <c r="C770" s="14">
        <f>INDEX('부작 목록'!$C$2:$C$96,B770)</f>
        <v/>
      </c>
      <c r="D770" s="14" t="inlineStr">
        <is>
          <t>E 빅토르 안전가옥 세션</t>
        </is>
      </c>
      <c r="E770" s="13" t="n">
        <v>26022</v>
      </c>
      <c r="F770" s="13" t="n">
        <v>51</v>
      </c>
      <c r="G770" s="15" t="inlineStr">
        <is>
          <t>카밀라가 리카르도 푸엔테스 살라사르의 정확한 역할을 조사한 결과를 세션에 보고합니다. 직접적인 지시 대신 모호한 표현으로 압박을 가한 정황이 드러나자, 팀은 그 법적 의미와 그가 자금의 출처를 알고 있었는지를 따져봅니다.</t>
        </is>
      </c>
    </row>
    <row r="771" ht="15" customHeight="1" s="11">
      <c r="A771" s="13" t="n">
        <v>770</v>
      </c>
      <c r="B771" s="13" t="n">
        <v>51</v>
      </c>
      <c r="C771" s="14">
        <f>INDEX('부작 목록'!$C$2:$C$96,B771)</f>
        <v/>
      </c>
      <c r="D771" s="14" t="inlineStr">
        <is>
          <t>E 빅토르 안전가옥 세션</t>
        </is>
      </c>
      <c r="E771" s="13" t="n">
        <v>26075</v>
      </c>
      <c r="F771" s="13" t="n">
        <v>51</v>
      </c>
      <c r="G771" s="15" t="inlineStr">
        <is>
          <t>며칠 후, 알바로가 두 번째 피해자를 인터뷰하며 사건의 인간적 파장을 더 파악합니다. 임상시험 중 어머니를 잃은 딸은 슬픔과 분노 속에서도, 누군가 제대로 들여다봐 주기만을 바란다고 말합니다.</t>
        </is>
      </c>
    </row>
    <row r="772" ht="15" customHeight="1" s="11">
      <c r="A772" s="13" t="n">
        <v>771</v>
      </c>
      <c r="B772" s="13" t="n">
        <v>51</v>
      </c>
      <c r="C772" s="14">
        <f>INDEX('부작 목록'!$C$2:$C$96,B772)</f>
        <v/>
      </c>
      <c r="D772" s="14" t="inlineStr">
        <is>
          <t>E 빅토르 안전가옥 세션</t>
        </is>
      </c>
      <c r="E772" s="13" t="n">
        <v>26128</v>
      </c>
      <c r="F772" s="13" t="n">
        <v>49</v>
      </c>
      <c r="G772" s="15" t="inlineStr">
        <is>
          <t>세션에서, 팀이 사망 사례를 포함한 새로운 증거를 검토하며 형사 고발 가능성을 논의합니다. 알바로는 유족과의 약속을 떠올리고, 팀은 원인과 상관없이 모든 사망 사례를 다시 들여다보기로 합니다.</t>
        </is>
      </c>
    </row>
    <row r="773" ht="15" customHeight="1" s="11">
      <c r="A773" s="13" t="n">
        <v>772</v>
      </c>
      <c r="B773" s="13" t="n">
        <v>51</v>
      </c>
      <c r="C773" s="14">
        <f>INDEX('부작 목록'!$C$2:$C$96,B773)</f>
        <v/>
      </c>
      <c r="D773" s="14" t="inlineStr">
        <is>
          <t>E 빅토르 안전가옥 세션</t>
        </is>
      </c>
      <c r="E773" s="13" t="n">
        <v>26179</v>
      </c>
      <c r="F773" s="13" t="n">
        <v>50</v>
      </c>
      <c r="G773" s="15" t="inlineStr">
        <is>
          <t>몇 주 후, 마르코스가 사망 사례 전체 검토 결과를 세션에 보고합니다. 독립 감정인의 소견까지 더해지며 사건은 처음 예상보다 훨씬 심각해지고, 알바로는 마침내 기사를 마무리할 준비에 들어갑니다.</t>
        </is>
      </c>
    </row>
    <row r="774" ht="15" customHeight="1" s="11">
      <c r="A774" s="13" t="n">
        <v>773</v>
      </c>
      <c r="B774" s="13" t="n">
        <v>51</v>
      </c>
      <c r="C774" s="14">
        <f>INDEX('부작 목록'!$C$2:$C$96,B774)</f>
        <v/>
      </c>
      <c r="D774" s="14" t="inlineStr">
        <is>
          <t>E 빅토르 안전가옥 세션</t>
        </is>
      </c>
      <c r="E774" s="13" t="n">
        <v>26231</v>
      </c>
      <c r="F774" s="13" t="n">
        <v>53</v>
      </c>
      <c r="G774" s="15" t="inlineStr">
        <is>
          <t>다음 날, 알바로의 기사가 발행되며 그 파장이 즉시 나타납니다. 피소 프랑코의 아침, 알바로의 휴대폰은 쉴 새 없이 진동하고, 팀은 기사에 대한 반응과 주가 폭락, 그리고 그것이 로셀요에게 미칠 타격을 함께 따져 봅니다.</t>
        </is>
      </c>
    </row>
    <row r="775" ht="15" customHeight="1" s="11">
      <c r="A775" s="13" t="n">
        <v>774</v>
      </c>
      <c r="B775" s="13" t="n">
        <v>51</v>
      </c>
      <c r="C775" s="14">
        <f>INDEX('부작 목록'!$C$2:$C$96,B775)</f>
        <v/>
      </c>
      <c r="D775" s="14" t="inlineStr">
        <is>
          <t>E 빅토르 안전가옥 세션</t>
        </is>
      </c>
      <c r="E775" s="13" t="n">
        <v>26286</v>
      </c>
      <c r="F775" s="13" t="n">
        <v>49</v>
      </c>
      <c r="G775" s="15" t="inlineStr">
        <is>
          <t>며칠 후, 검찰이 정식 수사에 착수하며 리카르도 푸엔테스 살라사르가 체포됩니다. 카를로스는 새벽에 이루어진 체포와 압수수색 상황을 전하고, 팀은 그의 협조 가능성과 로셀요의 예상 대응을 가늠합니다.</t>
        </is>
      </c>
    </row>
    <row r="776" ht="15" customHeight="1" s="11">
      <c r="A776" s="13" t="n">
        <v>775</v>
      </c>
      <c r="B776" s="13" t="n">
        <v>51</v>
      </c>
      <c r="C776" s="14">
        <f>INDEX('부작 목록'!$C$2:$C$96,B776)</f>
        <v/>
      </c>
      <c r="D776" s="14" t="inlineStr">
        <is>
          <t>E 빅토르 안전가옥 세션</t>
        </is>
      </c>
      <c r="E776" s="13" t="n">
        <v>26337</v>
      </c>
      <c r="F776" s="13" t="n">
        <v>47</v>
      </c>
      <c r="G776" s="15" t="inlineStr">
        <is>
          <t>그날 밤, 알바로가 카밀라에게 이 사건이 로셀요 검거에 갖는 전략적 의미를 이야기합니다. 늦은 저녁을 함께 차려 먹으며, 두 사람은 푸엔테스 살라사르의 선택과 로셀요의 계산, 그리고 카밀라 자신의 과거를 조용히 되짚어 봅니다.</t>
        </is>
      </c>
    </row>
    <row r="777" ht="15" customHeight="1" s="11">
      <c r="A777" s="13" t="n">
        <v>776</v>
      </c>
      <c r="B777" s="13" t="n">
        <v>51</v>
      </c>
      <c r="C777" s="14">
        <f>INDEX('부작 목록'!$C$2:$C$96,B777)</f>
        <v/>
      </c>
      <c r="D777" s="14" t="inlineStr">
        <is>
          <t>E 빅토르 안전가옥 세션</t>
        </is>
      </c>
      <c r="E777" s="13" t="n">
        <v>26386</v>
      </c>
      <c r="F777" s="13" t="n">
        <v>48</v>
      </c>
      <c r="G777" s="15" t="inlineStr">
        <is>
          <t>일주일 후, 푸엔테스 살라사르가 협조를 결정하며 그 진술 내용이 세션에서 공유됩니다. 여섯 시간에 걸친 첫 진술의 세부 내용이 전해지고, 팀은 목소리만 남은 ‘투자자’의 정체를 두고 의견을 나눕니다.</t>
        </is>
      </c>
    </row>
    <row r="778" ht="15" customHeight="1" s="11">
      <c r="A778" s="13" t="n">
        <v>777</v>
      </c>
      <c r="B778" s="13" t="n">
        <v>51</v>
      </c>
      <c r="C778" s="14">
        <f>INDEX('부작 목록'!$C$2:$C$96,B778)</f>
        <v/>
      </c>
      <c r="D778" s="14" t="inlineStr">
        <is>
          <t>E 빅토르 안전가옥 세션</t>
        </is>
      </c>
      <c r="E778" s="13" t="n">
        <v>26436</v>
      </c>
      <c r="F778" s="13" t="n">
        <v>50</v>
      </c>
      <c r="G778" s="15" t="inlineStr">
        <is>
          <t>며칠 후, 마르코스가 IP 추적 결과를 세션에 보고합니다. 마르코스는 단 2초간의 VPN 연결 끊김을 찾아낸 과정을 설명하고, 팀은 제네바 인근이라는 단서가 갖는 의미와 한계를 신중하게 따져 봅니다.</t>
        </is>
      </c>
    </row>
    <row r="779" ht="15" customHeight="1" s="11">
      <c r="A779" s="13" t="n">
        <v>778</v>
      </c>
      <c r="B779" s="13" t="n">
        <v>51</v>
      </c>
      <c r="C779" s="14">
        <f>INDEX('부작 목록'!$C$2:$C$96,B779)</f>
        <v/>
      </c>
      <c r="D779" s="14" t="inlineStr">
        <is>
          <t>E 빅토르 안전가옥 세션</t>
        </is>
      </c>
      <c r="E779" s="13" t="n">
        <v>26488</v>
      </c>
      <c r="F779" s="13" t="n">
        <v>46</v>
      </c>
      <c r="G779" s="15" t="inlineStr">
        <is>
          <t>몇 주 후, 제약회사 관련 재판이 시작되며 알바로가 그 과정을 취재합니다. 방청석에는 피해자 가족들이 앉아 있고, 검찰과 변호인, 의료 감정인, 그리고 협조자가 된 푸엔테스 살라사르의 진술이 차례로 이어집니다.</t>
        </is>
      </c>
    </row>
    <row r="780" ht="15" customHeight="1" s="11">
      <c r="A780" s="13" t="n">
        <v>779</v>
      </c>
      <c r="B780" s="13" t="n">
        <v>51</v>
      </c>
      <c r="C780" s="14">
        <f>INDEX('부작 목록'!$C$2:$C$96,B780)</f>
        <v/>
      </c>
      <c r="D780" s="14" t="inlineStr">
        <is>
          <t>E 빅토르 안전가옥 세션</t>
        </is>
      </c>
      <c r="E780" s="13" t="n">
        <v>26536</v>
      </c>
      <c r="F780" s="13" t="n">
        <v>45</v>
      </c>
      <c r="G780" s="15" t="inlineStr">
        <is>
          <t>몇 주 후, 최종 판결이 나오며 세션에서 그 결과를 정리합니다. 각 피고인의 형량과 회사에 대한 제재가 공유되고, 알바로는 푸엔테스 살라사르의 감형에 복잡한 심경을 드러냅니다.</t>
        </is>
      </c>
    </row>
    <row r="781" ht="15" customHeight="1" s="11">
      <c r="A781" s="13" t="n">
        <v>780</v>
      </c>
      <c r="B781" s="13" t="n">
        <v>51</v>
      </c>
      <c r="C781" s="14">
        <f>INDEX('부작 목록'!$C$2:$C$96,B781)</f>
        <v/>
      </c>
      <c r="D781" s="14" t="inlineStr">
        <is>
          <t>E 빅토르 안전가옥 세션</t>
        </is>
      </c>
      <c r="E781" s="13" t="n">
        <v>26583</v>
      </c>
      <c r="F781" s="13" t="n">
        <v>46</v>
      </c>
      <c r="G781" s="15" t="inlineStr">
        <is>
          <t>그날 밤, 알바로가 사망한 환자의 딸에게 판결 소식을 전하며 짧은 대화를 나눕니다. 수화기 너머로 그녀는 어머니가 생전에 즐기던 소소한 일상을 떠올리고, 알바로는 조심스럽게 보상기금 절차를 안내합니다.</t>
        </is>
      </c>
    </row>
    <row r="782" ht="15" customHeight="1" s="11">
      <c r="A782" s="13" t="n">
        <v>781</v>
      </c>
      <c r="B782" s="13" t="n">
        <v>51</v>
      </c>
      <c r="C782" s="14">
        <f>INDEX('부작 목록'!$C$2:$C$96,B782)</f>
        <v/>
      </c>
      <c r="D782" s="14" t="inlineStr">
        <is>
          <t>E 빅토르 안전가옥 세션</t>
        </is>
      </c>
      <c r="E782" s="13" t="n">
        <v>26631</v>
      </c>
      <c r="F782" s="13" t="n">
        <v>49</v>
      </c>
      <c r="G782" s="15" t="inlineStr">
        <is>
          <t>세션에서, 팀이 임상시험 전반의 제도 개선안을 논의하며 이 사건에서 배운 교훈을 정리합니다. 독립 감사와 사망 사례 전수 조사, 내부 고발자 보호, 참가자에 대한 투명한 정보 제공 등 구체적인 제안이 하나씩 화이트보드에 채워집니다.</t>
        </is>
      </c>
    </row>
    <row r="783" ht="15" customHeight="1" s="11">
      <c r="A783" s="13" t="n">
        <v>782</v>
      </c>
      <c r="B783" s="13" t="n">
        <v>51</v>
      </c>
      <c r="C783" s="14">
        <f>INDEX('부작 목록'!$C$2:$C$96,B783)</f>
        <v/>
      </c>
      <c r="D783" s="14" t="inlineStr">
        <is>
          <t>E 빅토르 안전가옥 세션</t>
        </is>
      </c>
      <c r="E783" s="13" t="n">
        <v>26682</v>
      </c>
      <c r="F783" s="13" t="n">
        <v>48</v>
      </c>
      <c r="G783" s="15" t="inlineStr">
        <is>
          <t>빅토르가 이 사건이 로셀요 검거에 갖는 의미를 정리하며 다음 단계를 제안합니다. 그는 푸엔테스 살라사르의 증언과 제네바 인근 IP 단서를 엮어 처음으로 ‘위치’라는 개념을 꺼내고, 카를로스는 체포는 결국 경찰과 사법당국의 몫임을 분명히 합니다.</t>
        </is>
      </c>
    </row>
    <row r="784" ht="15" customHeight="1" s="11">
      <c r="A784" s="13" t="n">
        <v>783</v>
      </c>
      <c r="B784" s="13" t="n">
        <v>51</v>
      </c>
      <c r="C784" s="14">
        <f>INDEX('부작 목록'!$C$2:$C$96,B784)</f>
        <v/>
      </c>
      <c r="D784" s="14" t="inlineStr">
        <is>
          <t>E 빅토르 안전가옥 세션</t>
        </is>
      </c>
      <c r="E784" s="13" t="n">
        <v>26732</v>
      </c>
      <c r="F784" s="13" t="n">
        <v>45</v>
      </c>
      <c r="G784" s="15" t="inlineStr">
        <is>
          <t>팀 전체가 지금까지 다룬 모든 사건을 종합하며, 로셀요 검거 국면으로의 전환을 확인합니다. 카를로스가 사건 목록을 하나씩 짚고, 카밀라와 마르코스가 로셀요의 남은 자금 상황을 추정하며, 빅토르는 궁지에 몰린 상대가 얼마나 예측 불가능해질 수 있는지 경고합니다.</t>
        </is>
      </c>
    </row>
    <row r="785" ht="15" customHeight="1" s="11">
      <c r="A785" s="13" t="n">
        <v>784</v>
      </c>
      <c r="B785" s="13" t="n">
        <v>51</v>
      </c>
      <c r="C785" s="14">
        <f>INDEX('부작 목록'!$C$2:$C$96,B785)</f>
        <v/>
      </c>
      <c r="D785" s="14" t="inlineStr">
        <is>
          <t>E 빅토르 안전가옥 세션</t>
        </is>
      </c>
      <c r="E785" s="13" t="n">
        <v>26779</v>
      </c>
      <c r="F785" s="13" t="n">
        <v>45</v>
      </c>
      <c r="G785" s="15" t="inlineStr">
        <is>
          <t>그날 밤, 알바로와 카밀라가 이 전환점에 대한 감회를 나눕니다. 발코니에서 마드리드의 야경을 내려다보며, 두 사람은 이 긴 추적이 어디서 시작됐는지 떠올리고 앞으로 다가올 위험과 서로에 대한 약속을 조용히 확인합니다.</t>
        </is>
      </c>
    </row>
    <row r="786" ht="15" customHeight="1" s="11">
      <c r="A786" s="13" t="n">
        <v>785</v>
      </c>
      <c r="B786" s="13" t="n">
        <v>52</v>
      </c>
      <c r="C786" s="14">
        <f>INDEX('부작 목록'!$C$2:$C$96,B786)</f>
        <v/>
      </c>
      <c r="D786" s="14" t="inlineStr">
        <is>
          <t>E 빅토르 안전가옥 세션</t>
        </is>
      </c>
      <c r="E786" s="13" t="n">
        <v>26826</v>
      </c>
      <c r="F786" s="13" t="n">
        <v>48</v>
      </c>
      <c r="G786" s="15" t="inlineStr">
        <is>
          <t>다음 날 아침, 세션 시작 전 카를로스와 빅토르가 마지막 준비 상황을 점검합니다. 아직 불이 반쯤 꺼진 회의실에서, 두 사람은 커피를 사이에 두고 앞으로 다가올 국면에 대한 솔직한 마음을 나눕니다.</t>
        </is>
      </c>
    </row>
    <row r="787" ht="15" customHeight="1" s="11">
      <c r="A787" s="13" t="n">
        <v>786</v>
      </c>
      <c r="B787" s="13" t="n">
        <v>52</v>
      </c>
      <c r="C787" s="14">
        <f>INDEX('부작 목록'!$C$2:$C$96,B787)</f>
        <v/>
      </c>
      <c r="D787" s="14" t="inlineStr">
        <is>
          <t>E 빅토르 안전가옥 세션</t>
        </is>
      </c>
      <c r="E787" s="13" t="n">
        <v>26876</v>
      </c>
      <c r="F787" s="13" t="n">
        <v>49</v>
      </c>
      <c r="G787" s="15" t="inlineStr">
        <is>
          <t>알바로와 카밀라, 마르코스가 도착하며 세션이 정식으로 시작됩니다. 휴대전화를 상자에 넣고 화면을 켜는 짧은 준비 끝에, 빅토르가 새 작전의 이름을 꺼냅니다.</t>
        </is>
      </c>
    </row>
    <row r="788" ht="15" customHeight="1" s="11">
      <c r="A788" s="13" t="n">
        <v>787</v>
      </c>
      <c r="B788" s="13" t="n">
        <v>52</v>
      </c>
      <c r="C788" s="14">
        <f>INDEX('부작 목록'!$C$2:$C$96,B788)</f>
        <v/>
      </c>
      <c r="D788" s="14" t="inlineStr">
        <is>
          <t>E 빅토르 안전가옥 세션</t>
        </is>
      </c>
      <c r="E788" s="13" t="n">
        <v>26927</v>
      </c>
      <c r="F788" s="13" t="n">
        <v>47</v>
      </c>
      <c r="G788" s="15" t="inlineStr">
        <is>
          <t>빅토르가 로셀요와 연결된 국제 예술품 위조 공방을 밝힙니다 — 유명 작가의 작품을 정교하게 위조해 경매시장에 유통시키는 조직입니다. 팀은 위조품이 어떻게 감정을 통과하는지, 그리고 공방이 어디에 있는지를 놓고 추론을 시작합니다.</t>
        </is>
      </c>
    </row>
    <row r="789" ht="15" customHeight="1" s="11">
      <c r="A789" s="13" t="n">
        <v>788</v>
      </c>
      <c r="B789" s="13" t="n">
        <v>52</v>
      </c>
      <c r="C789" s="14">
        <f>INDEX('부작 목록'!$C$2:$C$96,B789)</f>
        <v/>
      </c>
      <c r="D789" s="14" t="inlineStr">
        <is>
          <t>E 빅토르 안전가옥 세션</t>
        </is>
      </c>
      <c r="E789" s="13" t="n">
        <v>26976</v>
      </c>
      <c r="F789" s="13" t="n">
        <v>47</v>
      </c>
      <c r="G789" s="15" t="inlineStr">
        <is>
          <t>며칠 후, 카밀라가 결제 흐름을 통해 공방의 대략적 위치를 특정합니다. 팀은 위성사진과 재료 구매 기록을 맞춰보며, 압수수색 영장 청구를 준비합니다.</t>
        </is>
      </c>
    </row>
    <row r="790" ht="15" customHeight="1" s="11">
      <c r="A790" s="13" t="n">
        <v>789</v>
      </c>
      <c r="B790" s="13" t="n">
        <v>52</v>
      </c>
      <c r="C790" s="14">
        <f>INDEX('부작 목록'!$C$2:$C$96,B790)</f>
        <v/>
      </c>
      <c r="D790" s="14" t="inlineStr">
        <is>
          <t>E 빅토르 안전가옥 세션</t>
        </is>
      </c>
      <c r="E790" s="13" t="n">
        <v>27025</v>
      </c>
      <c r="F790" s="13" t="n">
        <v>47</v>
      </c>
      <c r="G790" s="15" t="inlineStr">
        <is>
          <t>급습 당일. 경찰이 론다 인근 공방을 급습하며, 카를로스가 실시간으로 상황을 보고받습니다. 새벽 안개 속에서 진행되는 수색 상황이 무전으로 전해지고, 팀은 숨을 죽이고 화면을 지켜봅니다.</t>
        </is>
      </c>
    </row>
    <row r="791" ht="15" customHeight="1" s="11">
      <c r="A791" s="13" t="n">
        <v>790</v>
      </c>
      <c r="B791" s="13" t="n">
        <v>52</v>
      </c>
      <c r="C791" s="14">
        <f>INDEX('부작 목록'!$C$2:$C$96,B791)</f>
        <v/>
      </c>
      <c r="D791" s="14" t="inlineStr">
        <is>
          <t>E 빅토르 안전가옥 세션</t>
        </is>
      </c>
      <c r="E791" s="13" t="n">
        <v>27074</v>
      </c>
      <c r="F791" s="13" t="n">
        <v>47</v>
      </c>
      <c r="G791" s="15" t="inlineStr">
        <is>
          <t>다음 날, 알바로가 에밀리오를 면회하며 그의 이야기를 직접 듣습니다. 손톱 밑에 아직 물감이 남아 있는 에밀리오는, 담담하지만 지친 목소리로 자신이 어떻게 이 일에 빠져들었는지 털어놓습니다.</t>
        </is>
      </c>
    </row>
    <row r="792" ht="15" customHeight="1" s="11">
      <c r="A792" s="13" t="n">
        <v>791</v>
      </c>
      <c r="B792" s="13" t="n">
        <v>52</v>
      </c>
      <c r="C792" s="14">
        <f>INDEX('부작 목록'!$C$2:$C$96,B792)</f>
        <v/>
      </c>
      <c r="D792" s="14" t="inlineStr">
        <is>
          <t>E 빅토르 안전가옥 세션</t>
        </is>
      </c>
      <c r="E792" s="13" t="n">
        <v>27123</v>
      </c>
      <c r="F792" s="13" t="n">
        <v>47</v>
      </c>
      <c r="G792" s="15" t="inlineStr">
        <is>
          <t>세션에서, 팀이 압수한 통신 기록 분석 결과와 미술관·경매업계 통보 계획을 논의합니다. 유로폴과의 공조, 구매자 통보의 법적 문제, 그리고 알바로의 보도 시점이 차례로 정리됩니다.</t>
        </is>
      </c>
    </row>
    <row r="793" ht="15" customHeight="1" s="11">
      <c r="A793" s="13" t="n">
        <v>792</v>
      </c>
      <c r="B793" s="13" t="n">
        <v>52</v>
      </c>
      <c r="C793" s="14">
        <f>INDEX('부작 목록'!$C$2:$C$96,B793)</f>
        <v/>
      </c>
      <c r="D793" s="14" t="inlineStr">
        <is>
          <t>E 빅토르 안전가옥 세션</t>
        </is>
      </c>
      <c r="E793" s="13" t="n">
        <v>27172</v>
      </c>
      <c r="F793" s="13" t="n">
        <v>47</v>
      </c>
      <c r="G793" s="15" t="inlineStr">
        <is>
          <t>며칠 후, 마르코스가 압수된 컴퓨터에서 추가 증거를 발견하며 세션에 보고합니다. 숨겨진 폴더 안의 지시 문서가, 위조 작업을 누가 직접 지휘했는지에 대한 새로운 질문을 던집니다.</t>
        </is>
      </c>
    </row>
    <row r="794" ht="15" customHeight="1" s="11">
      <c r="A794" s="13" t="n">
        <v>793</v>
      </c>
      <c r="B794" s="13" t="n">
        <v>52</v>
      </c>
      <c r="C794" s="14">
        <f>INDEX('부작 목록'!$C$2:$C$96,B794)</f>
        <v/>
      </c>
      <c r="D794" s="14" t="inlineStr">
        <is>
          <t>E 빅토르 안전가옥 세션</t>
        </is>
      </c>
      <c r="E794" s="13" t="n">
        <v>27221</v>
      </c>
      <c r="F794" s="13" t="n">
        <v>47</v>
      </c>
      <c r="G794" s="15" t="inlineStr">
        <is>
          <t>일주일 후, 마르코스의 언어 분석 결과가 나오며 세션이 재개됩니다. 팀은 분석 방법의 신뢰도와 법정에서의 한계를 따져보며, 남은 증거 확보 방안을 논의합니다.</t>
        </is>
      </c>
    </row>
    <row r="795" ht="15" customHeight="1" s="11">
      <c r="A795" s="13" t="n">
        <v>794</v>
      </c>
      <c r="B795" s="13" t="n">
        <v>52</v>
      </c>
      <c r="C795" s="14">
        <f>INDEX('부작 목록'!$C$2:$C$96,B795)</f>
        <v/>
      </c>
      <c r="D795" s="14" t="inlineStr">
        <is>
          <t>E 빅토르 안전가옥 세션</t>
        </is>
      </c>
      <c r="E795" s="13" t="n">
        <v>27270</v>
      </c>
      <c r="F795" s="13" t="n">
        <v>47</v>
      </c>
      <c r="G795" s="15" t="inlineStr">
        <is>
          <t>며칠 후, 알바로의 기사가 발행되며 국제 미술계의 반응이 나타납니다. 세션에서 그 파장을 논의합니다. 알바로의 휴대전화는 쉴 새 없이 울리고, 팀은 피해자 보상과 에밀리오의 협조, 그리고 로셀요의 침묵을 짚어봅니다.</t>
        </is>
      </c>
    </row>
    <row r="796" ht="15" customHeight="1" s="11">
      <c r="A796" s="13" t="n">
        <v>795</v>
      </c>
      <c r="B796" s="13" t="n">
        <v>52</v>
      </c>
      <c r="C796" s="14">
        <f>INDEX('부작 목록'!$C$2:$C$96,B796)</f>
        <v/>
      </c>
      <c r="D796" s="14" t="inlineStr">
        <is>
          <t>E 빅토르 안전가옥 세션</t>
        </is>
      </c>
      <c r="E796" s="13" t="n">
        <v>27319</v>
      </c>
      <c r="F796" s="13" t="n">
        <v>48</v>
      </c>
      <c r="G796" s="15" t="inlineStr">
        <is>
          <t>카밀라가 남아있는 재무적 실마리를 더 조사하며, 관련된 두 번째 위조 공방의 흔적을 발견합니다. 같은 간격, 같은 비율로 반복되는 송금 패턴을 따라가던 그녀는 이탈리아를 가리키는 단서를 찾아내고, 팀은 론다 사건을 일단락짓습니다.</t>
        </is>
      </c>
    </row>
    <row r="797" ht="15" customHeight="1" s="11">
      <c r="A797" s="13" t="n">
        <v>796</v>
      </c>
      <c r="B797" s="13" t="n">
        <v>52</v>
      </c>
      <c r="C797" s="14">
        <f>INDEX('부작 목록'!$C$2:$C$96,B797)</f>
        <v/>
      </c>
      <c r="D797" s="14" t="inlineStr">
        <is>
          <t>E 빅토르 안전가옥 세션</t>
        </is>
      </c>
      <c r="E797" s="13" t="n">
        <v>27369</v>
      </c>
      <c r="F797" s="13" t="n">
        <v>50</v>
      </c>
      <c r="G797" s="15" t="inlineStr">
        <is>
          <t>몇 주 후, 이탈리아 공조 결과와 함께 카밀라가 이탈리아 측 협조 성과를 보고합니다. 피렌체 인근의 두 번째 공방이 압수수색되고, 팀은 로셀요가 공방마저 철저히 분리해 운영했다는 사실을 다시 확인합니다.</t>
        </is>
      </c>
    </row>
    <row r="798" ht="15" customHeight="1" s="11">
      <c r="A798" s="13" t="n">
        <v>797</v>
      </c>
      <c r="B798" s="13" t="n">
        <v>52</v>
      </c>
      <c r="C798" s="14">
        <f>INDEX('부작 목록'!$C$2:$C$96,B798)</f>
        <v/>
      </c>
      <c r="D798" s="14" t="inlineStr">
        <is>
          <t>E 빅토르 안전가옥 세션</t>
        </is>
      </c>
      <c r="E798" s="13" t="n">
        <v>27421</v>
      </c>
      <c r="F798" s="13" t="n">
        <v>50</v>
      </c>
      <c r="G798" s="15" t="inlineStr">
        <is>
          <t>그날 밤, 알바로와 카밀라가 예술품 위조 사건이 남긴 여운에 대해 이야기합니다. 저녁 식탁에서 시작된 대화는 에밀리오의 물감 묻은 손, 냉소에 맞서는 법, 그리고 주말 프라도 미술관 나들이 약속으로 이어집니다.</t>
        </is>
      </c>
    </row>
    <row r="799" ht="15" customHeight="1" s="11">
      <c r="A799" s="13" t="n">
        <v>798</v>
      </c>
      <c r="B799" s="13" t="n">
        <v>52</v>
      </c>
      <c r="C799" s="14">
        <f>INDEX('부작 목록'!$C$2:$C$96,B799)</f>
        <v/>
      </c>
      <c r="D799" s="14" t="inlineStr">
        <is>
          <t>E 빅토르 안전가옥 세션</t>
        </is>
      </c>
      <c r="E799" s="13" t="n">
        <v>27473</v>
      </c>
      <c r="F799" s="13" t="n">
        <v>50</v>
      </c>
      <c r="G799" s="15" t="inlineStr">
        <is>
          <t>다음 세션, 카를로스가 에밀리오 재판 준비 상황과 위조 미술품 회수 절차에 대해 업데이트합니다. 협조 합의의 조건, 이미 확인된 위작 소유자들의 엇갈린 반응, 그리고 아직 행방이 묘연한 일곱 점의 추적 방법이 논의됩니다.</t>
        </is>
      </c>
    </row>
    <row r="800" ht="15" customHeight="1" s="11">
      <c r="A800" s="13" t="n">
        <v>799</v>
      </c>
      <c r="B800" s="13" t="n">
        <v>52</v>
      </c>
      <c r="C800" s="14">
        <f>INDEX('부작 목록'!$C$2:$C$96,B800)</f>
        <v/>
      </c>
      <c r="D800" s="14" t="inlineStr">
        <is>
          <t>E 빅토르 안전가옥 세션</t>
        </is>
      </c>
      <c r="E800" s="13" t="n">
        <v>27525</v>
      </c>
      <c r="F800" s="13" t="n">
        <v>49</v>
      </c>
      <c r="G800" s="15" t="inlineStr">
        <is>
          <t>마지막 정리 세션. 팀 전체가 이 사건에서 얻은 교훈과 예술시장 규제 개선안을 논의하며 아크를 마무리합니다. 안료 분석의 비용과 한계, 위기에 처한 복원가를 감시가 아닌 지원으로 붙잡는 방안, 그리고 언론 보도의 역할까지 구체적인 제안이 오갑니다.</t>
        </is>
      </c>
    </row>
    <row r="801" ht="15" customHeight="1" s="11">
      <c r="A801" s="13" t="n">
        <v>800</v>
      </c>
      <c r="B801" s="13" t="n">
        <v>52</v>
      </c>
      <c r="C801" s="14">
        <f>INDEX('부작 목록'!$C$2:$C$96,B801)</f>
        <v/>
      </c>
      <c r="D801" s="14" t="inlineStr">
        <is>
          <t>E 빅토르 안전가옥 세션</t>
        </is>
      </c>
      <c r="E801" s="13" t="n">
        <v>27576</v>
      </c>
      <c r="F801" s="13" t="n">
        <v>50</v>
      </c>
      <c r="G801" s="15" t="inlineStr">
        <is>
          <t>몇 주 후, 에밀리오의 재판이 시작되며 알바로가 법정을 취재합니다. 에밀리오는 최후 진술에서 구매자들에게 사과하고, 선고 뒤 짧은 면담에서 알바로에게 아직 찾지 못한 일곱 점의 위작을 꼭 찾아 달라고 부탁합니다.</t>
        </is>
      </c>
    </row>
    <row r="802" ht="28.35" customHeight="1" s="11">
      <c r="A802" s="13" t="n">
        <v>801</v>
      </c>
      <c r="B802" s="13" t="n">
        <v>52</v>
      </c>
      <c r="C802" s="14">
        <f>INDEX('부작 목록'!$C$2:$C$96,B802)</f>
        <v/>
      </c>
      <c r="D802" s="14" t="inlineStr">
        <is>
          <t>E 빅토르 안전가옥 세션</t>
        </is>
      </c>
      <c r="E802" s="13" t="n">
        <v>27628</v>
      </c>
      <c r="F802" s="13" t="n">
        <v>49</v>
      </c>
      <c r="G802" s="15" t="inlineStr">
        <is>
          <t>팀 세션으로 돌아와, 카를로스가 이탈리아 공방 재판 결과와 유럽 전역의 후속 대응을 정리합니다. 주범이 급습 며칠 전 사라졌다는 사실에 알바로는 자신의 기사가 그에게 경고가 된 것은 아닌지 자책하고, 팀은 로셀요가 잃은 자금줄의 크기를 가늠합니다.</t>
        </is>
      </c>
    </row>
    <row r="803" ht="15" customHeight="1" s="11">
      <c r="A803" s="13" t="n">
        <v>802</v>
      </c>
      <c r="B803" s="13" t="n">
        <v>52</v>
      </c>
      <c r="C803" s="14">
        <f>INDEX('부작 목록'!$C$2:$C$96,B803)</f>
        <v/>
      </c>
      <c r="D803" s="14" t="inlineStr">
        <is>
          <t>E 빅토르 안전가옥 세션</t>
        </is>
      </c>
      <c r="E803" s="13" t="n">
        <v>27679</v>
      </c>
      <c r="F803" s="13" t="n">
        <v>47</v>
      </c>
      <c r="G803" s="15" t="inlineStr">
        <is>
          <t>세션에서, 카를로스가 이탈리아 측 재판 준비 상황과 유럽 공조 성과를 종합 보고합니다. 두 번째 위조범도 에밀리오와 똑같은 방식으로 포섭되었다는 사실이 드러나고, 마르코스는 포르투갈 쪽의 희미한 흔적을 조심스럽게 꺼냅니다.</t>
        </is>
      </c>
    </row>
    <row r="804" ht="15" customHeight="1" s="11">
      <c r="A804" s="13" t="n">
        <v>803</v>
      </c>
      <c r="B804" s="13" t="n">
        <v>52</v>
      </c>
      <c r="C804" s="14">
        <f>INDEX('부작 목록'!$C$2:$C$96,B804)</f>
        <v/>
      </c>
      <c r="D804" s="14" t="inlineStr">
        <is>
          <t>E 빅토르 안전가옥 세션</t>
        </is>
      </c>
      <c r="E804" s="13" t="n">
        <v>27728</v>
      </c>
      <c r="F804" s="13" t="n">
        <v>48</v>
      </c>
      <c r="G804" s="15" t="inlineStr">
        <is>
          <t>그날 밤, 알바로가 카밀라에게 전체 사건이 자신에게 남긴 깊은 인상을 이야기합니다. 진품이라는 '이야기'에 값을 매기는 사람들, 판 메이헤런의 일화, 그리고 조금씩 달라진 자기 모습에 대해 두 사람은 늦게까지 이야기를 나눕니다.</t>
        </is>
      </c>
    </row>
    <row r="805" ht="15" customHeight="1" s="11">
      <c r="A805" s="13" t="n">
        <v>804</v>
      </c>
      <c r="B805" s="13" t="n">
        <v>52</v>
      </c>
      <c r="C805" s="14">
        <f>INDEX('부작 목록'!$C$2:$C$96,B805)</f>
        <v/>
      </c>
      <c r="D805" s="14" t="inlineStr">
        <is>
          <t>E 빅토르 안전가옥 세션</t>
        </is>
      </c>
      <c r="E805" s="13" t="n">
        <v>27778</v>
      </c>
      <c r="F805" s="13" t="n">
        <v>47</v>
      </c>
      <c r="G805" s="15" t="inlineStr">
        <is>
          <t>마르코스가 포르투갈 쪽 의혹을 추가로 조사한 결과를 세션에 보고합니다. 수상한 흔적의 정체는 제3의 공방이 아니라 리스본의 선의의 수집가였고, 팀은 그에게 이 사실을 어떻게 알릴지 고민합니다.</t>
        </is>
      </c>
    </row>
    <row r="806" ht="15" customHeight="1" s="11">
      <c r="A806" s="13" t="n">
        <v>805</v>
      </c>
      <c r="B806" s="13" t="n">
        <v>52</v>
      </c>
      <c r="C806" s="14">
        <f>INDEX('부작 목록'!$C$2:$C$96,B806)</f>
        <v/>
      </c>
      <c r="D806" s="14" t="inlineStr">
        <is>
          <t>E 빅토르 안전가옥 세션</t>
        </is>
      </c>
      <c r="E806" s="13" t="n">
        <v>27827</v>
      </c>
      <c r="F806" s="13" t="n">
        <v>47</v>
      </c>
      <c r="G806" s="15" t="inlineStr">
        <is>
          <t>세션의 마지막 장면. 팀 전체가 이 사건을 공식적으로 종결하며 다음 사건으로 넘어갈 준비를 합니다. 카를로스가 화이트보드의 위작 사진들을 하나씩 떼어 내는 동안, 팀은 막아 낸 피해를 정리하고 다음에 다룰 무거운 사건을 앞두고 마음을 다잡습니다.</t>
        </is>
      </c>
    </row>
    <row r="807" ht="15" customHeight="1" s="11">
      <c r="A807" s="13" t="n">
        <v>806</v>
      </c>
      <c r="B807" s="13" t="n">
        <v>52</v>
      </c>
      <c r="C807" s="14">
        <f>INDEX('부작 목록'!$C$2:$C$96,B807)</f>
        <v/>
      </c>
      <c r="D807" s="14" t="inlineStr">
        <is>
          <t>E 빅토르 안전가옥 세션</t>
        </is>
      </c>
      <c r="E807" s="13" t="n">
        <v>27876</v>
      </c>
      <c r="F807" s="13" t="n">
        <v>48</v>
      </c>
      <c r="G807" s="15" t="inlineStr">
        <is>
          <t>세션이 끝난 뒤, 알바로가 빅토르에게 개인적으로 감사를 전하며 대화가 마무리됩니다. 빅토르는 조직 안에서 스스로에게 들려주던 변명을 처음으로 털어놓고, 다음 사건이 '피해자와 공범의 경계'를 시험하게 될 것이라고 경고합니다.</t>
        </is>
      </c>
    </row>
    <row r="808" ht="15" customHeight="1" s="11">
      <c r="A808" s="13" t="n">
        <v>807</v>
      </c>
      <c r="B808" s="13" t="n">
        <v>53</v>
      </c>
      <c r="C808" s="14">
        <f>INDEX('부작 목록'!$C$2:$C$96,B808)</f>
        <v/>
      </c>
      <c r="D808" s="14" t="inlineStr">
        <is>
          <t>E 빅토르 안전가옥 세션</t>
        </is>
      </c>
      <c r="E808" s="13" t="n">
        <v>27926</v>
      </c>
      <c r="F808" s="13" t="n">
        <v>16</v>
      </c>
      <c r="G808" s="15" t="inlineStr">
        <is>
          <t>새로운 국면. 빅토르가 '푸른 열차 작전'을 소개합니다 — 로셀요의 실제 이동 패턴(기차·항공·차 량)을 추적해 예측 가능한 규칙을 찾는 첫 단계입니다.</t>
        </is>
      </c>
    </row>
    <row r="809" ht="15" customHeight="1" s="11">
      <c r="A809" s="13" t="n">
        <v>808</v>
      </c>
      <c r="B809" s="13" t="n">
        <v>53</v>
      </c>
      <c r="C809" s="14">
        <f>INDEX('부작 목록'!$C$2:$C$96,B809)</f>
        <v/>
      </c>
      <c r="D809" s="14" t="inlineStr">
        <is>
          <t>E 빅토르 안전가옥 세션</t>
        </is>
      </c>
      <c r="E809" s="13" t="n">
        <v>27945</v>
      </c>
      <c r="F809" s="13" t="n">
        <v>10</v>
      </c>
      <c r="G809" s="15" t="inlineStr">
        <is>
          <t>일주일 후, 마르코스가 카드 사용 패턴 초기 분석 결과를 세션에 보고합니다.</t>
        </is>
      </c>
    </row>
    <row r="810" ht="15" customHeight="1" s="11">
      <c r="A810" s="13" t="n">
        <v>809</v>
      </c>
      <c r="B810" s="13" t="n">
        <v>53</v>
      </c>
      <c r="C810" s="14">
        <f>INDEX('부작 목록'!$C$2:$C$96,B810)</f>
        <v/>
      </c>
      <c r="D810" s="14" t="inlineStr">
        <is>
          <t>E 빅토르 안전가옥 세션</t>
        </is>
      </c>
      <c r="E810" s="13" t="n">
        <v>27957</v>
      </c>
      <c r="F810" s="13" t="n">
        <v>9</v>
      </c>
      <c r="G810" s="15" t="inlineStr">
        <is>
          <t>카를로스가 감시 배치 계획을 논의하며, 스위스·이탈리아 당국과의 공조를 확정합니다.</t>
        </is>
      </c>
    </row>
    <row r="811" ht="15" customHeight="1" s="11">
      <c r="A811" s="13" t="n">
        <v>810</v>
      </c>
      <c r="B811" s="13" t="n">
        <v>53</v>
      </c>
      <c r="C811" s="14">
        <f>INDEX('부작 목록'!$C$2:$C$96,B811)</f>
        <v/>
      </c>
      <c r="D811" s="14" t="inlineStr">
        <is>
          <t>E 빅토르 안전가옥 세션</t>
        </is>
      </c>
      <c r="E811" s="13" t="n">
        <v>27969</v>
      </c>
      <c r="F811" s="13" t="n">
        <v>8</v>
      </c>
      <c r="G811" s="15" t="inlineStr">
        <is>
          <t>열흘 후, 감시 첫날. 팀이 실시간으로 결과를 기다립니다.</t>
        </is>
      </c>
    </row>
    <row r="812" ht="15" customHeight="1" s="11">
      <c r="A812" s="13" t="n">
        <v>811</v>
      </c>
      <c r="B812" s="13" t="n">
        <v>53</v>
      </c>
      <c r="C812" s="14">
        <f>INDEX('부작 목록'!$C$2:$C$96,B812)</f>
        <v/>
      </c>
      <c r="D812" s="14" t="inlineStr">
        <is>
          <t>E 빅토르 안전가옥 세션</t>
        </is>
      </c>
      <c r="E812" s="13" t="n">
        <v>27979</v>
      </c>
      <c r="F812" s="13" t="n">
        <v>8</v>
      </c>
      <c r="G812" s="15" t="inlineStr">
        <is>
          <t>이탈리아 경찰이 밀라노역에서 로셀요를 목격한 뒤 후속 상황을 보고합니다.</t>
        </is>
      </c>
    </row>
    <row r="813" ht="15" customHeight="1" s="11">
      <c r="A813" s="13" t="n">
        <v>812</v>
      </c>
      <c r="B813" s="13" t="n">
        <v>53</v>
      </c>
      <c r="C813" s="14">
        <f>INDEX('부작 목록'!$C$2:$C$96,B813)</f>
        <v/>
      </c>
      <c r="D813" s="14" t="inlineStr">
        <is>
          <t>E 빅토르 안전가옥 세션</t>
        </is>
      </c>
      <c r="E813" s="13" t="n">
        <v>27990</v>
      </c>
      <c r="F813" s="13" t="n">
        <v>8</v>
      </c>
      <c r="G813" s="15" t="inlineStr">
        <is>
          <t>며칠 후, 카밀라가 밀라노 건물 조사 결과를 세션에 보고합니다.</t>
        </is>
      </c>
    </row>
    <row r="814" ht="15" customHeight="1" s="11">
      <c r="A814" s="13" t="n">
        <v>813</v>
      </c>
      <c r="B814" s="13" t="n">
        <v>53</v>
      </c>
      <c r="C814" s="14">
        <f>INDEX('부작 목록'!$C$2:$C$96,B814)</f>
        <v/>
      </c>
      <c r="D814" s="14" t="inlineStr">
        <is>
          <t>E 빅토르 안전가옥 세션</t>
        </is>
      </c>
      <c r="E814" s="13" t="n">
        <v>28000</v>
      </c>
      <c r="F814" s="13" t="n">
        <v>9</v>
      </c>
      <c r="G814" s="15" t="inlineStr">
        <is>
          <t>카를로스가 다음 달 감시를 강화하는 계획을 세우며, 이탈리아 당국과 확대된 공조를 논의합니 다.</t>
        </is>
      </c>
    </row>
    <row r="815" ht="15" customHeight="1" s="11">
      <c r="A815" s="13" t="n">
        <v>814</v>
      </c>
      <c r="B815" s="13" t="n">
        <v>53</v>
      </c>
      <c r="C815" s="14">
        <f>INDEX('부작 목록'!$C$2:$C$96,B815)</f>
        <v/>
      </c>
      <c r="D815" s="14" t="inlineStr">
        <is>
          <t>E 빅토르 안전가옥 세션</t>
        </is>
      </c>
      <c r="E815" s="13" t="n">
        <v>28012</v>
      </c>
      <c r="F815" s="13" t="n">
        <v>8</v>
      </c>
      <c r="G815" s="15" t="inlineStr">
        <is>
          <t>그날 밤, 알바로가 카밀라에게 로셀요를 직접 목격한 순간의 감정을 이야기합니다.</t>
        </is>
      </c>
    </row>
    <row r="816" ht="15" customHeight="1" s="11">
      <c r="A816" s="13" t="n">
        <v>815</v>
      </c>
      <c r="B816" s="13" t="n">
        <v>53</v>
      </c>
      <c r="C816" s="14">
        <f>INDEX('부작 목록'!$C$2:$C$96,B816)</f>
        <v/>
      </c>
      <c r="D816" s="14" t="inlineStr">
        <is>
          <t>E 빅토르 안전가옥 세션</t>
        </is>
      </c>
      <c r="E816" s="13" t="n">
        <v>28022</v>
      </c>
      <c r="F816" s="13" t="n">
        <v>8</v>
      </c>
      <c r="G816" s="15" t="inlineStr">
        <is>
          <t>한 달 후, 다음 감시 사이클이 시작되며 세션에서 새로운 결과를 확인합니다.</t>
        </is>
      </c>
    </row>
    <row r="817" ht="15" customHeight="1" s="11">
      <c r="A817" s="13" t="n">
        <v>816</v>
      </c>
      <c r="B817" s="13" t="n">
        <v>53</v>
      </c>
      <c r="C817" s="14">
        <f>INDEX('부작 목록'!$C$2:$C$96,B817)</f>
        <v/>
      </c>
      <c r="D817" s="14" t="inlineStr">
        <is>
          <t>E 빅토르 안전가옥 세션</t>
        </is>
      </c>
      <c r="E817" s="13" t="n">
        <v>28033</v>
      </c>
      <c r="F817" s="13" t="n">
        <v>8</v>
      </c>
      <c r="G817" s="15" t="inlineStr">
        <is>
          <t>빅토르가 그 경호 차량이 자칼 팀과 관련이 있을 가능성을 제기합니다.</t>
        </is>
      </c>
    </row>
    <row r="818" ht="15" customHeight="1" s="11">
      <c r="A818" s="13" t="n">
        <v>817</v>
      </c>
      <c r="B818" s="13" t="n">
        <v>53</v>
      </c>
      <c r="C818" s="14">
        <f>INDEX('부작 목록'!$C$2:$C$96,B818)</f>
        <v/>
      </c>
      <c r="D818" s="14" t="inlineStr">
        <is>
          <t>E 빅토르 안전가옥 세션</t>
        </is>
      </c>
      <c r="E818" s="13" t="n">
        <v>28043</v>
      </c>
      <c r="F818" s="13" t="n">
        <v>8</v>
      </c>
      <c r="G818" s="15" t="inlineStr">
        <is>
          <t>카를로스가 이 발견에 대한 대응 전략을 정리하며 다음 단계를 지시합니다.</t>
        </is>
      </c>
    </row>
    <row r="819" ht="15" customHeight="1" s="11">
      <c r="A819" s="13" t="n">
        <v>818</v>
      </c>
      <c r="B819" s="13" t="n">
        <v>53</v>
      </c>
      <c r="C819" s="14">
        <f>INDEX('부작 목록'!$C$2:$C$96,B819)</f>
        <v/>
      </c>
      <c r="D819" s="14" t="inlineStr">
        <is>
          <t>E 빅토르 안전가옥 세션</t>
        </is>
      </c>
      <c r="E819" s="13" t="n">
        <v>28054</v>
      </c>
      <c r="F819" s="13" t="n">
        <v>8</v>
      </c>
      <c r="G819" s="15" t="inlineStr">
        <is>
          <t>며칠 후, 다른 두 노선(취리히-파리, 마드리드-리스본)에 대한 조사 결과가 보고됩니다.</t>
        </is>
      </c>
    </row>
    <row r="820" ht="15" customHeight="1" s="11">
      <c r="A820" s="13" t="n">
        <v>819</v>
      </c>
      <c r="B820" s="13" t="n">
        <v>53</v>
      </c>
      <c r="C820" s="14">
        <f>INDEX('부작 목록'!$C$2:$C$96,B820)</f>
        <v/>
      </c>
      <c r="D820" s="14" t="inlineStr">
        <is>
          <t>E 빅토르 안전가옥 세션</t>
        </is>
      </c>
      <c r="E820" s="13" t="n">
        <v>28064</v>
      </c>
      <c r="F820" s="13" t="n">
        <v>8</v>
      </c>
      <c r="G820" s="15" t="inlineStr">
        <is>
          <t>세 번째 감시 사이클. 팀이 이번엔 더 가까이서 관찰하며 새로운 정보를 얻습니다.</t>
        </is>
      </c>
    </row>
    <row r="821" ht="15" customHeight="1" s="11">
      <c r="A821" s="13" t="n">
        <v>820</v>
      </c>
      <c r="B821" s="13" t="n">
        <v>53</v>
      </c>
      <c r="C821" s="14">
        <f>INDEX('부작 목록'!$C$2:$C$96,B821)</f>
        <v/>
      </c>
      <c r="D821" s="14" t="inlineStr">
        <is>
          <t>E 빅토르 안전가옥 세션</t>
        </is>
      </c>
      <c r="E821" s="13" t="n">
        <v>28075</v>
      </c>
      <c r="F821" s="13" t="n">
        <v>8</v>
      </c>
      <c r="G821" s="15" t="inlineStr">
        <is>
          <t>며칠 후, 카밀라가 그 여성의 신원을 확인한 결과를 보고합니다.</t>
        </is>
      </c>
    </row>
    <row r="822" ht="28.35" customHeight="1" s="11">
      <c r="A822" s="13" t="n">
        <v>821</v>
      </c>
      <c r="B822" s="13" t="n">
        <v>53</v>
      </c>
      <c r="C822" s="14">
        <f>INDEX('부작 목록'!$C$2:$C$96,B822)</f>
        <v/>
      </c>
      <c r="D822" s="14" t="inlineStr">
        <is>
          <t>E 빅토르 안전가옥 세션</t>
        </is>
      </c>
      <c r="E822" s="13" t="n">
        <v>28085</v>
      </c>
      <c r="F822" s="13" t="n">
        <v>8</v>
      </c>
      <c r="G822" s="15" t="inlineStr">
        <is>
          <t>빅토르가 이 세 번째 관찰 주기 전체를 종합하며 다음 단계로 넘어갈 시점을 판단합니다.</t>
        </is>
      </c>
    </row>
    <row r="823" ht="15" customHeight="1" s="11">
      <c r="A823" s="13" t="n">
        <v>822</v>
      </c>
      <c r="B823" s="13" t="n">
        <v>53</v>
      </c>
      <c r="C823" s="14">
        <f>INDEX('부작 목록'!$C$2:$C$96,B823)</f>
        <v/>
      </c>
      <c r="D823" s="14" t="inlineStr">
        <is>
          <t>E 빅토르 안전가옥 세션</t>
        </is>
      </c>
      <c r="E823" s="13" t="n">
        <v>28096</v>
      </c>
      <c r="F823" s="13" t="n">
        <v>7</v>
      </c>
      <c r="G823" s="15" t="inlineStr">
        <is>
          <t>카를로스가 밀라노 감시를 계속 유지할지, 아니면 자원을 재배치할지 실무적으로 논의합니다.</t>
        </is>
      </c>
    </row>
    <row r="824" ht="15" customHeight="1" s="11">
      <c r="A824" s="13" t="n">
        <v>823</v>
      </c>
      <c r="B824" s="13" t="n">
        <v>53</v>
      </c>
      <c r="C824" s="14">
        <f>INDEX('부작 목록'!$C$2:$C$96,B824)</f>
        <v/>
      </c>
      <c r="D824" s="14" t="inlineStr">
        <is>
          <t>E 빅토르 안전가옥 세션</t>
        </is>
      </c>
      <c r="E824" s="13" t="n">
        <v>28105</v>
      </c>
      <c r="F824" s="13" t="n">
        <v>8</v>
      </c>
      <c r="G824" s="15" t="inlineStr">
        <is>
          <t>그날 밤, 알바로와 카밀라가 이번 작전의 성과를 되짚으며 저녁을 마무리합니다.</t>
        </is>
      </c>
    </row>
    <row r="825" ht="15" customHeight="1" s="11">
      <c r="A825" s="13" t="n">
        <v>824</v>
      </c>
      <c r="B825" s="13" t="n">
        <v>53</v>
      </c>
      <c r="C825" s="14">
        <f>INDEX('부작 목록'!$C$2:$C$96,B825)</f>
        <v/>
      </c>
      <c r="D825" s="14" t="inlineStr">
        <is>
          <t>E 빅토르 안전가옥 세션</t>
        </is>
      </c>
      <c r="E825" s="13" t="n">
        <v>28116</v>
      </c>
      <c r="F825" s="13" t="n">
        <v>7</v>
      </c>
      <c r="G825" s="15" t="inlineStr">
        <is>
          <t>다음 날 아침, 팀 전체가 모여 푸른 열차 작전을 공식적으로 마무리하며 종합 요약을 정리합니 다.</t>
        </is>
      </c>
    </row>
    <row r="826" ht="15" customHeight="1" s="11">
      <c r="A826" s="13" t="n">
        <v>825</v>
      </c>
      <c r="B826" s="13" t="n">
        <v>53</v>
      </c>
      <c r="C826" s="14">
        <f>INDEX('부작 목록'!$C$2:$C$96,B826)</f>
        <v/>
      </c>
      <c r="D826" s="14" t="inlineStr">
        <is>
          <t>E 빅토르 안전가옥 세션</t>
        </is>
      </c>
      <c r="E826" s="13" t="n">
        <v>28125</v>
      </c>
      <c r="F826" s="13" t="n">
        <v>6</v>
      </c>
      <c r="G826" s="15" t="inlineStr">
        <is>
          <t>카를로스가 팀에게 잠시 휴식을 권하며, 다음 세션 일정을 확정합니다.</t>
        </is>
      </c>
    </row>
    <row r="827" ht="15" customHeight="1" s="11">
      <c r="A827" s="13" t="n">
        <v>826</v>
      </c>
      <c r="B827" s="13" t="n">
        <v>53</v>
      </c>
      <c r="C827" s="14">
        <f>INDEX('부작 목록'!$C$2:$C$96,B827)</f>
        <v/>
      </c>
      <c r="D827" s="14" t="inlineStr">
        <is>
          <t>E 빅토르 안전가옥 세션</t>
        </is>
      </c>
      <c r="E827" s="13" t="n">
        <v>28134</v>
      </c>
      <c r="F827" s="13" t="n">
        <v>8</v>
      </c>
      <c r="G827" s="15" t="inlineStr">
        <is>
          <t>그 짧은 휴식일, 알바로가 카밀라와 조용한 시간을 보냅니다.</t>
        </is>
      </c>
    </row>
    <row r="828" ht="15" customHeight="1" s="11">
      <c r="A828" s="13" t="n">
        <v>827</v>
      </c>
      <c r="B828" s="13" t="n">
        <v>54</v>
      </c>
      <c r="C828" s="14">
        <f>INDEX('부작 목록'!$C$2:$C$96,B828)</f>
        <v/>
      </c>
      <c r="D828" s="14" t="inlineStr">
        <is>
          <t>E 빅토르 안전가옥 세션</t>
        </is>
      </c>
      <c r="E828" s="13" t="n">
        <v>28144</v>
      </c>
      <c r="F828" s="13" t="n">
        <v>15</v>
      </c>
      <c r="G828" s="15" t="inlineStr">
        <is>
          <t>세션 재개. 빅토르가 '묘지 작전'을 소개합니다 — 제네바, 니스, 칸타브리아 등 과거 흔적들을 다시 파헤쳐 예측 가능한 패턴을 찾는 작업입니다.</t>
        </is>
      </c>
    </row>
    <row r="829" ht="15" customHeight="1" s="11">
      <c r="A829" s="13" t="n">
        <v>828</v>
      </c>
      <c r="B829" s="13" t="n">
        <v>54</v>
      </c>
      <c r="C829" s="14">
        <f>INDEX('부작 목록'!$C$2:$C$96,B829)</f>
        <v/>
      </c>
      <c r="D829" s="14" t="inlineStr">
        <is>
          <t>E 빅토르 안전가옥 세션</t>
        </is>
      </c>
      <c r="E829" s="13" t="n">
        <v>28162</v>
      </c>
      <c r="F829" s="13" t="n">
        <v>9</v>
      </c>
      <c r="G829" s="15" t="inlineStr">
        <is>
          <t>며칠 후, 카밀라가 제네바 호텔 재방문 여부를 조사한 결과를 세션에 보고합니다.</t>
        </is>
      </c>
    </row>
    <row r="830" ht="15" customHeight="1" s="11">
      <c r="A830" s="13" t="n">
        <v>829</v>
      </c>
      <c r="B830" s="13" t="n">
        <v>54</v>
      </c>
      <c r="C830" s="14">
        <f>INDEX('부작 목록'!$C$2:$C$96,B830)</f>
        <v/>
      </c>
      <c r="D830" s="14" t="inlineStr">
        <is>
          <t>E 빅토르 안전가옥 세션</t>
        </is>
      </c>
      <c r="E830" s="13" t="n">
        <v>28174</v>
      </c>
      <c r="F830" s="13" t="n">
        <v>9</v>
      </c>
      <c r="G830" s="15" t="inlineStr">
        <is>
          <t>카밀라가 니스 사건의 노트북에 대해 다시 조사한 결과를 세션에서 공유합니다.</t>
        </is>
      </c>
    </row>
    <row r="831" ht="15" customHeight="1" s="11">
      <c r="A831" s="13" t="n">
        <v>830</v>
      </c>
      <c r="B831" s="13" t="n">
        <v>54</v>
      </c>
      <c r="C831" s="14">
        <f>INDEX('부작 목록'!$C$2:$C$96,B831)</f>
        <v/>
      </c>
      <c r="D831" s="14" t="inlineStr">
        <is>
          <t>E 빅토르 안전가옥 세션</t>
        </is>
      </c>
      <c r="E831" s="13" t="n">
        <v>28185</v>
      </c>
      <c r="F831" s="13" t="n">
        <v>9</v>
      </c>
      <c r="G831" s="15" t="inlineStr">
        <is>
          <t>일주일 후, 마르코스가 복구된 파일 결과를 세션에 보고합니다.</t>
        </is>
      </c>
    </row>
    <row r="832" ht="15" customHeight="1" s="11">
      <c r="A832" s="13" t="n">
        <v>831</v>
      </c>
      <c r="B832" s="13" t="n">
        <v>54</v>
      </c>
      <c r="C832" s="14">
        <f>INDEX('부작 목록'!$C$2:$C$96,B832)</f>
        <v/>
      </c>
      <c r="D832" s="14" t="inlineStr">
        <is>
          <t>E 빅토르 안전가옥 세션</t>
        </is>
      </c>
      <c r="E832" s="13" t="n">
        <v>28197</v>
      </c>
      <c r="F832" s="13" t="n">
        <v>8</v>
      </c>
      <c r="G832" s="15" t="inlineStr">
        <is>
          <t>며칠 후, 카밀라가 루체른 부동산 등기 조사 결과를 세션에 보고합니다.</t>
        </is>
      </c>
    </row>
    <row r="833" ht="15" customHeight="1" s="11">
      <c r="A833" s="13" t="n">
        <v>832</v>
      </c>
      <c r="B833" s="13" t="n">
        <v>54</v>
      </c>
      <c r="C833" s="14">
        <f>INDEX('부작 목록'!$C$2:$C$96,B833)</f>
        <v/>
      </c>
      <c r="D833" s="14" t="inlineStr">
        <is>
          <t>E 빅토르 안전가옥 세션</t>
        </is>
      </c>
      <c r="E833" s="13" t="n">
        <v>28207</v>
      </c>
      <c r="F833" s="13" t="n">
        <v>8</v>
      </c>
      <c r="G833" s="15" t="inlineStr">
        <is>
          <t>알바로가 칸타브리아 저택 사건도 재검토할 것을 제안하며, 세 사람이 그 가능성을 논의합니다.</t>
        </is>
      </c>
    </row>
    <row r="834" ht="15" customHeight="1" s="11">
      <c r="A834" s="13" t="n">
        <v>833</v>
      </c>
      <c r="B834" s="13" t="n">
        <v>54</v>
      </c>
      <c r="C834" s="14">
        <f>INDEX('부작 목록'!$C$2:$C$96,B834)</f>
        <v/>
      </c>
      <c r="D834" s="14" t="inlineStr">
        <is>
          <t>E 빅토르 안전가옥 세션</t>
        </is>
      </c>
      <c r="E834" s="13" t="n">
        <v>28218</v>
      </c>
      <c r="F834" s="13" t="n">
        <v>9</v>
      </c>
      <c r="G834" s="15" t="inlineStr">
        <is>
          <t>며칠 후, 카밀라가 칸타브리아 저택의 최근 활동 기록을 세션에 보고합니다.</t>
        </is>
      </c>
    </row>
    <row r="835" ht="15" customHeight="1" s="11">
      <c r="A835" s="13" t="n">
        <v>834</v>
      </c>
      <c r="B835" s="13" t="n">
        <v>54</v>
      </c>
      <c r="C835" s="14">
        <f>INDEX('부작 목록'!$C$2:$C$96,B835)</f>
        <v/>
      </c>
      <c r="D835" s="14" t="inlineStr">
        <is>
          <t>E 빅토르 안전가옥 세션</t>
        </is>
      </c>
      <c r="E835" s="13" t="n">
        <v>28229</v>
      </c>
      <c r="F835" s="13" t="n">
        <v>9</v>
      </c>
      <c r="G835" s="15" t="inlineStr">
        <is>
          <t>다음 날, 알바로가 도밍고에게 그 방에 대해 물어보며 새로운 단서를 확보합니다.</t>
        </is>
      </c>
    </row>
    <row r="836" ht="15" customHeight="1" s="11">
      <c r="A836" s="13" t="n">
        <v>835</v>
      </c>
      <c r="B836" s="13" t="n">
        <v>54</v>
      </c>
      <c r="C836" s="14">
        <f>INDEX('부작 목록'!$C$2:$C$96,B836)</f>
        <v/>
      </c>
      <c r="D836" s="14" t="inlineStr">
        <is>
          <t>E 빅토르 안전가옥 세션</t>
        </is>
      </c>
      <c r="E836" s="13" t="n">
        <v>28241</v>
      </c>
      <c r="F836" s="13" t="n">
        <v>8</v>
      </c>
      <c r="G836" s="15" t="inlineStr">
        <is>
          <t>카를로스가 그 방 진입을 위한 법적 절차와 실행 계획을 논의합니다.</t>
        </is>
      </c>
    </row>
    <row r="837" ht="15" customHeight="1" s="11">
      <c r="A837" s="13" t="n">
        <v>836</v>
      </c>
      <c r="B837" s="13" t="n">
        <v>54</v>
      </c>
      <c r="C837" s="14">
        <f>INDEX('부작 목록'!$C$2:$C$96,B837)</f>
        <v/>
      </c>
      <c r="D837" s="14" t="inlineStr">
        <is>
          <t>E 빅토르 안전가옥 세션</t>
        </is>
      </c>
      <c r="E837" s="13" t="n">
        <v>28251</v>
      </c>
      <c r="F837" s="13" t="n">
        <v>9</v>
      </c>
      <c r="G837" s="15" t="inlineStr">
        <is>
          <t>사흘 후, 승인이 나오며 팀이 칸타브리아 저택으로 향합니다.</t>
        </is>
      </c>
    </row>
    <row r="838" ht="15" customHeight="1" s="11">
      <c r="A838" s="13" t="n">
        <v>837</v>
      </c>
      <c r="B838" s="13" t="n">
        <v>54</v>
      </c>
      <c r="C838" s="14">
        <f>INDEX('부작 목록'!$C$2:$C$96,B838)</f>
        <v/>
      </c>
      <c r="D838" s="14" t="inlineStr">
        <is>
          <t>E 빅토르 안전가옥 세션</t>
        </is>
      </c>
      <c r="E838" s="13" t="n">
        <v>28263</v>
      </c>
      <c r="F838" s="13" t="n">
        <v>9</v>
      </c>
      <c r="G838" s="15" t="inlineStr">
        <is>
          <t>문이 열리며 방 내부의 발견이 실시간으로 공유됩니다.</t>
        </is>
      </c>
    </row>
    <row r="839" ht="15" customHeight="1" s="11">
      <c r="A839" s="13" t="n">
        <v>838</v>
      </c>
      <c r="B839" s="13" t="n">
        <v>54</v>
      </c>
      <c r="C839" s="14">
        <f>INDEX('부작 목록'!$C$2:$C$96,B839)</f>
        <v/>
      </c>
      <c r="D839" s="14" t="inlineStr">
        <is>
          <t>E 빅토르 안전가옥 세션</t>
        </is>
      </c>
      <c r="E839" s="13" t="n">
        <v>28274</v>
      </c>
      <c r="F839" s="13" t="n">
        <v>9</v>
      </c>
      <c r="G839" s="15" t="inlineStr">
        <is>
          <t>금고 개봉이 이어지며, 그 안의 내용이 확인됩니다.</t>
        </is>
      </c>
    </row>
    <row r="840" ht="15" customHeight="1" s="11">
      <c r="A840" s="13" t="n">
        <v>839</v>
      </c>
      <c r="B840" s="13" t="n">
        <v>54</v>
      </c>
      <c r="C840" s="14">
        <f>INDEX('부작 목록'!$C$2:$C$96,B840)</f>
        <v/>
      </c>
      <c r="D840" s="14" t="inlineStr">
        <is>
          <t>E 빅토르 안전가옥 세션</t>
        </is>
      </c>
      <c r="E840" s="13" t="n">
        <v>28286</v>
      </c>
      <c r="F840" s="13" t="n">
        <v>9</v>
      </c>
      <c r="G840" s="15" t="inlineStr">
        <is>
          <t>그날 밤, 안전가옥에서 팀 전체가 발견한 편지 중 하나를 함께 읽습니다.</t>
        </is>
      </c>
    </row>
    <row r="841" ht="15" customHeight="1" s="11">
      <c r="A841" s="13" t="n">
        <v>840</v>
      </c>
      <c r="B841" s="13" t="n">
        <v>54</v>
      </c>
      <c r="C841" s="14">
        <f>INDEX('부작 목록'!$C$2:$C$96,B841)</f>
        <v/>
      </c>
      <c r="D841" s="14" t="inlineStr">
        <is>
          <t>E 빅토르 안전가옥 세션</t>
        </is>
      </c>
      <c r="E841" s="13" t="n">
        <v>28297</v>
      </c>
      <c r="F841" s="13" t="n">
        <v>8</v>
      </c>
      <c r="G841" s="15" t="inlineStr">
        <is>
          <t>다음 날, 루체른 재단 관련 새로운 정보와 니스 노트북 결과가 종합됩니다.</t>
        </is>
      </c>
    </row>
    <row r="842" ht="28.35" customHeight="1" s="11">
      <c r="A842" s="13" t="n">
        <v>841</v>
      </c>
      <c r="B842" s="13" t="n">
        <v>54</v>
      </c>
      <c r="C842" s="14">
        <f>INDEX('부작 목록'!$C$2:$C$96,B842)</f>
        <v/>
      </c>
      <c r="D842" s="14" t="inlineStr">
        <is>
          <t>E 빅토르 안전가옥 세션</t>
        </is>
      </c>
      <c r="E842" s="13" t="n">
        <v>28308</v>
      </c>
      <c r="F842" s="13" t="n">
        <v>7</v>
      </c>
      <c r="G842" s="15" t="inlineStr">
        <is>
          <t>카를로스가 루체른 재단 조사를 위한 스위스 당국 협조 절차를 개시합니다.</t>
        </is>
      </c>
    </row>
    <row r="843" ht="15" customHeight="1" s="11">
      <c r="A843" s="13" t="n">
        <v>842</v>
      </c>
      <c r="B843" s="13" t="n">
        <v>54</v>
      </c>
      <c r="C843" s="14">
        <f>INDEX('부작 목록'!$C$2:$C$96,B843)</f>
        <v/>
      </c>
      <c r="D843" s="14" t="inlineStr">
        <is>
          <t>E 빅토르 안전가옥 세션</t>
        </is>
      </c>
      <c r="E843" s="13" t="n">
        <v>28317</v>
      </c>
      <c r="F843" s="13" t="n">
        <v>7</v>
      </c>
      <c r="G843" s="15" t="inlineStr">
        <is>
          <t>일주일 후, 카밀라가 재단 관리인을 특정한 결과를 세션에 보고합니다.</t>
        </is>
      </c>
    </row>
    <row r="844" ht="15" customHeight="1" s="11">
      <c r="A844" s="13" t="n">
        <v>843</v>
      </c>
      <c r="B844" s="13" t="n">
        <v>54</v>
      </c>
      <c r="C844" s="14">
        <f>INDEX('부작 목록'!$C$2:$C$96,B844)</f>
        <v/>
      </c>
      <c r="D844" s="14" t="inlineStr">
        <is>
          <t>E 빅토르 안전가옥 세션</t>
        </is>
      </c>
      <c r="E844" s="13" t="n">
        <v>28327</v>
      </c>
      <c r="F844" s="13" t="n">
        <v>8</v>
      </c>
      <c r="G844" s="15" t="inlineStr">
        <is>
          <t>일주일 후, 스위스 변호사와의 면담이 성사되며 그 내용이 세션에 공유됩니다.</t>
        </is>
      </c>
    </row>
    <row r="845" ht="15" customHeight="1" s="11">
      <c r="A845" s="13" t="n">
        <v>844</v>
      </c>
      <c r="B845" s="13" t="n">
        <v>54</v>
      </c>
      <c r="C845" s="14">
        <f>INDEX('부작 목록'!$C$2:$C$96,B845)</f>
        <v/>
      </c>
      <c r="D845" s="14" t="inlineStr">
        <is>
          <t>E 빅토르 안전가옥 세션</t>
        </is>
      </c>
      <c r="E845" s="13" t="n">
        <v>28337</v>
      </c>
      <c r="F845" s="13" t="n">
        <v>9</v>
      </c>
      <c r="G845" s="15" t="inlineStr">
        <is>
          <t>며칠 후, 통신 기록 분석 결과가 나오며 결정적 단서가 발견됩니다.</t>
        </is>
      </c>
    </row>
    <row r="846" ht="15" customHeight="1" s="11">
      <c r="A846" s="13" t="n">
        <v>845</v>
      </c>
      <c r="B846" s="13" t="n">
        <v>54</v>
      </c>
      <c r="C846" s="14">
        <f>INDEX('부작 목록'!$C$2:$C$96,B846)</f>
        <v/>
      </c>
      <c r="D846" s="14" t="inlineStr">
        <is>
          <t>E 빅토르 안전가옥 세션</t>
        </is>
      </c>
      <c r="E846" s="13" t="n">
        <v>28349</v>
      </c>
      <c r="F846" s="13" t="n">
        <v>8</v>
      </c>
      <c r="G846" s="15" t="inlineStr">
        <is>
          <t>빅토르가 묘지 작전 전체를 종합하며 다음 단계인 바위 작전으로의 전환을 제안합니다.</t>
        </is>
      </c>
    </row>
    <row r="847" ht="15" customHeight="1" s="11">
      <c r="A847" s="13" t="n">
        <v>846</v>
      </c>
      <c r="B847" s="13" t="n">
        <v>54</v>
      </c>
      <c r="C847" s="14">
        <f>INDEX('부작 목록'!$C$2:$C$96,B847)</f>
        <v/>
      </c>
      <c r="D847" s="14" t="inlineStr">
        <is>
          <t>E 빅토르 안전가옥 세션</t>
        </is>
      </c>
      <c r="E847" s="13" t="n">
        <v>28359</v>
      </c>
      <c r="F847" s="13" t="n">
        <v>10</v>
      </c>
      <c r="G847" s="15" t="inlineStr">
        <is>
          <t>카를로스가 도밍고에게 저택 발견 소식을 알리며, 그의 협력에 다시 한번 감사를 전합니다.</t>
        </is>
      </c>
    </row>
    <row r="848" ht="15" customHeight="1" s="11">
      <c r="A848" s="13" t="n">
        <v>847</v>
      </c>
      <c r="B848" s="13" t="n">
        <v>55</v>
      </c>
      <c r="C848" s="14">
        <f>INDEX('부작 목록'!$C$2:$C$96,B848)</f>
        <v/>
      </c>
      <c r="D848" s="14" t="inlineStr">
        <is>
          <t>E 빅토르 안전가옥 세션</t>
        </is>
      </c>
      <c r="E848" s="13" t="n">
        <v>28372</v>
      </c>
      <c r="F848" s="13" t="n">
        <v>9</v>
      </c>
      <c r="G848" s="15" t="inlineStr">
        <is>
          <t>새로운 세션. 빅토르가 '바위 작전'을 소개합니다 — 루체른 인근에서 로셀요가 절대 포기하지 못할 고정 거점을 찾는 작업입니다.</t>
        </is>
      </c>
    </row>
    <row r="849" ht="15" customHeight="1" s="11">
      <c r="A849" s="13" t="n">
        <v>848</v>
      </c>
      <c r="B849" s="13" t="n">
        <v>55</v>
      </c>
      <c r="C849" s="14">
        <f>INDEX('부작 목록'!$C$2:$C$96,B849)</f>
        <v/>
      </c>
      <c r="D849" s="14" t="inlineStr">
        <is>
          <t>E 빅토르 안전가옥 세션</t>
        </is>
      </c>
      <c r="E849" s="13" t="n">
        <v>28383</v>
      </c>
      <c r="F849" s="13" t="n">
        <v>8</v>
      </c>
      <c r="G849" s="15" t="inlineStr">
        <is>
          <t>며칠 후, 카밀라가 초기 후보 목록을 세션에 보고합니다.</t>
        </is>
      </c>
    </row>
    <row r="850" ht="15" customHeight="1" s="11">
      <c r="A850" s="13" t="n">
        <v>849</v>
      </c>
      <c r="B850" s="13" t="n">
        <v>55</v>
      </c>
      <c r="C850" s="14">
        <f>INDEX('부작 목록'!$C$2:$C$96,B850)</f>
        <v/>
      </c>
      <c r="D850" s="14" t="inlineStr">
        <is>
          <t>E 빅토르 안전가옥 세션</t>
        </is>
      </c>
      <c r="E850" s="13" t="n">
        <v>28394</v>
      </c>
      <c r="F850" s="13" t="n">
        <v>8</v>
      </c>
      <c r="G850" s="15" t="inlineStr">
        <is>
          <t>마르코스가 위성사진 분석 결과를 세션에 보고합니다.</t>
        </is>
      </c>
    </row>
    <row r="851" ht="15" customHeight="1" s="11">
      <c r="A851" s="13" t="n">
        <v>850</v>
      </c>
      <c r="B851" s="13" t="n">
        <v>55</v>
      </c>
      <c r="C851" s="14">
        <f>INDEX('부작 목록'!$C$2:$C$96,B851)</f>
        <v/>
      </c>
      <c r="D851" s="14" t="inlineStr">
        <is>
          <t>E 빅토르 안전가옥 세션</t>
        </is>
      </c>
      <c r="E851" s="13" t="n">
        <v>28404</v>
      </c>
      <c r="F851" s="13" t="n">
        <v>7</v>
      </c>
      <c r="G851" s="15" t="inlineStr">
        <is>
          <t>카를로스가 저강도 물리 정찰을 위한 계획을 논의합니다.</t>
        </is>
      </c>
    </row>
    <row r="852" ht="15" customHeight="1" s="11">
      <c r="A852" s="13" t="n">
        <v>851</v>
      </c>
      <c r="B852" s="13" t="n">
        <v>55</v>
      </c>
      <c r="C852" s="14">
        <f>INDEX('부작 목록'!$C$2:$C$96,B852)</f>
        <v/>
      </c>
      <c r="D852" s="14" t="inlineStr">
        <is>
          <t>E 빅토르 안전가옥 세션</t>
        </is>
      </c>
      <c r="E852" s="13" t="n">
        <v>28414</v>
      </c>
      <c r="F852" s="13" t="n">
        <v>9</v>
      </c>
      <c r="G852" s="15" t="inlineStr">
        <is>
          <t>다음 날, 정찰팀이 현장에서 실시간으로 결과를 보고합니다.</t>
        </is>
      </c>
    </row>
    <row r="853" ht="15" customHeight="1" s="11">
      <c r="A853" s="13" t="n">
        <v>852</v>
      </c>
      <c r="B853" s="13" t="n">
        <v>55</v>
      </c>
      <c r="C853" s="14">
        <f>INDEX('부작 목록'!$C$2:$C$96,B853)</f>
        <v/>
      </c>
      <c r="D853" s="14" t="inlineStr">
        <is>
          <t>E 빅토르 안전가옥 세션</t>
        </is>
      </c>
      <c r="E853" s="13" t="n">
        <v>28425</v>
      </c>
      <c r="F853" s="13" t="n">
        <v>9</v>
      </c>
      <c r="G853" s="15" t="inlineStr">
        <is>
          <t>정찰팀이 마을에서 밴을 추적하며 새로운 정보를 확보합니다.</t>
        </is>
      </c>
    </row>
    <row r="854" ht="15" customHeight="1" s="11">
      <c r="A854" s="13" t="n">
        <v>853</v>
      </c>
      <c r="B854" s="13" t="n">
        <v>55</v>
      </c>
      <c r="C854" s="14">
        <f>INDEX('부작 목록'!$C$2:$C$96,B854)</f>
        <v/>
      </c>
      <c r="D854" s="14" t="inlineStr">
        <is>
          <t>E 빅토르 안전가옥 세션</t>
        </is>
      </c>
      <c r="E854" s="13" t="n">
        <v>28437</v>
      </c>
      <c r="F854" s="13" t="n">
        <v>8</v>
      </c>
      <c r="G854" s="15" t="inlineStr">
        <is>
          <t>며칠 후, 카밀라가 그 마을 상점 주인과의 대화 시도 결과를 세션에 보고합니다.</t>
        </is>
      </c>
    </row>
    <row r="855" ht="15" customHeight="1" s="11">
      <c r="A855" s="13" t="n">
        <v>854</v>
      </c>
      <c r="B855" s="13" t="n">
        <v>55</v>
      </c>
      <c r="C855" s="14">
        <f>INDEX('부작 목록'!$C$2:$C$96,B855)</f>
        <v/>
      </c>
      <c r="D855" s="14" t="inlineStr">
        <is>
          <t>E 빅토르 안전가옥 세션</t>
        </is>
      </c>
      <c r="E855" s="13" t="n">
        <v>28447</v>
      </c>
      <c r="F855" s="13" t="n">
        <v>8</v>
      </c>
      <c r="G855" s="15" t="inlineStr">
        <is>
          <t>빅토르가 왜 이 특정 장소가 그렇게 중요한지 심리적으로 분석합니다.</t>
        </is>
      </c>
    </row>
    <row r="856" ht="15" customHeight="1" s="11">
      <c r="A856" s="13" t="n">
        <v>855</v>
      </c>
      <c r="B856" s="13" t="n">
        <v>55</v>
      </c>
      <c r="C856" s="14">
        <f>INDEX('부작 목록'!$C$2:$C$96,B856)</f>
        <v/>
      </c>
      <c r="D856" s="14" t="inlineStr">
        <is>
          <t>E 빅토르 안전가옥 세션</t>
        </is>
      </c>
      <c r="E856" s="13" t="n">
        <v>28458</v>
      </c>
      <c r="F856" s="13" t="n">
        <v>9</v>
      </c>
      <c r="G856" s="15" t="inlineStr">
        <is>
          <t>일주일 후, 카밀라가 그 내부 학교 기록을 확인한 결과를 보고합니다.</t>
        </is>
      </c>
    </row>
    <row r="857" ht="15" customHeight="1" s="11">
      <c r="A857" s="13" t="n">
        <v>856</v>
      </c>
      <c r="B857" s="13" t="n">
        <v>55</v>
      </c>
      <c r="C857" s="14">
        <f>INDEX('부작 목록'!$C$2:$C$96,B857)</f>
        <v/>
      </c>
      <c r="D857" s="14" t="inlineStr">
        <is>
          <t>E 빅토르 안전가옥 세션</t>
        </is>
      </c>
      <c r="E857" s="13" t="n">
        <v>28469</v>
      </c>
      <c r="F857" s="13" t="n">
        <v>8</v>
      </c>
      <c r="G857" s="15" t="inlineStr">
        <is>
          <t>며칠 후, 카밀라가 그 교사의 생존 여부를 확인한 결과를 보고합니다.</t>
        </is>
      </c>
    </row>
    <row r="858" ht="15" customHeight="1" s="11">
      <c r="A858" s="13" t="n">
        <v>857</v>
      </c>
      <c r="B858" s="13" t="n">
        <v>55</v>
      </c>
      <c r="C858" s="14">
        <f>INDEX('부작 목록'!$C$2:$C$96,B858)</f>
        <v/>
      </c>
      <c r="D858" s="14" t="inlineStr">
        <is>
          <t>E 빅토르 안전가옥 세션</t>
        </is>
      </c>
      <c r="E858" s="13" t="n">
        <v>28480</v>
      </c>
      <c r="F858" s="13" t="n">
        <v>8</v>
      </c>
      <c r="G858" s="15" t="inlineStr">
        <is>
          <t>알바로가 그 교사, 헤르만 슈미트를 방문하며 대화를 나눕니다.</t>
        </is>
      </c>
    </row>
    <row r="859" ht="15" customHeight="1" s="11">
      <c r="A859" s="13" t="n">
        <v>858</v>
      </c>
      <c r="B859" s="13" t="n">
        <v>55</v>
      </c>
      <c r="C859" s="14">
        <f>INDEX('부작 목록'!$C$2:$C$96,B859)</f>
        <v/>
      </c>
      <c r="D859" s="14" t="inlineStr">
        <is>
          <t>E 빅토르 안전가옥 세션</t>
        </is>
      </c>
      <c r="E859" s="13" t="n">
        <v>28490</v>
      </c>
      <c r="F859" s="13" t="n">
        <v>8</v>
      </c>
      <c r="G859" s="15" t="inlineStr">
        <is>
          <t>슈미트가 로셀요와 관련된 구체적인 기억을 더 들려주며 대화가 이어집니다.</t>
        </is>
      </c>
    </row>
    <row r="860" ht="15" customHeight="1" s="11">
      <c r="A860" s="13" t="n">
        <v>859</v>
      </c>
      <c r="B860" s="13" t="n">
        <v>55</v>
      </c>
      <c r="C860" s="14">
        <f>INDEX('부작 목록'!$C$2:$C$96,B860)</f>
        <v/>
      </c>
      <c r="D860" s="14" t="inlineStr">
        <is>
          <t>E 빅토르 안전가옥 세션</t>
        </is>
      </c>
      <c r="E860" s="13" t="n">
        <v>28501</v>
      </c>
      <c r="F860" s="13" t="n">
        <v>8</v>
      </c>
      <c r="G860" s="15" t="inlineStr">
        <is>
          <t>알바로가 이 발견을 세션에 보고하며, 팀 전체가 그 의미를 이해합니다.</t>
        </is>
      </c>
    </row>
    <row r="861" ht="15" customHeight="1" s="11">
      <c r="A861" s="13" t="n">
        <v>860</v>
      </c>
      <c r="B861" s="13" t="n">
        <v>55</v>
      </c>
      <c r="C861" s="14">
        <f>INDEX('부작 목록'!$C$2:$C$96,B861)</f>
        <v/>
      </c>
      <c r="D861" s="14" t="inlineStr">
        <is>
          <t>E 빅토르 안전가옥 세션</t>
        </is>
      </c>
      <c r="E861" s="13" t="n">
        <v>28511</v>
      </c>
      <c r="F861" s="13" t="n">
        <v>8</v>
      </c>
      <c r="G861" s="15" t="inlineStr">
        <is>
          <t>카를로스가 이 정보를 검거 전략에 어떻게 활용할지 실무적으로 논의합니다.</t>
        </is>
      </c>
    </row>
    <row r="862" ht="28.35" customHeight="1" s="11">
      <c r="A862" s="13" t="n">
        <v>861</v>
      </c>
      <c r="B862" s="13" t="n">
        <v>55</v>
      </c>
      <c r="C862" s="14">
        <f>INDEX('부작 목록'!$C$2:$C$96,B862)</f>
        <v/>
      </c>
      <c r="D862" s="14" t="inlineStr">
        <is>
          <t>E 빅토르 안전가옥 세션</t>
        </is>
      </c>
      <c r="E862" s="13" t="n">
        <v>28522</v>
      </c>
      <c r="F862" s="13" t="n">
        <v>8</v>
      </c>
      <c r="G862" s="15" t="inlineStr">
        <is>
          <t>두 번째 정찰 사이클이 시작되며 실시간 관찰 결과가 보고됩니다.</t>
        </is>
      </c>
    </row>
    <row r="863" ht="15" customHeight="1" s="11">
      <c r="A863" s="13" t="n">
        <v>862</v>
      </c>
      <c r="B863" s="13" t="n">
        <v>55</v>
      </c>
      <c r="C863" s="14">
        <f>INDEX('부작 목록'!$C$2:$C$96,B863)</f>
        <v/>
      </c>
      <c r="D863" s="14" t="inlineStr">
        <is>
          <t>E 빅토르 안전가옥 세션</t>
        </is>
      </c>
      <c r="E863" s="13" t="n">
        <v>28532</v>
      </c>
      <c r="F863" s="13" t="n">
        <v>6</v>
      </c>
      <c r="G863" s="15" t="inlineStr">
        <is>
          <t>드론 정찰이 실행되며 결정적인 시각 확인이 이뤄집니다.</t>
        </is>
      </c>
    </row>
    <row r="864" ht="15" customHeight="1" s="11">
      <c r="A864" s="13" t="n">
        <v>863</v>
      </c>
      <c r="B864" s="13" t="n">
        <v>55</v>
      </c>
      <c r="C864" s="14">
        <f>INDEX('부작 목록'!$C$2:$C$96,B864)</f>
        <v/>
      </c>
      <c r="D864" s="14" t="inlineStr">
        <is>
          <t>E 빅토르 안전가옥 세션</t>
        </is>
      </c>
      <c r="E864" s="13" t="n">
        <v>28541</v>
      </c>
      <c r="F864" s="13" t="n">
        <v>7</v>
      </c>
      <c r="G864" s="15" t="inlineStr">
        <is>
          <t>카를로스가 이 확인 이후 즉시 필요한 보안 조치를 지시합니다.</t>
        </is>
      </c>
    </row>
    <row r="865" ht="15" customHeight="1" s="11">
      <c r="A865" s="13" t="n">
        <v>864</v>
      </c>
      <c r="B865" s="13" t="n">
        <v>55</v>
      </c>
      <c r="C865" s="14">
        <f>INDEX('부작 목록'!$C$2:$C$96,B865)</f>
        <v/>
      </c>
      <c r="D865" s="14" t="inlineStr">
        <is>
          <t>E 빅토르 안전가옥 세션</t>
        </is>
      </c>
      <c r="E865" s="13" t="n">
        <v>28550</v>
      </c>
      <c r="F865" s="13" t="n">
        <v>8</v>
      </c>
      <c r="G865" s="15" t="inlineStr">
        <is>
          <t>며칠 후, 카밀라와 마르코스가 경비 시스템에 대한 기술적 분석 결과를 세션에 보고합니다.</t>
        </is>
      </c>
    </row>
    <row r="866" ht="15" customHeight="1" s="11">
      <c r="A866" s="13" t="n">
        <v>865</v>
      </c>
      <c r="B866" s="13" t="n">
        <v>55</v>
      </c>
      <c r="C866" s="14">
        <f>INDEX('부작 목록'!$C$2:$C$96,B866)</f>
        <v/>
      </c>
      <c r="D866" s="14" t="inlineStr">
        <is>
          <t>E 빅토르 안전가옥 세션</t>
        </is>
      </c>
      <c r="E866" s="13" t="n">
        <v>28561</v>
      </c>
      <c r="F866" s="13" t="n">
        <v>8</v>
      </c>
      <c r="G866" s="15" t="inlineStr">
        <is>
          <t>빅토르가 바위 작전 전체를 종합하며 다음 단계인 북극성 작전으로의 전환을 제안합니다.</t>
        </is>
      </c>
    </row>
    <row r="867" ht="15" customHeight="1" s="11">
      <c r="A867" s="13" t="n">
        <v>866</v>
      </c>
      <c r="B867" s="13" t="n">
        <v>55</v>
      </c>
      <c r="C867" s="14">
        <f>INDEX('부작 목록'!$C$2:$C$96,B867)</f>
        <v/>
      </c>
      <c r="D867" s="14" t="inlineStr">
        <is>
          <t>E 빅토르 안전가옥 세션</t>
        </is>
      </c>
      <c r="E867" s="13" t="n">
        <v>28571</v>
      </c>
      <c r="F867" s="13" t="n">
        <v>9</v>
      </c>
      <c r="G867" s="15" t="inlineStr">
        <is>
          <t>알바로가 그날 밤 슈미트를 다시 방문하며 짧은 마지막 대화를 나눕니다.</t>
        </is>
      </c>
    </row>
    <row r="868" ht="15" customHeight="1" s="11">
      <c r="A868" s="13" t="n">
        <v>867</v>
      </c>
      <c r="B868" s="13" t="n">
        <v>55</v>
      </c>
      <c r="C868" s="14">
        <f>INDEX('부작 목록'!$C$2:$C$96,B868)</f>
        <v/>
      </c>
      <c r="D868" s="14" t="inlineStr">
        <is>
          <t>E 빅토르 안전가옥 세션</t>
        </is>
      </c>
      <c r="E868" s="13" t="n">
        <v>28583</v>
      </c>
      <c r="F868" s="13" t="n">
        <v>7</v>
      </c>
      <c r="G868" s="15" t="inlineStr">
        <is>
          <t>알바로가 이 마지막 대화를 세션에 전하며, 팀이 그 의미를 다시 되짚습니다.</t>
        </is>
      </c>
    </row>
    <row r="869" ht="15" customHeight="1" s="11">
      <c r="A869" s="13" t="n">
        <v>868</v>
      </c>
      <c r="B869" s="13" t="n">
        <v>55</v>
      </c>
      <c r="C869" s="14">
        <f>INDEX('부작 목록'!$C$2:$C$96,B869)</f>
        <v/>
      </c>
      <c r="D869" s="14" t="inlineStr">
        <is>
          <t>E 빅토르 안전가옥 세션</t>
        </is>
      </c>
      <c r="E869" s="13" t="n">
        <v>28592</v>
      </c>
      <c r="F869" s="13" t="n">
        <v>9</v>
      </c>
      <c r="G869" s="15" t="inlineStr">
        <is>
          <t>카를로스가 이제 작전 계획의 실무적 다음 단계를 최종 확정합니다.</t>
        </is>
      </c>
    </row>
    <row r="870" ht="15" customHeight="1" s="11">
      <c r="A870" s="13" t="n">
        <v>869</v>
      </c>
      <c r="B870" s="13" t="n">
        <v>55</v>
      </c>
      <c r="C870" s="14">
        <f>INDEX('부작 목록'!$C$2:$C$96,B870)</f>
        <v/>
      </c>
      <c r="D870" s="14" t="inlineStr">
        <is>
          <t>E 빅토르 안전가옥 세션</t>
        </is>
      </c>
      <c r="E870" s="13" t="n">
        <v>28604</v>
      </c>
      <c r="F870" s="13" t="n">
        <v>8</v>
      </c>
      <c r="G870" s="15" t="inlineStr">
        <is>
          <t>그날 밤, 알바로가 카밀라에게 슈미트와의 대화가 남긴 여운을 이야기합니다.</t>
        </is>
      </c>
    </row>
    <row r="871" ht="15" customHeight="1" s="11">
      <c r="A871" s="13" t="n">
        <v>870</v>
      </c>
      <c r="B871" s="13" t="n">
        <v>55</v>
      </c>
      <c r="C871" s="14">
        <f>INDEX('부작 목록'!$C$2:$C$96,B871)</f>
        <v/>
      </c>
      <c r="D871" s="14" t="inlineStr">
        <is>
          <t>E 빅토르 안전가옥 세션</t>
        </is>
      </c>
      <c r="E871" s="13" t="n">
        <v>28614</v>
      </c>
      <c r="F871" s="13" t="n">
        <v>6</v>
      </c>
      <c r="G871" s="15" t="inlineStr">
        <is>
          <t>다음 날 아침, 세션 시작 전 카를로스와 빅토르가 마지막 준비를 확인합니다.</t>
        </is>
      </c>
    </row>
    <row r="872" ht="15" customHeight="1" s="11">
      <c r="A872" s="13" t="n">
        <v>871</v>
      </c>
      <c r="B872" s="13" t="n">
        <v>55</v>
      </c>
      <c r="C872" s="14">
        <f>INDEX('부작 목록'!$C$2:$C$96,B872)</f>
        <v/>
      </c>
      <c r="D872" s="14" t="inlineStr">
        <is>
          <t>E 빅토르 안전가옥 세션</t>
        </is>
      </c>
      <c r="E872" s="13" t="n">
        <v>28623</v>
      </c>
      <c r="F872" s="13" t="n">
        <v>8</v>
      </c>
      <c r="G872" s="15" t="inlineStr">
        <is>
          <t>알바로와 카밀라, 마르코스가 도착하며 세션이 정식으로 시작됩니다.</t>
        </is>
      </c>
    </row>
    <row r="873" ht="15" customHeight="1" s="11">
      <c r="A873" s="13" t="n">
        <v>872</v>
      </c>
      <c r="B873" s="13" t="n">
        <v>56</v>
      </c>
      <c r="C873" s="14">
        <f>INDEX('부작 목록'!$C$2:$C$96,B873)</f>
        <v/>
      </c>
      <c r="D873" s="14" t="inlineStr">
        <is>
          <t>E 빅토르 안전가옥 세션</t>
        </is>
      </c>
      <c r="E873" s="13" t="n">
        <v>28633</v>
      </c>
      <c r="F873" s="13" t="n">
        <v>9</v>
      </c>
      <c r="G873" s="15" t="inlineStr">
        <is>
          <t>새로운 세션. 빅토르가 '북극성 작전'을 소개합니다 — 이동패턴, 정서적 거점, 고정자산 데이터 를 종합해 정확한 검거 시점과 방법을 확정하는 마지막 정보 단계입니다.</t>
        </is>
      </c>
    </row>
    <row r="874" ht="15" customHeight="1" s="11">
      <c r="A874" s="13" t="n">
        <v>873</v>
      </c>
      <c r="B874" s="13" t="n">
        <v>56</v>
      </c>
      <c r="C874" s="14">
        <f>INDEX('부작 목록'!$C$2:$C$96,B874)</f>
        <v/>
      </c>
      <c r="D874" s="14" t="inlineStr">
        <is>
          <t>E 빅토르 안전가옥 세션</t>
        </is>
      </c>
      <c r="E874" s="13" t="n">
        <v>28645</v>
      </c>
      <c r="F874" s="13" t="n">
        <v>7</v>
      </c>
      <c r="G874" s="15" t="inlineStr">
        <is>
          <t>며칠 후, 정찰팀이 밀라노 방문일에 저택의 경비 인원을 확인한 결과를 보고합니다.</t>
        </is>
      </c>
    </row>
    <row r="875" ht="15" customHeight="1" s="11">
      <c r="A875" s="13" t="n">
        <v>874</v>
      </c>
      <c r="B875" s="13" t="n">
        <v>56</v>
      </c>
      <c r="C875" s="14">
        <f>INDEX('부작 목록'!$C$2:$C$96,B875)</f>
        <v/>
      </c>
      <c r="D875" s="14" t="inlineStr">
        <is>
          <t>E 빅토르 안전가옥 세션</t>
        </is>
      </c>
      <c r="E875" s="13" t="n">
        <v>28654</v>
      </c>
      <c r="F875" s="13" t="n">
        <v>8</v>
      </c>
      <c r="G875" s="15" t="inlineStr">
        <is>
          <t>카밀라가 취리히 보안업체에 대한 심화 조사 결과를 세션에 보고합니다.</t>
        </is>
      </c>
    </row>
    <row r="876" ht="15" customHeight="1" s="11">
      <c r="A876" s="13" t="n">
        <v>875</v>
      </c>
      <c r="B876" s="13" t="n">
        <v>56</v>
      </c>
      <c r="C876" s="14">
        <f>INDEX('부작 목록'!$C$2:$C$96,B876)</f>
        <v/>
      </c>
      <c r="D876" s="14" t="inlineStr">
        <is>
          <t>E 빅토르 안전가옥 세션</t>
        </is>
      </c>
      <c r="E876" s="13" t="n">
        <v>28665</v>
      </c>
      <c r="F876" s="13" t="n">
        <v>7</v>
      </c>
      <c r="G876" s="15" t="inlineStr">
        <is>
          <t>일주일 후, 마르코스가 안면 인식 결과를 세션에 보고합니다.</t>
        </is>
      </c>
    </row>
    <row r="877" ht="15" customHeight="1" s="11">
      <c r="A877" s="13" t="n">
        <v>876</v>
      </c>
      <c r="B877" s="13" t="n">
        <v>56</v>
      </c>
      <c r="C877" s="14">
        <f>INDEX('부작 목록'!$C$2:$C$96,B877)</f>
        <v/>
      </c>
      <c r="D877" s="14" t="inlineStr">
        <is>
          <t>E 빅토르 안전가옥 세션</t>
        </is>
      </c>
      <c r="E877" s="13" t="n">
        <v>28674</v>
      </c>
      <c r="F877" s="13" t="n">
        <v>7</v>
      </c>
      <c r="G877" s="15" t="inlineStr">
        <is>
          <t>카를로스가 스위스 특수부대 협조를 위한 공식 절차를 논의합니다.</t>
        </is>
      </c>
    </row>
    <row r="878" ht="15" customHeight="1" s="11">
      <c r="A878" s="13" t="n">
        <v>877</v>
      </c>
      <c r="B878" s="13" t="n">
        <v>56</v>
      </c>
      <c r="C878" s="14">
        <f>INDEX('부작 목록'!$C$2:$C$96,B878)</f>
        <v/>
      </c>
      <c r="D878" s="14" t="inlineStr">
        <is>
          <t>E 빅토르 안전가옥 세션</t>
        </is>
      </c>
      <c r="E878" s="13" t="n">
        <v>28684</v>
      </c>
      <c r="F878" s="13" t="n">
        <v>8</v>
      </c>
      <c r="G878" s="15" t="inlineStr">
        <is>
          <t>이 주 후, 스위스 당국과의 첫 공식 회의가 열리며 그 결과가 세션에 공유됩니다.</t>
        </is>
      </c>
    </row>
    <row r="879" ht="15" customHeight="1" s="11">
      <c r="A879" s="13" t="n">
        <v>878</v>
      </c>
      <c r="B879" s="13" t="n">
        <v>56</v>
      </c>
      <c r="C879" s="14">
        <f>INDEX('부작 목록'!$C$2:$C$96,B879)</f>
        <v/>
      </c>
      <c r="D879" s="14" t="inlineStr">
        <is>
          <t>E 빅토르 안전가옥 세션</t>
        </is>
      </c>
      <c r="E879" s="13" t="n">
        <v>28694</v>
      </c>
      <c r="F879" s="13" t="n">
        <v>9</v>
      </c>
      <c r="G879" s="15" t="inlineStr">
        <is>
          <t>빅토르가 최적의 시기를 결정하기 위한 구체적 변수들을 제시합니다.</t>
        </is>
      </c>
    </row>
    <row r="880" ht="15" customHeight="1" s="11">
      <c r="A880" s="13" t="n">
        <v>879</v>
      </c>
      <c r="B880" s="13" t="n">
        <v>56</v>
      </c>
      <c r="C880" s="14">
        <f>INDEX('부작 목록'!$C$2:$C$96,B880)</f>
        <v/>
      </c>
      <c r="D880" s="14" t="inlineStr">
        <is>
          <t>E 빅토르 안전가옥 세션</t>
        </is>
      </c>
      <c r="E880" s="13" t="n">
        <v>28706</v>
      </c>
      <c r="F880" s="13" t="n">
        <v>8</v>
      </c>
      <c r="G880" s="15" t="inlineStr">
        <is>
          <t>카를로스가 이탈리아 당국과의 조율 상황을 확인하며 세션이 이어집니다.</t>
        </is>
      </c>
    </row>
    <row r="881" ht="15" customHeight="1" s="11">
      <c r="A881" s="13" t="n">
        <v>880</v>
      </c>
      <c r="B881" s="13" t="n">
        <v>56</v>
      </c>
      <c r="C881" s="14">
        <f>INDEX('부작 목록'!$C$2:$C$96,B881)</f>
        <v/>
      </c>
      <c r="D881" s="14" t="inlineStr">
        <is>
          <t>E 빅토르 안전가옥 세션</t>
        </is>
      </c>
      <c r="E881" s="13" t="n">
        <v>28716</v>
      </c>
      <c r="F881" s="13" t="n">
        <v>6</v>
      </c>
      <c r="G881" s="15" t="inlineStr">
        <is>
          <t>빅토르가 밀라노 건물 자체의 물리적 취약점을 분석합니다.</t>
        </is>
      </c>
    </row>
    <row r="882" ht="15" customHeight="1" s="11">
      <c r="A882" s="13" t="n">
        <v>881</v>
      </c>
      <c r="B882" s="13" t="n">
        <v>56</v>
      </c>
      <c r="C882" s="14">
        <f>INDEX('부작 목록'!$C$2:$C$96,B882)</f>
        <v/>
      </c>
      <c r="D882" s="14" t="inlineStr">
        <is>
          <t>E 빅토르 안전가옥 세션</t>
        </is>
      </c>
      <c r="E882" s="13" t="n">
        <v>28725</v>
      </c>
      <c r="F882" s="13" t="n">
        <v>7</v>
      </c>
      <c r="G882" s="15" t="inlineStr">
        <is>
          <t>며칠 후, 마르코스가 CCTV 영상 분석 결과를 세션에 보고합니다.</t>
        </is>
      </c>
    </row>
    <row r="883" ht="15" customHeight="1" s="11">
      <c r="A883" s="13" t="n">
        <v>882</v>
      </c>
      <c r="B883" s="13" t="n">
        <v>56</v>
      </c>
      <c r="C883" s="14">
        <f>INDEX('부작 목록'!$C$2:$C$96,B883)</f>
        <v/>
      </c>
      <c r="D883" s="14" t="inlineStr">
        <is>
          <t>E 빅토르 안전가옥 세션</t>
        </is>
      </c>
      <c r="E883" s="13" t="n">
        <v>28734</v>
      </c>
      <c r="F883" s="13" t="n">
        <v>8</v>
      </c>
      <c r="G883" s="15" t="inlineStr">
        <is>
          <t>카를로스가 이탈리아 특수부대와의 합동 브리핑을 준비하며, 작전 초안을 논의합니다.</t>
        </is>
      </c>
    </row>
    <row r="884" ht="15" customHeight="1" s="11">
      <c r="A884" s="13" t="n">
        <v>883</v>
      </c>
      <c r="B884" s="13" t="n">
        <v>56</v>
      </c>
      <c r="C884" s="14">
        <f>INDEX('부작 목록'!$C$2:$C$96,B884)</f>
        <v/>
      </c>
      <c r="D884" s="14" t="inlineStr">
        <is>
          <t>E 빅토르 안전가옥 세션</t>
        </is>
      </c>
      <c r="E884" s="13" t="n">
        <v>28744</v>
      </c>
      <c r="F884" s="13" t="n">
        <v>7</v>
      </c>
      <c r="G884" s="15" t="inlineStr">
        <is>
          <t>빅토르가 그 짧은 시간대의 위험성을 지적하며 대안을 제시합니다.</t>
        </is>
      </c>
    </row>
    <row r="885" ht="15" customHeight="1" s="11">
      <c r="A885" s="13" t="n">
        <v>884</v>
      </c>
      <c r="B885" s="13" t="n">
        <v>56</v>
      </c>
      <c r="C885" s="14">
        <f>INDEX('부작 목록'!$C$2:$C$96,B885)</f>
        <v/>
      </c>
      <c r="D885" s="14" t="inlineStr">
        <is>
          <t>E 빅토르 안전가옥 세션</t>
        </is>
      </c>
      <c r="E885" s="13" t="n">
        <v>28753</v>
      </c>
      <c r="F885" s="13" t="n">
        <v>8</v>
      </c>
      <c r="G885" s="15" t="inlineStr">
        <is>
          <t>며칠 후, 마르코스가 차량 배치 확인 결과를 세션에 보고합니다.</t>
        </is>
      </c>
    </row>
    <row r="886" ht="15" customHeight="1" s="11">
      <c r="A886" s="13" t="n">
        <v>885</v>
      </c>
      <c r="B886" s="13" t="n">
        <v>56</v>
      </c>
      <c r="C886" s="14">
        <f>INDEX('부작 목록'!$C$2:$C$96,B886)</f>
        <v/>
      </c>
      <c r="D886" s="14" t="inlineStr">
        <is>
          <t>E 빅토르 안전가옥 세션</t>
        </is>
      </c>
      <c r="E886" s="13" t="n">
        <v>28763</v>
      </c>
      <c r="F886" s="13" t="n">
        <v>8</v>
      </c>
      <c r="G886" s="15" t="inlineStr">
        <is>
          <t>카를로스가 스위스와 이탈리아 팀과의 합동 훈련 일정을 확정합니다.</t>
        </is>
      </c>
    </row>
    <row r="887" ht="28.35" customHeight="1" s="11">
      <c r="A887" s="13" t="n">
        <v>886</v>
      </c>
      <c r="B887" s="13" t="n">
        <v>56</v>
      </c>
      <c r="C887" s="14">
        <f>INDEX('부작 목록'!$C$2:$C$96,B887)</f>
        <v/>
      </c>
      <c r="D887" s="14" t="inlineStr">
        <is>
          <t>E 빅토르 안전가옥 세션</t>
        </is>
      </c>
      <c r="E887" s="13" t="n">
        <v>28774</v>
      </c>
      <c r="F887" s="13" t="n">
        <v>7</v>
      </c>
      <c r="G887" s="15" t="inlineStr">
        <is>
          <t>훈련 세션 당일. 알바로가 관찰자로서 훈련 과정을 지켜봅니다.</t>
        </is>
      </c>
    </row>
    <row r="888" ht="15" customHeight="1" s="11">
      <c r="A888" s="13" t="n">
        <v>887</v>
      </c>
      <c r="B888" s="13" t="n">
        <v>56</v>
      </c>
      <c r="C888" s="14">
        <f>INDEX('부작 목록'!$C$2:$C$96,B888)</f>
        <v/>
      </c>
      <c r="D888" s="14" t="inlineStr">
        <is>
          <t>E 빅토르 안전가옥 세션</t>
        </is>
      </c>
      <c r="E888" s="13" t="n">
        <v>28783</v>
      </c>
      <c r="F888" s="13" t="n">
        <v>7</v>
      </c>
      <c r="G888" s="15" t="inlineStr">
        <is>
          <t>카밀라가 자금 감시를 계속하다가 예상치 못한 이상 신호를 감지합니다.</t>
        </is>
      </c>
    </row>
    <row r="889" ht="15" customHeight="1" s="11">
      <c r="A889" s="13" t="n">
        <v>888</v>
      </c>
      <c r="B889" s="13" t="n">
        <v>56</v>
      </c>
      <c r="C889" s="14">
        <f>INDEX('부작 목록'!$C$2:$C$96,B889)</f>
        <v/>
      </c>
      <c r="D889" s="14" t="inlineStr">
        <is>
          <t>E 빅토르 안전가옥 세션</t>
        </is>
      </c>
      <c r="E889" s="13" t="n">
        <v>28793</v>
      </c>
      <c r="F889" s="13" t="n">
        <v>7</v>
      </c>
      <c r="G889" s="15" t="inlineStr">
        <is>
          <t>며칠 후, 마르코스가 그 이체의 실제 의미를 밝혀내며 긴장이 해소됩니다.</t>
        </is>
      </c>
    </row>
    <row r="890" ht="15" customHeight="1" s="11">
      <c r="A890" s="13" t="n">
        <v>889</v>
      </c>
      <c r="B890" s="13" t="n">
        <v>56</v>
      </c>
      <c r="C890" s="14">
        <f>INDEX('부작 목록'!$C$2:$C$96,B890)</f>
        <v/>
      </c>
      <c r="D890" s="14" t="inlineStr">
        <is>
          <t>E 빅토르 안전가옥 세션</t>
        </is>
      </c>
      <c r="E890" s="13" t="n">
        <v>28802</v>
      </c>
      <c r="F890" s="13" t="n">
        <v>8</v>
      </c>
      <c r="G890" s="15" t="inlineStr">
        <is>
          <t>카를로스가 체포 후 법적 절차와 언론 대응 계획을 미리 논의합니다.</t>
        </is>
      </c>
    </row>
    <row r="891" ht="15" customHeight="1" s="11">
      <c r="A891" s="13" t="n">
        <v>890</v>
      </c>
      <c r="B891" s="13" t="n">
        <v>56</v>
      </c>
      <c r="C891" s="14">
        <f>INDEX('부작 목록'!$C$2:$C$96,B891)</f>
        <v/>
      </c>
      <c r="D891" s="14" t="inlineStr">
        <is>
          <t>E 빅토르 안전가옥 세션</t>
        </is>
      </c>
      <c r="E891" s="13" t="n">
        <v>28813</v>
      </c>
      <c r="F891" s="13" t="n">
        <v>8</v>
      </c>
      <c r="G891" s="15" t="inlineStr">
        <is>
          <t>빅토르가 검거 이후 자신의 안전에 대한 우려를 처음으로 솔직하게 꺼냅니다.</t>
        </is>
      </c>
    </row>
    <row r="892" ht="15" customHeight="1" s="11">
      <c r="A892" s="13" t="n">
        <v>891</v>
      </c>
      <c r="B892" s="13" t="n">
        <v>56</v>
      </c>
      <c r="C892" s="14">
        <f>INDEX('부작 목록'!$C$2:$C$96,B892)</f>
        <v/>
      </c>
      <c r="D892" s="14" t="inlineStr">
        <is>
          <t>E 빅토르 안전가옥 세션</t>
        </is>
      </c>
      <c r="E892" s="13" t="n">
        <v>28823</v>
      </c>
      <c r="F892" s="13" t="n">
        <v>8</v>
      </c>
      <c r="G892" s="15" t="inlineStr">
        <is>
          <t>카를로스가 빅토르에게 새 신분 프로그램 가능성을 처음으로 공식 제안합니다.</t>
        </is>
      </c>
    </row>
    <row r="893" ht="15" customHeight="1" s="11">
      <c r="A893" s="13" t="n">
        <v>892</v>
      </c>
      <c r="B893" s="13" t="n">
        <v>56</v>
      </c>
      <c r="C893" s="14">
        <f>INDEX('부작 목록'!$C$2:$C$96,B893)</f>
        <v/>
      </c>
      <c r="D893" s="14" t="inlineStr">
        <is>
          <t>E 빅토르 안전가옥 세션</t>
        </is>
      </c>
      <c r="E893" s="13" t="n">
        <v>28834</v>
      </c>
      <c r="F893" s="13" t="n">
        <v>8</v>
      </c>
      <c r="G893" s="15" t="inlineStr">
        <is>
          <t>일주일 후, 마지막 준비 세션에서 카를로스가 실행 계획 전체를 최종 승인합니다.</t>
        </is>
      </c>
    </row>
    <row r="894" ht="15" customHeight="1" s="11">
      <c r="A894" s="13" t="n">
        <v>893</v>
      </c>
      <c r="B894" s="13" t="n">
        <v>56</v>
      </c>
      <c r="C894" s="14">
        <f>INDEX('부작 목록'!$C$2:$C$96,B894)</f>
        <v/>
      </c>
      <c r="D894" s="14" t="inlineStr">
        <is>
          <t>E 빅토르 안전가옥 세션</t>
        </is>
      </c>
      <c r="E894" s="13" t="n">
        <v>28844</v>
      </c>
      <c r="F894" s="13" t="n">
        <v>9</v>
      </c>
      <c r="G894" s="15" t="inlineStr">
        <is>
          <t>그날 밤, 알바로와 카밀라가 며칠 뒤 다가올 작전에 대한 마지막 감정을 나눕니다.</t>
        </is>
      </c>
    </row>
    <row r="895" ht="15" customHeight="1" s="11">
      <c r="A895" s="13" t="n">
        <v>894</v>
      </c>
      <c r="B895" s="13" t="n">
        <v>56</v>
      </c>
      <c r="C895" s="14">
        <f>INDEX('부작 목록'!$C$2:$C$96,B895)</f>
        <v/>
      </c>
      <c r="D895" s="14" t="inlineStr">
        <is>
          <t>E 빅토르 안전가옥 세션</t>
        </is>
      </c>
      <c r="E895" s="13" t="n">
        <v>28856</v>
      </c>
      <c r="F895" s="13" t="n">
        <v>9</v>
      </c>
      <c r="G895" s="15" t="inlineStr">
        <is>
          <t>다음 날 아침, 마지막 작전 명칭이 확정되며 세션이 마무리됩니다.</t>
        </is>
      </c>
    </row>
    <row r="896" ht="15" customHeight="1" s="11">
      <c r="A896" s="13" t="n">
        <v>895</v>
      </c>
      <c r="B896" s="13" t="n">
        <v>57</v>
      </c>
      <c r="C896" s="14">
        <f>INDEX('부작 목록'!$C$2:$C$96,B896)</f>
        <v/>
      </c>
      <c r="D896" s="14" t="inlineStr">
        <is>
          <t>E 빅토르 안전가옥 세션</t>
        </is>
      </c>
      <c r="E896" s="13" t="n">
        <v>28867</v>
      </c>
      <c r="F896" s="13" t="n">
        <v>51</v>
      </c>
      <c r="G896" s="15" t="inlineStr">
        <is>
          <t>실행일 하루 전. 빅토르가 '성채 작전'을 소개합니다 — 검거 직전, 밀라노 현장 전체를 최종 포위하는 마지막 준비 단계입니다. 마드리드에서의 마지막 아침 회의가 끝나면, 팀은 그날 오후 비행기로 밀라노에 들어갑니다.</t>
        </is>
      </c>
    </row>
    <row r="897" ht="15" customHeight="1" s="11">
      <c r="A897" s="13" t="n">
        <v>896</v>
      </c>
      <c r="B897" s="13" t="n">
        <v>57</v>
      </c>
      <c r="C897" s="14">
        <f>INDEX('부작 목록'!$C$2:$C$96,B897)</f>
        <v/>
      </c>
      <c r="D897" s="14" t="inlineStr">
        <is>
          <t>E 빅토르 안전가옥 세션</t>
        </is>
      </c>
      <c r="E897" s="13" t="n">
        <v>28920</v>
      </c>
      <c r="F897" s="13" t="n">
        <v>49</v>
      </c>
      <c r="G897" s="15" t="inlineStr">
        <is>
          <t>카를로스가 마지막으로 각 팀의 구체적 위치와 신호 체계를 확정합니다. 밀라노에 도착한 그날 저녁, 조정센터로 쓰일 아파트에서 최종 점검이 이어집니다.</t>
        </is>
      </c>
    </row>
    <row r="898" ht="15" customHeight="1" s="11">
      <c r="A898" s="13" t="n">
        <v>897</v>
      </c>
      <c r="B898" s="13" t="n">
        <v>57</v>
      </c>
      <c r="C898" s="14">
        <f>INDEX('부작 목록'!$C$2:$C$96,B898)</f>
        <v/>
      </c>
      <c r="D898" s="14" t="inlineStr">
        <is>
          <t>E 빅토르 안전가옥 세션</t>
        </is>
      </c>
      <c r="E898" s="13" t="n">
        <v>28971</v>
      </c>
      <c r="F898" s="13" t="n">
        <v>49</v>
      </c>
      <c r="G898" s="15" t="inlineStr">
        <is>
          <t>마르코스가 실시간 모니터링 시스템을 최종 점검한 결과를 보고합니다.</t>
        </is>
      </c>
    </row>
    <row r="899" ht="15" customHeight="1" s="11">
      <c r="A899" s="13" t="n">
        <v>898</v>
      </c>
      <c r="B899" s="13" t="n">
        <v>57</v>
      </c>
      <c r="C899" s="14">
        <f>INDEX('부작 목록'!$C$2:$C$96,B899)</f>
        <v/>
      </c>
      <c r="D899" s="14" t="inlineStr">
        <is>
          <t>E 빅토르 안전가옥 세션</t>
        </is>
      </c>
      <c r="E899" s="13" t="n">
        <v>29022</v>
      </c>
      <c r="F899" s="13" t="n">
        <v>48</v>
      </c>
      <c r="G899" s="15" t="inlineStr">
        <is>
          <t>카밀라가 마지막 자금 확인 결과를 세션에 보고하며, 이상 없음을 확인합니다.</t>
        </is>
      </c>
    </row>
    <row r="900" ht="15" customHeight="1" s="11">
      <c r="A900" s="13" t="n">
        <v>899</v>
      </c>
      <c r="B900" s="13" t="n">
        <v>57</v>
      </c>
      <c r="C900" s="14">
        <f>INDEX('부작 목록'!$C$2:$C$96,B900)</f>
        <v/>
      </c>
      <c r="D900" s="14" t="inlineStr">
        <is>
          <t>E 빅토르 안전가옥 세션</t>
        </is>
      </c>
      <c r="E900" s="13" t="n">
        <v>29072</v>
      </c>
      <c r="F900" s="13" t="n">
        <v>48</v>
      </c>
      <c r="G900" s="15" t="inlineStr">
        <is>
          <t>그날 밤, 알바로와 카밀라가 작전 전날 밤의 긴장을 함께 견딥니다. 밀라노의 작은 호텔 방, 창밖으로는 비가 그치지 않습니다.</t>
        </is>
      </c>
    </row>
    <row r="901" ht="15" customHeight="1" s="11">
      <c r="A901" s="13" t="n">
        <v>900</v>
      </c>
      <c r="B901" s="13" t="n">
        <v>57</v>
      </c>
      <c r="C901" s="14">
        <f>INDEX('부작 목록'!$C$2:$C$96,B901)</f>
        <v/>
      </c>
      <c r="D901" s="14" t="inlineStr">
        <is>
          <t>E 빅토르 안전가옥 세션</t>
        </is>
      </c>
      <c r="E901" s="13" t="n">
        <v>29122</v>
      </c>
      <c r="F901" s="13" t="n">
        <v>49</v>
      </c>
      <c r="G901" s="15" t="inlineStr">
        <is>
          <t>실행일 새벽. 밀라노에 있는 조정센터에서 팀 전체가 모입니다. 창밖은 아직 깜깜하고, 빗물이 마른 거리에는 첫 청소차 소리만 들립니다.</t>
        </is>
      </c>
    </row>
    <row r="902" ht="15" customHeight="1" s="11">
      <c r="A902" s="13" t="n">
        <v>901</v>
      </c>
      <c r="B902" s="13" t="n">
        <v>57</v>
      </c>
      <c r="C902" s="14">
        <f>INDEX('부작 목록'!$C$2:$C$96,B902)</f>
        <v/>
      </c>
      <c r="D902" s="14" t="inlineStr">
        <is>
          <t>E 빅토르 안전가옥 세션</t>
        </is>
      </c>
      <c r="E902" s="13" t="n">
        <v>29173</v>
      </c>
      <c r="F902" s="13" t="n">
        <v>48</v>
      </c>
      <c r="G902" s="15" t="inlineStr">
        <is>
          <t>각 팀이 순서대로 배치를 시작하며, 실시간으로 배치 완료를 보고합니다.</t>
        </is>
      </c>
    </row>
    <row r="903" ht="15" customHeight="1" s="11">
      <c r="A903" s="13" t="n">
        <v>902</v>
      </c>
      <c r="B903" s="13" t="n">
        <v>57</v>
      </c>
      <c r="C903" s="14">
        <f>INDEX('부작 목록'!$C$2:$C$96,B903)</f>
        <v/>
      </c>
      <c r="D903" s="14" t="inlineStr">
        <is>
          <t>E 빅토르 안전가옥 세션</t>
        </is>
      </c>
      <c r="E903" s="13" t="n">
        <v>29223</v>
      </c>
      <c r="F903" s="13" t="n">
        <v>48</v>
      </c>
      <c r="G903" s="15" t="inlineStr">
        <is>
          <t>기차 도착 시간이 다가오며 팀 전체의 긴장이 고조됩니다.</t>
        </is>
      </c>
    </row>
    <row r="904" ht="15" customHeight="1" s="11">
      <c r="A904" s="13" t="n">
        <v>903</v>
      </c>
      <c r="B904" s="13" t="n">
        <v>57</v>
      </c>
      <c r="C904" s="14">
        <f>INDEX('부작 목록'!$C$2:$C$96,B904)</f>
        <v/>
      </c>
      <c r="D904" s="14" t="inlineStr">
        <is>
          <t>E 빅토르 안전가옥 세션</t>
        </is>
      </c>
      <c r="E904" s="13" t="n">
        <v>29273</v>
      </c>
      <c r="F904" s="13" t="n">
        <v>48</v>
      </c>
      <c r="G904" s="15" t="inlineStr">
        <is>
          <t>역에서 하차 상황이 실시간으로 확인됩니다.</t>
        </is>
      </c>
    </row>
    <row r="905" ht="15" customHeight="1" s="11">
      <c r="A905" s="13" t="n">
        <v>904</v>
      </c>
      <c r="B905" s="13" t="n">
        <v>57</v>
      </c>
      <c r="C905" s="14">
        <f>INDEX('부작 목록'!$C$2:$C$96,B905)</f>
        <v/>
      </c>
      <c r="D905" s="14" t="inlineStr">
        <is>
          <t>E 빅토르 안전가옥 세션</t>
        </is>
      </c>
      <c r="E905" s="13" t="n">
        <v>29323</v>
      </c>
      <c r="F905" s="13" t="n">
        <v>49</v>
      </c>
      <c r="G905" s="15" t="inlineStr">
        <is>
          <t>로셀요가 사무실로 이동하는 동안 경호원들의 위치도 확인됩니다.</t>
        </is>
      </c>
    </row>
    <row r="906" ht="15" customHeight="1" s="11">
      <c r="A906" s="13" t="n">
        <v>905</v>
      </c>
      <c r="B906" s="13" t="n">
        <v>57</v>
      </c>
      <c r="C906" s="14">
        <f>INDEX('부작 목록'!$C$2:$C$96,B906)</f>
        <v/>
      </c>
      <c r="D906" s="14" t="inlineStr">
        <is>
          <t>E 빅토르 안전가옥 세션</t>
        </is>
      </c>
      <c r="E906" s="13" t="n">
        <v>29374</v>
      </c>
      <c r="F906" s="13" t="n">
        <v>47</v>
      </c>
      <c r="G906" s="15" t="inlineStr">
        <is>
          <t>대기 시간 동안 카를로스와 빅토르가 짧은 대화를 나누며 긴장을 관리합니다.</t>
        </is>
      </c>
    </row>
    <row r="907" ht="15" customHeight="1" s="11">
      <c r="A907" s="13" t="n">
        <v>906</v>
      </c>
      <c r="B907" s="13" t="n">
        <v>57</v>
      </c>
      <c r="C907" s="14">
        <f>INDEX('부작 목록'!$C$2:$C$96,B907)</f>
        <v/>
      </c>
      <c r="D907" s="14" t="inlineStr">
        <is>
          <t>E 빅토르 안전가옥 세션</t>
        </is>
      </c>
      <c r="E907" s="13" t="n">
        <v>29423</v>
      </c>
      <c r="F907" s="13" t="n">
        <v>47</v>
      </c>
      <c r="G907" s="15" t="inlineStr">
        <is>
          <t>예상치 못한 변수가 발생하며 팀에 긴장이 재차 고조됩니다.</t>
        </is>
      </c>
    </row>
    <row r="908" ht="15" customHeight="1" s="11">
      <c r="A908" s="13" t="n">
        <v>907</v>
      </c>
      <c r="B908" s="13" t="n">
        <v>57</v>
      </c>
      <c r="C908" s="14">
        <f>INDEX('부작 목록'!$C$2:$C$96,B908)</f>
        <v/>
      </c>
      <c r="D908" s="14" t="inlineStr">
        <is>
          <t>E 빅토르 안전가옥 세션</t>
        </is>
      </c>
      <c r="E908" s="13" t="n">
        <v>29472</v>
      </c>
      <c r="F908" s="13" t="n">
        <v>46</v>
      </c>
      <c r="G908" s="15" t="inlineStr">
        <is>
          <t>몇 분 후, 그 차량의 정체가 확인되며 긴장이 해소됩니다.</t>
        </is>
      </c>
    </row>
    <row r="909" ht="15" customHeight="1" s="11">
      <c r="A909" s="13" t="n">
        <v>908</v>
      </c>
      <c r="B909" s="13" t="n">
        <v>57</v>
      </c>
      <c r="C909" s="14">
        <f>INDEX('부작 목록'!$C$2:$C$96,B909)</f>
        <v/>
      </c>
      <c r="D909" s="14" t="inlineStr">
        <is>
          <t>E 빅토르 안전가옥 세션</t>
        </is>
      </c>
      <c r="E909" s="13" t="n">
        <v>29520</v>
      </c>
      <c r="F909" s="13" t="n">
        <v>49</v>
      </c>
      <c r="G909" s="15" t="inlineStr">
        <is>
          <t>삼십 분 후, 회의가 예정보다 일찍 끝날 조짐이 보이며 팀이 대응합니다.</t>
        </is>
      </c>
    </row>
    <row r="910" ht="28.35" customHeight="1" s="11">
      <c r="A910" s="13" t="n">
        <v>909</v>
      </c>
      <c r="B910" s="13" t="n">
        <v>57</v>
      </c>
      <c r="C910" s="14">
        <f>INDEX('부작 목록'!$C$2:$C$96,B910)</f>
        <v/>
      </c>
      <c r="D910" s="14" t="inlineStr">
        <is>
          <t>E 빅토르 안전가옥 세션</t>
        </is>
      </c>
      <c r="E910" s="13" t="n">
        <v>29571</v>
      </c>
      <c r="F910" s="13" t="n">
        <v>48</v>
      </c>
      <c r="G910" s="15" t="inlineStr">
        <is>
          <t>로셀요가 건물에서 나오는 순간이 실시간으로 보고됩니다. 그러나 골목을 향하던 그가 갑자기 걸음을 멈추며, 예상치 못한 변수가 다시 발생합니다 — 로셀요가 방향을 바꿉니다.</t>
        </is>
      </c>
    </row>
    <row r="911" ht="15" customHeight="1" s="11">
      <c r="A911" s="13" t="n">
        <v>910</v>
      </c>
      <c r="B911" s="13" t="n">
        <v>57</v>
      </c>
      <c r="C911" s="14">
        <f>INDEX('부작 목록'!$C$2:$C$96,B911)</f>
        <v/>
      </c>
      <c r="D911" s="14" t="inlineStr">
        <is>
          <t>E 빅토르 안전가옥 세션</t>
        </is>
      </c>
      <c r="E911" s="13" t="n">
        <v>29621</v>
      </c>
      <c r="F911" s="13" t="n">
        <v>47</v>
      </c>
      <c r="G911" s="15" t="inlineStr">
        <is>
          <t>긴장 속에서 상황이 조금씩 밝혀지며 진짜 이유가 드러납니다.</t>
        </is>
      </c>
    </row>
    <row r="912" ht="15" customHeight="1" s="11">
      <c r="A912" s="13" t="n">
        <v>911</v>
      </c>
      <c r="B912" s="13" t="n">
        <v>57</v>
      </c>
      <c r="C912" s="14">
        <f>INDEX('부작 목록'!$C$2:$C$96,B912)</f>
        <v/>
      </c>
      <c r="D912" s="14" t="inlineStr">
        <is>
          <t>E 빅토르 안전가옥 세션</t>
        </is>
      </c>
      <c r="E912" s="13" t="n">
        <v>29670</v>
      </c>
      <c r="F912" s="13" t="n">
        <v>47</v>
      </c>
      <c r="G912" s="15" t="inlineStr">
        <is>
          <t>십이 분 후, 로셀요가 다시 나오며 원래 계획으로 복귀합니다.</t>
        </is>
      </c>
    </row>
    <row r="913" ht="15" customHeight="1" s="11">
      <c r="A913" s="13" t="n">
        <v>912</v>
      </c>
      <c r="B913" s="13" t="n">
        <v>57</v>
      </c>
      <c r="C913" s="14">
        <f>INDEX('부작 목록'!$C$2:$C$96,B913)</f>
        <v/>
      </c>
      <c r="D913" s="14" t="inlineStr">
        <is>
          <t>E 빅토르 안전가옥 세션</t>
        </is>
      </c>
      <c r="E913" s="13" t="n">
        <v>29719</v>
      </c>
      <c r="F913" s="13" t="n">
        <v>48</v>
      </c>
      <c r="G913" s="15" t="inlineStr">
        <is>
          <t>로셀요가 골목에 접근하며 성채 작전의 목표인 완전 포위가 실시간으로 확정됩니다.</t>
        </is>
      </c>
    </row>
    <row r="914" ht="15" customHeight="1" s="11">
      <c r="A914" s="13" t="n">
        <v>913</v>
      </c>
      <c r="B914" s="13" t="n">
        <v>57</v>
      </c>
      <c r="C914" s="14">
        <f>INDEX('부작 목록'!$C$2:$C$96,B914)</f>
        <v/>
      </c>
      <c r="D914" s="14" t="inlineStr">
        <is>
          <t>E 빅토르 안전가옥 세션</t>
        </is>
      </c>
      <c r="E914" s="13" t="n">
        <v>29769</v>
      </c>
      <c r="F914" s="13" t="n">
        <v>48</v>
      </c>
      <c r="G914" s="15" t="inlineStr">
        <is>
          <t>카를로스가 지금 바로 개입할지, 다음 단계로 미룰지 최종 결정을 내립니다.</t>
        </is>
      </c>
    </row>
    <row r="915" ht="15" customHeight="1" s="11">
      <c r="A915" s="13" t="n">
        <v>914</v>
      </c>
      <c r="B915" s="13" t="n">
        <v>57</v>
      </c>
      <c r="C915" s="14">
        <f>INDEX('부작 목록'!$C$2:$C$96,B915)</f>
        <v/>
      </c>
      <c r="D915" s="14" t="inlineStr">
        <is>
          <t>E 빅토르 안전가옥 세션</t>
        </is>
      </c>
      <c r="E915" s="13" t="n">
        <v>29819</v>
      </c>
      <c r="F915" s="13" t="n">
        <v>46</v>
      </c>
      <c r="G915" s="15" t="inlineStr">
        <is>
          <t>로셀요가 자신의 차량에 접근하는 마지막 순간이 초 단위로 중계됩니다.</t>
        </is>
      </c>
    </row>
    <row r="916" ht="15" customHeight="1" s="11">
      <c r="A916" s="13" t="n">
        <v>915</v>
      </c>
      <c r="B916" s="13" t="n">
        <v>57</v>
      </c>
      <c r="C916" s="14">
        <f>INDEX('부작 목록'!$C$2:$C$96,B916)</f>
        <v/>
      </c>
      <c r="D916" s="14" t="inlineStr">
        <is>
          <t>E 빅토르 안전가옥 세션</t>
        </is>
      </c>
      <c r="E916" s="13" t="n">
        <v>29867</v>
      </c>
      <c r="F916" s="13" t="n">
        <v>46</v>
      </c>
      <c r="G916" s="15" t="inlineStr">
        <is>
          <t>카를로스가 결정적 순간에 실행을 잠시 보류하며, 성채 작전의 목적이 완수됐음을 확인합니다.</t>
        </is>
      </c>
    </row>
    <row r="917" ht="15" customHeight="1" s="11">
      <c r="A917" s="13" t="n">
        <v>916</v>
      </c>
      <c r="B917" s="13" t="n">
        <v>57</v>
      </c>
      <c r="C917" s="14">
        <f>INDEX('부작 목록'!$C$2:$C$96,B917)</f>
        <v/>
      </c>
      <c r="D917" s="14" t="inlineStr">
        <is>
          <t>E 빅토르 안전가옥 세션</t>
        </is>
      </c>
      <c r="E917" s="13" t="n">
        <v>29915</v>
      </c>
      <c r="F917" s="13" t="n">
        <v>47</v>
      </c>
      <c r="G917" s="15" t="inlineStr">
        <is>
          <t>팀이 철수하며, 이번 작전에서 얻은 확신을 정리합니다.</t>
        </is>
      </c>
    </row>
    <row r="918" ht="15" customHeight="1" s="11">
      <c r="A918" s="13" t="n">
        <v>917</v>
      </c>
      <c r="B918" s="13" t="n">
        <v>57</v>
      </c>
      <c r="C918" s="14">
        <f>INDEX('부작 목록'!$C$2:$C$96,B918)</f>
        <v/>
      </c>
      <c r="D918" s="14" t="inlineStr">
        <is>
          <t>E 빅토르 안전가옥 세션</t>
        </is>
      </c>
      <c r="E918" s="13" t="n">
        <v>29964</v>
      </c>
      <c r="F918" s="13" t="n">
        <v>47</v>
      </c>
      <c r="G918" s="15" t="inlineStr">
        <is>
          <t>그날 저녁, 마드리드로 돌아가는 비행기에서 알바로와 카밀라가 하루를 되짚습니다.</t>
        </is>
      </c>
    </row>
    <row r="919" ht="15" customHeight="1" s="11">
      <c r="A919" s="13" t="n">
        <v>918</v>
      </c>
      <c r="B919" s="13" t="n">
        <v>57</v>
      </c>
      <c r="C919" s="14">
        <f>INDEX('부작 목록'!$C$2:$C$96,B919)</f>
        <v/>
      </c>
      <c r="D919" s="14" t="inlineStr">
        <is>
          <t>E 빅토르 안전가옥 세션</t>
        </is>
      </c>
      <c r="E919" s="13" t="n">
        <v>30013</v>
      </c>
      <c r="F919" s="13" t="n">
        <v>49</v>
      </c>
      <c r="G919" s="15" t="inlineStr">
        <is>
          <t>다음 세션에서, 팀이 작전 전체를 상세히 복기하며 개선점을 찾습니다.</t>
        </is>
      </c>
    </row>
    <row r="920" ht="15" customHeight="1" s="11">
      <c r="A920" s="13" t="n">
        <v>919</v>
      </c>
      <c r="B920" s="13" t="n">
        <v>57</v>
      </c>
      <c r="C920" s="14">
        <f>INDEX('부작 목록'!$C$2:$C$96,B920)</f>
        <v/>
      </c>
      <c r="D920" s="14" t="inlineStr">
        <is>
          <t>E 빅토르 안전가옥 세션</t>
        </is>
      </c>
      <c r="E920" s="13" t="n">
        <v>30064</v>
      </c>
      <c r="F920" s="13" t="n">
        <v>47</v>
      </c>
      <c r="G920" s="15" t="inlineStr">
        <is>
          <t>빅토르가 로셀요의 갑작스러운 회귀에 대한 심리적 해석을 제시하며 마지막 통찰을 나눕니다.</t>
        </is>
      </c>
    </row>
    <row r="921" ht="15" customHeight="1" s="11">
      <c r="A921" s="13" t="n">
        <v>920</v>
      </c>
      <c r="B921" s="13" t="n">
        <v>57</v>
      </c>
      <c r="C921" s="14">
        <f>INDEX('부작 목록'!$C$2:$C$96,B921)</f>
        <v/>
      </c>
      <c r="D921" s="14" t="inlineStr">
        <is>
          <t>E 빅토르 안전가옥 세션</t>
        </is>
      </c>
      <c r="E921" s="13" t="n">
        <v>30113</v>
      </c>
      <c r="F921" s="13" t="n">
        <v>48</v>
      </c>
      <c r="G921" s="15" t="inlineStr">
        <is>
          <t>카를로스가 다음 실행 사이클을 위한 최종 준비 지시를 내리며 세션이 마무리됩니다.</t>
        </is>
      </c>
    </row>
    <row r="922" ht="15" customHeight="1" s="11">
      <c r="A922" s="13" t="n">
        <v>921</v>
      </c>
      <c r="B922" s="13" t="n">
        <v>57</v>
      </c>
      <c r="C922" s="14">
        <f>INDEX('부작 목록'!$C$2:$C$96,B922)</f>
        <v/>
      </c>
      <c r="D922" s="14" t="inlineStr">
        <is>
          <t>E 빅토르 안전가옥 세션</t>
        </is>
      </c>
      <c r="E922" s="13" t="n">
        <v>30163</v>
      </c>
      <c r="F922" s="13" t="n">
        <v>50</v>
      </c>
      <c r="G922" s="15" t="inlineStr">
        <is>
          <t>몇 주 후, 카밀라가 예상보다 이른 재정 이상 신호를 감지하며 계획 조정이 필요해집니다. 다음 사이클까지 한 달을 예상하며 '중단 프로토콜'을 다듬던 팀에게, 모든 일정이 갑자기 앞당겨질지도 모른다는 긴장이 찾아옵니다.</t>
        </is>
      </c>
    </row>
    <row r="923" ht="15" customHeight="1" s="11">
      <c r="A923" s="13" t="n">
        <v>922</v>
      </c>
      <c r="B923" s="13" t="n">
        <v>57</v>
      </c>
      <c r="C923" s="14">
        <f>INDEX('부작 목록'!$C$2:$C$96,B923)</f>
        <v/>
      </c>
      <c r="D923" s="14" t="inlineStr">
        <is>
          <t>E 빅토르 안전가옥 세션</t>
        </is>
      </c>
      <c r="E923" s="13" t="n">
        <v>30215</v>
      </c>
      <c r="F923" s="13" t="n">
        <v>48</v>
      </c>
      <c r="G923" s="15" t="inlineStr">
        <is>
          <t>몇 시간 후, 마르코스가 티켓 구매를 확인하며 실행 확정 소식을 전합니다. 늦은 밤의 사무실에서, 팀은 마침내 48시간이라는 구체적인 시한을 손에 쥐게 됩니다.</t>
        </is>
      </c>
    </row>
    <row r="924" ht="15" customHeight="1" s="11">
      <c r="A924" s="13" t="n">
        <v>923</v>
      </c>
      <c r="B924" s="13" t="n">
        <v>57</v>
      </c>
      <c r="C924" s="14">
        <f>INDEX('부작 목록'!$C$2:$C$96,B924)</f>
        <v/>
      </c>
      <c r="D924" s="14" t="inlineStr">
        <is>
          <t>E 빅토르 안전가옥 세션</t>
        </is>
      </c>
      <c r="E924" s="13" t="n">
        <v>30265</v>
      </c>
      <c r="F924" s="13" t="n">
        <v>50</v>
      </c>
      <c r="G924" s="15" t="inlineStr">
        <is>
          <t>그날 밤, 알바로와 카밀라가 마지막으로 짧게 서로를 다잡습니다. 그리고 다음 날 아침, 카를로스가 출발 전 마지막으로 팀을 모아 모든 준비가 끝났음을 확인합니다.</t>
        </is>
      </c>
    </row>
    <row r="925" ht="15" customHeight="1" s="11">
      <c r="A925" s="13" t="n">
        <v>924</v>
      </c>
      <c r="B925" s="13" t="n">
        <v>57</v>
      </c>
      <c r="C925" s="14">
        <f>INDEX('부작 목록'!$C$2:$C$96,B925)</f>
        <v/>
      </c>
      <c r="D925" s="14" t="inlineStr">
        <is>
          <t>E 빅토르 안전가옥 세션</t>
        </is>
      </c>
      <c r="E925" s="13" t="n">
        <v>30317</v>
      </c>
      <c r="F925" s="13" t="n">
        <v>50</v>
      </c>
      <c r="G925" s="15" t="inlineStr">
        <is>
          <t>실행일. 밀라노 조정센터. 마침내 '체크메이트 작전'이 시작됩니다 — 시리즈 전체의 클라이맥스, 로셀요의 실제 검거입니다.</t>
        </is>
      </c>
    </row>
    <row r="926" ht="15" customHeight="1" s="11">
      <c r="A926" s="13" t="n">
        <v>925</v>
      </c>
      <c r="B926" s="13" t="n">
        <v>57</v>
      </c>
      <c r="C926" s="14">
        <f>INDEX('부작 목록'!$C$2:$C$96,B926)</f>
        <v/>
      </c>
      <c r="D926" s="14" t="inlineStr">
        <is>
          <t>E 빅토르 안전가옥 세션</t>
        </is>
      </c>
      <c r="E926" s="13" t="n">
        <v>30369</v>
      </c>
      <c r="F926" s="13" t="n">
        <v>49</v>
      </c>
      <c r="G926" s="15" t="inlineStr">
        <is>
          <t>카를로스가 최종 프로토콜을 명료하게 확인시키며, 검거 순간의 정확한 신호체계를 확정합니다. 모두가 같은 단어, 같은 순서, 같은 몇 초를 머릿속에 새깁니다.</t>
        </is>
      </c>
    </row>
    <row r="927" ht="15" customHeight="1" s="11">
      <c r="A927" s="13" t="n">
        <v>926</v>
      </c>
      <c r="B927" s="13" t="n">
        <v>57</v>
      </c>
      <c r="C927" s="14">
        <f>INDEX('부작 목록'!$C$2:$C$96,B927)</f>
        <v/>
      </c>
      <c r="D927" s="14" t="inlineStr">
        <is>
          <t>E 빅토르 안전가옥 세션</t>
        </is>
      </c>
      <c r="E927" s="13" t="n">
        <v>30420</v>
      </c>
      <c r="F927" s="13" t="n">
        <v>45</v>
      </c>
      <c r="G927" s="15" t="inlineStr">
        <is>
          <t>기차가 역에 접근하며 긴장이 다시 최고조에 이릅니다. 기다림 속에서 빅토르가 알바로에게 22년의 무게를 조용히 털어놓습니다.</t>
        </is>
      </c>
    </row>
    <row r="928" ht="15" customHeight="1" s="11">
      <c r="A928" s="13" t="n">
        <v>927</v>
      </c>
      <c r="B928" s="13" t="n">
        <v>57</v>
      </c>
      <c r="C928" s="14">
        <f>INDEX('부작 목록'!$C$2:$C$96,B928)</f>
        <v/>
      </c>
      <c r="D928" s="14" t="inlineStr">
        <is>
          <t>E 빅토르 안전가옥 세션</t>
        </is>
      </c>
      <c r="E928" s="13" t="n">
        <v>30467</v>
      </c>
      <c r="F928" s="13" t="n">
        <v>46</v>
      </c>
      <c r="G928" s="15" t="inlineStr">
        <is>
          <t>로셀요가 하차하며 예정된 경로로 이동하는 상황이 실시간으로 확인됩니다. 화면 속 회색 코트의 남자는 몇 달 동안 지켜본 그대로, 단 한 걸음도 어긋나지 않습니다.</t>
        </is>
      </c>
    </row>
    <row r="929" ht="15" customHeight="1" s="11">
      <c r="A929" s="13" t="n">
        <v>928</v>
      </c>
      <c r="B929" s="13" t="n">
        <v>57</v>
      </c>
      <c r="C929" s="14">
        <f>INDEX('부작 목록'!$C$2:$C$96,B929)</f>
        <v/>
      </c>
      <c r="D929" s="14" t="inlineStr">
        <is>
          <t>E 빅토르 안전가옥 세션</t>
        </is>
      </c>
      <c r="E929" s="13" t="n">
        <v>30515</v>
      </c>
      <c r="F929" s="13" t="n">
        <v>48</v>
      </c>
      <c r="G929" s="15" t="inlineStr">
        <is>
          <t>삼십오 분 후, 회의가 끝나며 로셀요가 건물을 나섭니다. 그 사이의 기다림은 작은 소음 하나에도 모두를 숨죽이게 만듭니다.</t>
        </is>
      </c>
    </row>
    <row r="930" ht="15" customHeight="1" s="11">
      <c r="A930" s="13" t="n">
        <v>929</v>
      </c>
      <c r="B930" s="13" t="n">
        <v>57</v>
      </c>
      <c r="C930" s="14">
        <f>INDEX('부작 목록'!$C$2:$C$96,B930)</f>
        <v/>
      </c>
      <c r="D930" s="14" t="inlineStr">
        <is>
          <t>E 빅토르 안전가옥 세션</t>
        </is>
      </c>
      <c r="E930" s="13" t="n">
        <v>30565</v>
      </c>
      <c r="F930" s="13" t="n">
        <v>46</v>
      </c>
      <c r="G930" s="15" t="inlineStr">
        <is>
          <t>로셀요가 자신의 차량에 접근하며, 마지막 순간이 초 단위로 중계됩니다. 몇 달간의 모든 준비가 이제 골목의 몇 미터, 몇 초로 줄어듭니다.</t>
        </is>
      </c>
    </row>
    <row r="931" ht="15" customHeight="1" s="11">
      <c r="A931" s="13" t="n">
        <v>930</v>
      </c>
      <c r="B931" s="13" t="n">
        <v>57</v>
      </c>
      <c r="C931" s="14">
        <f>INDEX('부작 목록'!$C$2:$C$96,B931)</f>
        <v/>
      </c>
      <c r="D931" s="14" t="inlineStr">
        <is>
          <t>E 빅토르 안전가옥 세션</t>
        </is>
      </c>
      <c r="E931" s="13" t="n">
        <v>30613</v>
      </c>
      <c r="F931" s="13" t="n">
        <v>46</v>
      </c>
      <c r="G931" s="15" t="inlineStr">
        <is>
          <t>카를로스가 신호를 내리며, 몇 달간의 추적이 마침내 실행으로 이어집니다. 일곱 초. 조정센터의 누구도 숨을 쉬지 못합니다.</t>
        </is>
      </c>
    </row>
    <row r="932" ht="15" customHeight="1" s="11">
      <c r="A932" s="13" t="n">
        <v>931</v>
      </c>
      <c r="B932" s="13" t="n">
        <v>57</v>
      </c>
      <c r="C932" s="14">
        <f>INDEX('부작 목록'!$C$2:$C$96,B932)</f>
        <v/>
      </c>
      <c r="D932" s="14" t="inlineStr">
        <is>
          <t>E 빅토르 안전가옥 세션</t>
        </is>
      </c>
      <c r="E932" s="13" t="n">
        <v>30661</v>
      </c>
      <c r="F932" s="13" t="n">
        <v>46</v>
      </c>
      <c r="G932" s="15" t="inlineStr">
        <is>
          <t>조정센터에서 팀 전체가 이 순간을 받아들이며 감정이 폭발합니다. 몇 달, 아니 몇 년 동안 참아왔던 것들이 한꺼번에 무너져 내립니다.</t>
        </is>
      </c>
    </row>
    <row r="933" ht="15" customHeight="1" s="11">
      <c r="A933" s="13" t="n">
        <v>932</v>
      </c>
      <c r="B933" s="13" t="n">
        <v>57</v>
      </c>
      <c r="C933" s="14">
        <f>INDEX('부작 목록'!$C$2:$C$96,B933)</f>
        <v/>
      </c>
      <c r="D933" s="14" t="inlineStr">
        <is>
          <t>E 빅토르 안전가옥 세션</t>
        </is>
      </c>
      <c r="E933" s="13" t="n">
        <v>30709</v>
      </c>
      <c r="F933" s="13" t="n">
        <v>49</v>
      </c>
      <c r="G933" s="15" t="inlineStr">
        <is>
          <t>카를로스가 즉시 사법 절차와 공동 발표 준비를 지시합니다. 감정이 가라앉기도 전에, 세 나라의 법률과 언론 일정이 정확히 맞물려 돌아가기 시작합니다.</t>
        </is>
      </c>
    </row>
    <row r="934" ht="15" customHeight="1" s="11">
      <c r="A934" s="13" t="n">
        <v>933</v>
      </c>
      <c r="B934" s="13" t="n">
        <v>58</v>
      </c>
      <c r="C934" s="14">
        <f>INDEX('부작 목록'!$C$2:$C$96,B934)</f>
        <v/>
      </c>
      <c r="D934" s="14" t="inlineStr">
        <is>
          <t>E 빅토르 안전가옥 세션</t>
        </is>
      </c>
      <c r="E934" s="13" t="n">
        <v>30760</v>
      </c>
      <c r="F934" s="13" t="n">
        <v>51</v>
      </c>
      <c r="G934" s="15" t="inlineStr">
        <is>
          <t>몇 시간 후, 알바로가 취리히 구금시설에서 로셀요와 처음으로 검거 후 대면합니다. 공책도 휴대전화도 없이 들어간 차가운 면회실에서, 로셀요는 놀라울 만큼 차분합니다.</t>
        </is>
      </c>
    </row>
    <row r="935" ht="15" customHeight="1" s="11">
      <c r="A935" s="13" t="n">
        <v>934</v>
      </c>
      <c r="B935" s="13" t="n">
        <v>58</v>
      </c>
      <c r="C935" s="14">
        <f>INDEX('부작 목록'!$C$2:$C$96,B935)</f>
        <v/>
      </c>
      <c r="D935" s="14" t="inlineStr">
        <is>
          <t>E 빅토르 안전가옥 세션</t>
        </is>
      </c>
      <c r="E935" s="13" t="n">
        <v>30813</v>
      </c>
      <c r="F935" s="13" t="n">
        <v>48</v>
      </c>
      <c r="G935" s="15" t="inlineStr">
        <is>
          <t>대화가 이어지며, 로셀요가 처음으로 후회에 가까운 말을 꺼냅니다. 그 레스토랑에서의 저녁 식사가 다시 화제에 오르고, 알바로는 카밀라를 향했던 위협을 정면으로 따집니다.</t>
        </is>
      </c>
    </row>
    <row r="936" ht="15" customHeight="1" s="11">
      <c r="A936" s="13" t="n">
        <v>935</v>
      </c>
      <c r="B936" s="13" t="n">
        <v>58</v>
      </c>
      <c r="C936" s="14">
        <f>INDEX('부작 목록'!$C$2:$C$96,B936)</f>
        <v/>
      </c>
      <c r="D936" s="14" t="inlineStr">
        <is>
          <t>E 빅토르 안전가옥 세션</t>
        </is>
      </c>
      <c r="E936" s="13" t="n">
        <v>30863</v>
      </c>
      <c r="F936" s="13" t="n">
        <v>47</v>
      </c>
      <c r="G936" s="15" t="inlineStr">
        <is>
          <t>알바로가 협조 가능성을 조심스럽게 언급하며 대화를 마무리합니다. 자신은 검사도 경찰도 아니라는 선을 분명히 그은 채, 그는 로셀요 때문에 피해를 입은 사람들의 얼굴을 하나씩 떠올리게 합니다.</t>
        </is>
      </c>
    </row>
    <row r="937" ht="15" customHeight="1" s="11">
      <c r="A937" s="13" t="n">
        <v>936</v>
      </c>
      <c r="B937" s="13" t="n">
        <v>58</v>
      </c>
      <c r="C937" s="14">
        <f>INDEX('부작 목록'!$C$2:$C$96,B937)</f>
        <v/>
      </c>
      <c r="D937" s="14" t="inlineStr">
        <is>
          <t>E 빅토르 안전가옥 세션</t>
        </is>
      </c>
      <c r="E937" s="13" t="n">
        <v>30912</v>
      </c>
      <c r="F937" s="13" t="n">
        <v>49</v>
      </c>
      <c r="G937" s="15" t="inlineStr">
        <is>
          <t>알바로가 팀에게 돌아가 로셀요와의 대화 내용을 보고합니다. 마르코스가 그의 기억을 받아 적는 동안, 빅토르와 카밀라는 로셀요의 말이 진심인지 계산인지를 두고 의견을 나누고, 카를로스는 넘지 말아야 할 선을 분명히 합니다.</t>
        </is>
      </c>
    </row>
    <row r="938" ht="15" customHeight="1" s="11">
      <c r="A938" s="13" t="n">
        <v>937</v>
      </c>
      <c r="B938" s="13" t="n">
        <v>58</v>
      </c>
      <c r="C938" s="14">
        <f>INDEX('부작 목록'!$C$2:$C$96,B938)</f>
        <v/>
      </c>
      <c r="D938" s="14" t="inlineStr">
        <is>
          <t>E 빅토르 안전가옥 세션</t>
        </is>
      </c>
      <c r="E938" s="13" t="n">
        <v>30963</v>
      </c>
      <c r="F938" s="13" t="n">
        <v>47</v>
      </c>
      <c r="G938" s="15" t="inlineStr">
        <is>
          <t>공동 기자회견 시간이 다가오며, 하비에르의 기사와 함께 공식 발표가 이뤄집니다. 팀은 화면 앞에 모여 생중계를 지켜보고, 마드리드의 하비에르는 첫 질문이 끝나기만을 기다립니다.</t>
        </is>
      </c>
    </row>
    <row r="939" ht="28.35" customHeight="1" s="11">
      <c r="A939" s="13" t="n">
        <v>938</v>
      </c>
      <c r="B939" s="13" t="n">
        <v>58</v>
      </c>
      <c r="C939" s="14">
        <f>INDEX('부작 목록'!$C$2:$C$96,B939)</f>
        <v/>
      </c>
      <c r="D939" s="14" t="inlineStr">
        <is>
          <t>E 빅토르 안전가옥 세션</t>
        </is>
      </c>
      <c r="E939" s="13" t="n">
        <v>31012</v>
      </c>
      <c r="F939" s="13" t="n">
        <v>49</v>
      </c>
      <c r="G939" s="15" t="inlineStr">
        <is>
          <t>카밀라가 도밍고와 안셀모에게 검거 소식을 직접 전합니다. 칸타브리아의 작은 마을, 텔레비전 뉴스에서 이미 무언가를 본 도밍고는 그녀의 확인을 기다리고 있었고, 양 떼 곁의 안셀모는 몇 마디로 오랜 긴장을 내려놓습니다.</t>
        </is>
      </c>
    </row>
    <row r="940" ht="15" customHeight="1" s="11">
      <c r="A940" s="13" t="n">
        <v>939</v>
      </c>
      <c r="B940" s="13" t="n">
        <v>58</v>
      </c>
      <c r="C940" s="14">
        <f>INDEX('부작 목록'!$C$2:$C$96,B940)</f>
        <v/>
      </c>
      <c r="D940" s="14" t="inlineStr">
        <is>
          <t>E 빅토르 안전가옥 세션</t>
        </is>
      </c>
      <c r="E940" s="13" t="n">
        <v>31063</v>
      </c>
      <c r="F940" s="13" t="n">
        <v>47</v>
      </c>
      <c r="G940" s="15" t="inlineStr">
        <is>
          <t>카를로스가 빅토르에게 증인보호 프로그램 결정을 다시 묻습니다. 해 질 무렵 테라스에서 자판기 커피를 사이에 두고, 두 사람은 새 이름과 새 나라, 그리고 다시는 연락할 수 없는 삶에 대해 이야기합니다.</t>
        </is>
      </c>
    </row>
    <row r="941" ht="15" customHeight="1" s="11">
      <c r="A941" s="13" t="n">
        <v>940</v>
      </c>
      <c r="B941" s="13" t="n">
        <v>58</v>
      </c>
      <c r="C941" s="14">
        <f>INDEX('부작 목록'!$C$2:$C$96,B941)</f>
        <v/>
      </c>
      <c r="D941" s="14" t="inlineStr">
        <is>
          <t>E 빅토르 안전가옥 세션</t>
        </is>
      </c>
      <c r="E941" s="13" t="n">
        <v>31112</v>
      </c>
      <c r="F941" s="13" t="n">
        <v>47</v>
      </c>
      <c r="G941" s="15" t="inlineStr">
        <is>
          <t>그날 밤, 알바로와 카밀라가 마드리드로 돌아가는 비행기에서 감정을 나눕니다. 창밖으로 어두운 알프스가 지나가는 동안, 알바로는 로셀요가 카밀라에 대해 했던 말까지 숨김없이 털어놓습니다.</t>
        </is>
      </c>
    </row>
    <row r="942" ht="15" customHeight="1" s="11">
      <c r="A942" s="13" t="n">
        <v>941</v>
      </c>
      <c r="B942" s="13" t="n">
        <v>58</v>
      </c>
      <c r="C942" s="14">
        <f>INDEX('부작 목록'!$C$2:$C$96,B942)</f>
        <v/>
      </c>
      <c r="D942" s="14" t="inlineStr">
        <is>
          <t>E 빅토르 안전가옥 세션</t>
        </is>
      </c>
      <c r="E942" s="13" t="n">
        <v>31161</v>
      </c>
      <c r="F942" s="13" t="n">
        <v>45</v>
      </c>
      <c r="G942" s="15" t="inlineStr">
        <is>
          <t>며칠 후, 로셀요가 공식적으로 협조 의사를 밝히며 세션에서 그 소식을 다룹니다. 팀은 그의 조건이 진심인지 전략인지 따져 보고, 알바로는 자신의 방문이 그 결정에 영향을 준 것은 아닌지 고민하며, 카를로스는 최종 판단이 검찰과 판사의 몫임을 다시 확인합니다.</t>
        </is>
      </c>
    </row>
    <row r="943" ht="15" customHeight="1" s="11">
      <c r="A943" s="13" t="n">
        <v>942</v>
      </c>
      <c r="B943" s="13" t="n">
        <v>58</v>
      </c>
      <c r="C943" s="14">
        <f>INDEX('부작 목록'!$C$2:$C$96,B943)</f>
        <v/>
      </c>
      <c r="D943" s="14" t="inlineStr">
        <is>
          <t>E 빅토르 안전가옥 세션</t>
        </is>
      </c>
      <c r="E943" s="13" t="n">
        <v>31208</v>
      </c>
      <c r="F943" s="13" t="n">
        <v>51</v>
      </c>
      <c r="G943" s="15" t="inlineStr">
        <is>
          <t>몇 주 후, 협조 조건이 승인되며 로셀요의 첫 공식 진술이 시작됩니다. 카를로스는 안전가옥에 팀을 모아 진술 내용 중 공유할 수 있는 부분만 전하고, 알바로는 기자로서 넘지 말아야 할 선을 다시 확인합니다.</t>
        </is>
      </c>
    </row>
    <row r="944" ht="15" customHeight="1" s="11">
      <c r="A944" s="13" t="n">
        <v>943</v>
      </c>
      <c r="B944" s="13" t="n">
        <v>58</v>
      </c>
      <c r="C944" s="14">
        <f>INDEX('부작 목록'!$C$2:$C$96,B944)</f>
        <v/>
      </c>
      <c r="D944" s="14" t="inlineStr">
        <is>
          <t>E 빅토르 안전가옥 세션</t>
        </is>
      </c>
      <c r="E944" s="13" t="n">
        <v>31261</v>
      </c>
      <c r="F944" s="13" t="n">
        <v>46</v>
      </c>
      <c r="G944" s="15" t="inlineStr">
        <is>
          <t>카밀라가 몰수된 자산으로 피해자 보상기금을 설계하는 작업을 시작합니다. 관할권마다 다른 법, 가짜 청구의 위험, 각국 검찰의 이해관계 등 현실적인 난관이 하나씩 드러납니다.</t>
        </is>
      </c>
    </row>
    <row r="945" ht="15" customHeight="1" s="11">
      <c r="A945" s="13" t="n">
        <v>944</v>
      </c>
      <c r="B945" s="13" t="n">
        <v>58</v>
      </c>
      <c r="C945" s="14">
        <f>INDEX('부작 목록'!$C$2:$C$96,B945)</f>
        <v/>
      </c>
      <c r="D945" s="14" t="inlineStr">
        <is>
          <t>E 빅토르 안전가옥 세션</t>
        </is>
      </c>
      <c r="E945" s="13" t="n">
        <v>31309</v>
      </c>
      <c r="F945" s="13" t="n">
        <v>49</v>
      </c>
      <c r="G945" s="15" t="inlineStr">
        <is>
          <t>몇 달 후, 로셀요의 재판이 시작되며 알바로가 법정을 취재합니다. 이른 아침부터 여러 나라의 기자들이 몰려들고, 알바로는 하비에르와 함께 방청석에서 첫날의 공방을 지켜봅니다.</t>
        </is>
      </c>
    </row>
    <row r="946" ht="15" customHeight="1" s="11">
      <c r="A946" s="13" t="n">
        <v>945</v>
      </c>
      <c r="B946" s="13" t="n">
        <v>58</v>
      </c>
      <c r="C946" s="14">
        <f>INDEX('부작 목록'!$C$2:$C$96,B946)</f>
        <v/>
      </c>
      <c r="D946" s="14" t="inlineStr">
        <is>
          <t>E 빅토르 안전가옥 세션</t>
        </is>
      </c>
      <c r="E946" s="13" t="n">
        <v>31360</v>
      </c>
      <c r="F946" s="13" t="n">
        <v>47</v>
      </c>
      <c r="G946" s="15" t="inlineStr">
        <is>
          <t>재판이 진행되며, 로셀요가 법정에서 처음이자 유일하게 직접 발언합니다. 몇 주에 걸친 증언 끝에 최후 진술의 순서가 오고, 그의 짧은 말은 법정에 긴 침묵을 남깁니다.</t>
        </is>
      </c>
    </row>
    <row r="947" ht="15" customHeight="1" s="11">
      <c r="A947" s="13" t="n">
        <v>946</v>
      </c>
      <c r="B947" s="13" t="n">
        <v>58</v>
      </c>
      <c r="C947" s="14">
        <f>INDEX('부작 목록'!$C$2:$C$96,B947)</f>
        <v/>
      </c>
      <c r="D947" s="14" t="inlineStr">
        <is>
          <t>E 빅토르 안전가옥 세션</t>
        </is>
      </c>
      <c r="E947" s="13" t="n">
        <v>31409</v>
      </c>
      <c r="F947" s="13" t="n">
        <v>48</v>
      </c>
      <c r="G947" s="15" t="inlineStr">
        <is>
          <t>몇 달 후, 판결이 내려지며 알바로가 그 순간을 취재합니다. 판사의 낭독이 이어지는 동안 법정은 숨을 죽이고, 판결 이후 검찰과 변호인, 그리고 팀원들의 반응이 엇갈립니다.</t>
        </is>
      </c>
    </row>
    <row r="948" ht="15" customHeight="1" s="11">
      <c r="A948" s="13" t="n">
        <v>947</v>
      </c>
      <c r="B948" s="13" t="n">
        <v>58</v>
      </c>
      <c r="C948" s="14">
        <f>INDEX('부작 목록'!$C$2:$C$96,B948)</f>
        <v/>
      </c>
      <c r="D948" s="14" t="inlineStr">
        <is>
          <t>E 빅토르 안전가옥 세션</t>
        </is>
      </c>
      <c r="E948" s="13" t="n">
        <v>31459</v>
      </c>
      <c r="F948" s="13" t="n">
        <v>47</v>
      </c>
      <c r="G948" s="15" t="inlineStr">
        <is>
          <t>재판 이후, 카를로스가 팀 전체를 모아 12개 작전 전체를 회고하는 마지막 정식 세션을 시작합니다. 하비에르까지 안전가옥의 익숙한 테이블에 둘러앉아, 처음의 기억과 각자의 실수, 그리고 웃음을 함께 나눕니다.</t>
        </is>
      </c>
    </row>
    <row r="949" ht="15" customHeight="1" s="11">
      <c r="A949" s="13" t="n">
        <v>948</v>
      </c>
      <c r="B949" s="13" t="n">
        <v>58</v>
      </c>
      <c r="C949" s="14">
        <f>INDEX('부작 목록'!$C$2:$C$96,B949)</f>
        <v/>
      </c>
      <c r="D949" s="14" t="inlineStr">
        <is>
          <t>E 빅토르 안전가옥 세션</t>
        </is>
      </c>
      <c r="E949" s="13" t="n">
        <v>31508</v>
      </c>
      <c r="F949" s="13" t="n">
        <v>47</v>
      </c>
      <c r="G949" s="15" t="inlineStr">
        <is>
          <t>빅토르가 자신의 새로운 삶으로의 전환에 대해 마지막으로 팀에게 작별을 고합니다. 팀원들은 저마다의 방식으로 아쉬움을 드러내고, 빅토르는 이 집에 작은 선물 하나를 남깁니다.</t>
        </is>
      </c>
    </row>
    <row r="950" ht="15" customHeight="1" s="11">
      <c r="A950" s="13" t="n">
        <v>949</v>
      </c>
      <c r="B950" s="13" t="n">
        <v>58</v>
      </c>
      <c r="C950" s="14">
        <f>INDEX('부작 목록'!$C$2:$C$96,B950)</f>
        <v/>
      </c>
      <c r="D950" s="14" t="inlineStr">
        <is>
          <t>E 빅토르 안전가옥 세션</t>
        </is>
      </c>
      <c r="E950" s="13" t="n">
        <v>31557</v>
      </c>
      <c r="F950" s="13" t="n">
        <v>46</v>
      </c>
      <c r="G950" s="15" t="inlineStr">
        <is>
          <t>빅토르가 떠나기 전, 알바로와 마지막으로 개인적인 순간을 나눕니다. 밤이 된 안전가옥 앞 길가에서 두 사람은 첫 만남부터 지금까지를 되짚으며, 서로에게 마지막 부탁을 남깁니다.</t>
        </is>
      </c>
    </row>
    <row r="951" ht="15" customHeight="1" s="11">
      <c r="A951" s="13" t="n">
        <v>950</v>
      </c>
      <c r="B951" s="13" t="n">
        <v>59</v>
      </c>
      <c r="C951" s="14">
        <f>INDEX('부작 목록'!$C$2:$C$96,B951)</f>
        <v/>
      </c>
      <c r="D951" s="14" t="inlineStr">
        <is>
          <t>E 빅토르 안전가옥 세션</t>
        </is>
      </c>
      <c r="E951" s="13" t="n">
        <v>31605</v>
      </c>
      <c r="F951" s="13" t="n">
        <v>7</v>
      </c>
      <c r="G951" s="15" t="inlineStr">
        <is>
          <t>몇 달 후, 알바로가 신문사 사무실에서 자신의 완결된 취재기획 기사를 마무리합니다.</t>
        </is>
      </c>
    </row>
    <row r="952" ht="15" customHeight="1" s="11">
      <c r="A952" s="13" t="n">
        <v>951</v>
      </c>
      <c r="B952" s="13" t="n">
        <v>59</v>
      </c>
      <c r="C952" s="14">
        <f>INDEX('부작 목록'!$C$2:$C$96,B952)</f>
        <v/>
      </c>
      <c r="D952" s="14" t="inlineStr">
        <is>
          <t>E 빅토르 안전가옥 세션</t>
        </is>
      </c>
      <c r="E952" s="13" t="n">
        <v>31614</v>
      </c>
      <c r="F952" s="13" t="n">
        <v>8</v>
      </c>
      <c r="G952" s="15" t="inlineStr">
        <is>
          <t>그날 저녁, 알바로와 카밀라가 자신들의 관계와 미래에 대해 이야기합니다.</t>
        </is>
      </c>
    </row>
    <row r="953" ht="15" customHeight="1" s="11">
      <c r="A953" s="13" t="n">
        <v>952</v>
      </c>
      <c r="B953" s="13" t="n">
        <v>59</v>
      </c>
      <c r="C953" s="14">
        <f>INDEX('부작 목록'!$C$2:$C$96,B953)</f>
        <v/>
      </c>
      <c r="D953" s="14" t="inlineStr">
        <is>
          <t>E 빅토르 안전가옥 세션</t>
        </is>
      </c>
      <c r="E953" s="13" t="n">
        <v>31625</v>
      </c>
      <c r="F953" s="13" t="n">
        <v>7</v>
      </c>
      <c r="G953" s="15" t="inlineStr">
        <is>
          <t>일 년 후, 카밀라가 완결된 보상기금 최종 보고서를 세션 형식으로 팀에 공유합니다.</t>
        </is>
      </c>
    </row>
    <row r="954" ht="15" customHeight="1" s="11">
      <c r="A954" s="13" t="n">
        <v>953</v>
      </c>
      <c r="B954" s="13" t="n">
        <v>59</v>
      </c>
      <c r="C954" s="14">
        <f>INDEX('부작 목록'!$C$2:$C$96,B954)</f>
        <v/>
      </c>
      <c r="D954" s="14" t="inlineStr">
        <is>
          <t>E 빅토르 안전가옥 세션</t>
        </is>
      </c>
      <c r="E954" s="13" t="n">
        <v>31634</v>
      </c>
      <c r="F954" s="13" t="n">
        <v>6</v>
      </c>
      <c r="G954" s="15" t="inlineStr">
        <is>
          <t>알바로가 마르코스와 함께 이 시리즈 전체가 남긴 기술적, 제도적 유산을 되돌아봅니다.</t>
        </is>
      </c>
    </row>
    <row r="955" ht="15" customHeight="1" s="11">
      <c r="A955" s="13" t="n">
        <v>954</v>
      </c>
      <c r="B955" s="13" t="n">
        <v>59</v>
      </c>
      <c r="C955" s="14">
        <f>INDEX('부작 목록'!$C$2:$C$96,B955)</f>
        <v/>
      </c>
      <c r="D955" s="14" t="inlineStr">
        <is>
          <t>E 빅토르 안전가옥 세션</t>
        </is>
      </c>
      <c r="E955" s="13" t="n">
        <v>31643</v>
      </c>
      <c r="F955" s="13" t="n">
        <v>7</v>
      </c>
      <c r="G955" s="15" t="inlineStr">
        <is>
          <t>알바로가 로셀요에게 수감 중인 감옥에서 마지막으로 편지를 받으며 예상치 못한 소식을 전합 니다.</t>
        </is>
      </c>
    </row>
    <row r="956" ht="15" customHeight="1" s="11">
      <c r="A956" s="10" t="n">
        <v>955</v>
      </c>
      <c r="B956" s="10" t="n">
        <v>59</v>
      </c>
      <c r="C956" s="10">
        <f>INDEX('부작 목록'!$C$2:$C$96,B956)</f>
        <v/>
      </c>
      <c r="D956" s="10" t="inlineStr">
        <is>
          <t>E 빅토르 안전가옥 세션</t>
        </is>
      </c>
      <c r="E956" s="10" t="n">
        <v>31652</v>
      </c>
      <c r="F956" s="10" t="n">
        <v>6</v>
      </c>
      <c r="G956" s="10" t="inlineStr">
        <is>
          <t>카를로스가 이 새로운 단서를 받아들이며 팀에게 다음 국면을 알립니다.</t>
        </is>
      </c>
    </row>
    <row r="957" ht="15" customHeight="1" s="11">
      <c r="A957" s="10" t="n">
        <v>956</v>
      </c>
      <c r="B957" s="10" t="n">
        <v>59</v>
      </c>
      <c r="C957" s="10">
        <f>INDEX('부작 목록'!$C$2:$C$96,B957)</f>
        <v/>
      </c>
      <c r="D957" s="10" t="inlineStr">
        <is>
          <t>E 빅토르 안전가옥 세션</t>
        </is>
      </c>
      <c r="E957" s="10" t="n">
        <v>31660</v>
      </c>
      <c r="F957" s="10" t="n">
        <v>7</v>
      </c>
      <c r="G957" s="10" t="inlineStr">
        <is>
          <t>알바로가 이 마지막 소식을 바탕으로 새로운 기사의 첫 문장을 쓰기 시작합니다.</t>
        </is>
      </c>
    </row>
    <row r="958" ht="15" customHeight="1" s="11">
      <c r="A958" s="10" t="n">
        <v>957</v>
      </c>
      <c r="B958" s="10" t="n">
        <v>59</v>
      </c>
      <c r="C958" s="10">
        <f>INDEX('부작 목록'!$C$2:$C$96,B958)</f>
        <v/>
      </c>
      <c r="D958" s="10" t="inlineStr">
        <is>
          <t>E 빅토르 안전가옥 세션</t>
        </is>
      </c>
      <c r="E958" s="10" t="n">
        <v>31670</v>
      </c>
      <c r="F958" s="10" t="n">
        <v>7</v>
      </c>
      <c r="G958" s="10" t="inlineStr">
        <is>
          <t>며칠 후, 팀 전체가 마지막으로 다시 모이며 새로운 국면의 공식 개시를 선언합니다.</t>
        </is>
      </c>
    </row>
    <row r="959" ht="15" customHeight="1" s="11">
      <c r="A959" s="10" t="n">
        <v>958</v>
      </c>
      <c r="B959" s="10" t="n">
        <v>59</v>
      </c>
      <c r="C959" s="10">
        <f>INDEX('부작 목록'!$C$2:$C$96,B959)</f>
        <v/>
      </c>
      <c r="D959" s="10" t="inlineStr">
        <is>
          <t>E 빅토르 안전가옥 세션</t>
        </is>
      </c>
      <c r="E959" s="10" t="n">
        <v>31679</v>
      </c>
      <c r="F959" s="10" t="n">
        <v>3</v>
      </c>
      <c r="G959" s="10" t="inlineStr">
        <is>
          <t>알바로가 시리즈 전체를 돌아보며 마지막 성찰을 독백처럼 남깁니다.</t>
        </is>
      </c>
    </row>
    <row r="960" ht="15" customHeight="1" s="11">
      <c r="A960" s="10" t="n">
        <v>959</v>
      </c>
      <c r="B960" s="10" t="n">
        <v>59</v>
      </c>
      <c r="C960" s="10">
        <f>INDEX('부작 목록'!$C$2:$C$96,B960)</f>
        <v/>
      </c>
      <c r="D960" s="10" t="inlineStr">
        <is>
          <t>E 빅토르 안전가옥 세션</t>
        </is>
      </c>
      <c r="E960" s="10" t="n">
        <v>31685</v>
      </c>
      <c r="F960" s="10" t="n">
        <v>2</v>
      </c>
      <c r="G960" s="10" t="inlineStr">
        <is>
          <t>카밀라가 알바로 옆에서 그 마지막 문장을 함께 읽으며 조용히 반응합니다.</t>
        </is>
      </c>
    </row>
    <row r="961" ht="15" customHeight="1" s="11">
      <c r="A961" s="10" t="n">
        <v>960</v>
      </c>
      <c r="B961" s="10" t="n">
        <v>59</v>
      </c>
      <c r="C961" s="10">
        <f>INDEX('부작 목록'!$C$2:$C$96,B961)</f>
        <v/>
      </c>
      <c r="D961" s="10" t="inlineStr">
        <is>
          <t>E 빅토르 안전가옥 세션</t>
        </is>
      </c>
      <c r="E961" s="10" t="n">
        <v>31689</v>
      </c>
      <c r="F961" s="10" t="n">
        <v>5</v>
      </c>
      <c r="G961" s="10" t="inlineStr">
        <is>
          <t>다음 날 아침, 알바로가 기사를 전송하며 새로운 여정의 첫걸음을 내딛습니다.</t>
        </is>
      </c>
    </row>
    <row r="962" ht="15" customHeight="1" s="11">
      <c r="A962" s="10" t="n">
        <v>961</v>
      </c>
      <c r="B962" s="10" t="n">
        <v>59</v>
      </c>
      <c r="C962" s="10">
        <f>INDEX('부작 목록'!$C$2:$C$96,B962)</f>
        <v/>
      </c>
      <c r="D962" s="10" t="inlineStr">
        <is>
          <t>E 빅토르 안전가옥 세션</t>
        </is>
      </c>
      <c r="E962" s="10" t="n">
        <v>31696</v>
      </c>
      <c r="F962" s="10" t="n">
        <v>13</v>
      </c>
      <c r="G962" s="10" t="inlineStr">
        <is>
          <t>카를로스가 마지막으로 전체 시리즈를 정리하며 팀에게 감사를 전합니다.</t>
        </is>
      </c>
    </row>
    <row r="963" ht="15" customHeight="1" s="11">
      <c r="A963" s="10" t="n">
        <v>962</v>
      </c>
      <c r="B963" s="10" t="n">
        <v>60</v>
      </c>
      <c r="C963" s="10">
        <f>INDEX('부작 목록'!$C$2:$C$96,B963)</f>
        <v/>
      </c>
      <c r="D963" s="10" t="inlineStr">
        <is>
          <t>E 빅토르 안전가옥 세션</t>
        </is>
      </c>
      <c r="E963" s="10" t="n">
        <v>31712</v>
      </c>
      <c r="F963" s="10" t="n">
        <v>24</v>
      </c>
      <c r="G963" s="10" t="inlineStr">
        <is>
          <t>몇 주 후. 알바로가 정기 면회 중 로셀요에게 그날 아침 신문에서 읽은 세우타 이민 사태 기사 를 화제로 꺼냅니다.</t>
        </is>
      </c>
    </row>
    <row r="964" ht="15" customHeight="1" s="11">
      <c r="A964" s="10" t="n">
        <v>963</v>
      </c>
      <c r="B964" s="10" t="n">
        <v>60</v>
      </c>
      <c r="C964" s="10">
        <f>INDEX('부작 목록'!$C$2:$C$96,B964)</f>
        <v/>
      </c>
      <c r="D964" s="10" t="inlineStr">
        <is>
          <t>E 빅토르 안전가옥 세션</t>
        </is>
      </c>
      <c r="E964" s="10" t="n">
        <v>31739</v>
      </c>
      <c r="F964" s="10" t="n">
        <v>23</v>
      </c>
      <c r="G964" s="10" t="inlineStr">
        <is>
          <t>며칠 후. 알바로가 정기 면회 중 로셀요에게 만레사에서 벌어진 살인 사건과 그것을 둘러싼 정 치적 논쟁에 대한 신문 기사를 화제로 꺼냅니다.</t>
        </is>
      </c>
    </row>
    <row r="965" ht="15" customHeight="1" s="11">
      <c r="A965" s="10" t="n">
        <v>964</v>
      </c>
      <c r="B965" s="10" t="n">
        <v>60</v>
      </c>
      <c r="C965" s="10">
        <f>INDEX('부작 목록'!$C$2:$C$96,B965)</f>
        <v/>
      </c>
      <c r="D965" s="10" t="inlineStr">
        <is>
          <t>E 빅토르 안전가옥 세션</t>
        </is>
      </c>
      <c r="E965" s="10" t="n">
        <v>31766</v>
      </c>
      <c r="F965" s="10" t="n">
        <v>19</v>
      </c>
      <c r="G965" s="10" t="inlineStr">
        <is>
          <t>며칠 후. 알바로가 정기 면회 중 로셀요에게 미국 트럼프 행정부가 각 주에 미등록 이민자 신고 를 강제하는 정책에 대한 기사를 화제로 꺼냅니다.</t>
        </is>
      </c>
    </row>
    <row r="966" ht="15" customHeight="1" s="11">
      <c r="A966" s="10" t="n">
        <v>965</v>
      </c>
      <c r="B966" s="10" t="n">
        <v>60</v>
      </c>
      <c r="C966" s="10">
        <f>INDEX('부작 목록'!$C$2:$C$96,B966)</f>
        <v/>
      </c>
      <c r="D966" s="10" t="inlineStr">
        <is>
          <t>E 빅토르 안전가옥 세션</t>
        </is>
      </c>
      <c r="E966" s="10" t="n">
        <v>31788</v>
      </c>
      <c r="F966" s="10" t="n">
        <v>18</v>
      </c>
      <c r="G966" s="10" t="inlineStr">
        <is>
          <t>며칠 후. 알바로가 정기 면회 중 무거운 화제 대신, 그날 아침 읽은 여름 요리 기사를 가볍게 꺼냅니다.</t>
        </is>
      </c>
    </row>
    <row r="967" ht="15" customHeight="1" s="11">
      <c r="A967" s="10" t="n">
        <v>966</v>
      </c>
      <c r="B967" s="10" t="n">
        <v>60</v>
      </c>
      <c r="C967" s="10">
        <f>INDEX('부작 목록'!$C$2:$C$96,B967)</f>
        <v/>
      </c>
      <c r="D967" s="10" t="inlineStr">
        <is>
          <t>E 빅토르 안전가옥 세션</t>
        </is>
      </c>
      <c r="E967" s="10" t="n">
        <v>31809</v>
      </c>
      <c r="F967" s="10" t="n">
        <v>19</v>
      </c>
      <c r="G967" s="10" t="inlineStr">
        <is>
          <t>며칠 후. 알바로가 정기 면회 중 로셀요에게 라이프치히 드론 공격을 EU가 '국가 후원 테러리즘 '으로 규정한 기사를 화제로 꺼냅니다.</t>
        </is>
      </c>
    </row>
    <row r="968" ht="15" customHeight="1" s="11">
      <c r="A968" s="10" t="n">
        <v>967</v>
      </c>
      <c r="B968" s="10" t="n">
        <v>60</v>
      </c>
      <c r="C968" s="10">
        <f>INDEX('부작 목록'!$C$2:$C$96,B968)</f>
        <v/>
      </c>
      <c r="D968" s="10" t="inlineStr">
        <is>
          <t>E 빅토르 안전가옥 세션</t>
        </is>
      </c>
      <c r="E968" s="10" t="n">
        <v>31832</v>
      </c>
      <c r="F968" s="10" t="n">
        <v>52</v>
      </c>
      <c r="G968" s="10" t="inlineStr">
        <is>
          <t>며칠 후. 알바로가 정기 면회 중 로셀요에게 세계 체스 선수권 결승전 기사를 화제로 꺼냅니다.</t>
        </is>
      </c>
    </row>
    <row r="969" ht="15" customHeight="1" s="11">
      <c r="A969" s="10" t="n">
        <v>968</v>
      </c>
      <c r="B969" s="10" t="n">
        <v>60</v>
      </c>
      <c r="C969" s="10">
        <f>INDEX('부작 목록'!$C$2:$C$96,B969)</f>
        <v/>
      </c>
      <c r="D969" s="10" t="inlineStr">
        <is>
          <t>E 빅토르 안전가옥 세션</t>
        </is>
      </c>
      <c r="E969" s="10" t="n">
        <v>31886</v>
      </c>
      <c r="F969" s="10" t="n">
        <v>50</v>
      </c>
      <c r="G969" s="10" t="inlineStr">
        <is>
          <t>며칠 후. 알바로가 정기 면회 중 로셀요에게 한 대형 암호화폐 거래소가 붕괴하고 고객 자금이 동결되었다는 기사를 화제로 꺼냅니다.</t>
        </is>
      </c>
    </row>
    <row r="970" ht="15" customHeight="1" s="11">
      <c r="A970" s="10" t="n">
        <v>969</v>
      </c>
      <c r="B970" s="10" t="n">
        <v>60</v>
      </c>
      <c r="C970" s="10">
        <f>INDEX('부작 목록'!$C$2:$C$96,B970)</f>
        <v/>
      </c>
      <c r="D970" s="10" t="inlineStr">
        <is>
          <t>E 빅토르 안전가옥 세션</t>
        </is>
      </c>
      <c r="E970" s="10" t="n">
        <v>31938</v>
      </c>
      <c r="F970" s="10" t="n">
        <v>52</v>
      </c>
      <c r="G970" s="10" t="inlineStr">
        <is>
          <t>며칠 후. 알바로가 정기 면회 중 로셀요에게 발트해 해저 통신 케이블 파손이 사보타주로 의심된다는 기사를 화제로 꺼냅니다.</t>
        </is>
      </c>
    </row>
    <row r="971" ht="15" customHeight="1" s="11">
      <c r="A971" s="10" t="n">
        <v>970</v>
      </c>
      <c r="B971" s="10" t="n">
        <v>60</v>
      </c>
      <c r="C971" s="10">
        <f>INDEX('부작 목록'!$C$2:$C$96,B971)</f>
        <v/>
      </c>
      <c r="D971" s="10" t="inlineStr">
        <is>
          <t>E 빅토르 안전가옥 세션</t>
        </is>
      </c>
      <c r="E971" s="10" t="n">
        <v>31992</v>
      </c>
      <c r="F971" s="10" t="n">
        <v>49</v>
      </c>
      <c r="G971" s="10" t="inlineStr">
        <is>
          <t>며칠 후. 알바로가 정기 면회 중 가벼운 마음으로 로셀요에게 전날 밤 열린 엘 클라시코 결과 기사를 화제로 꺼냅니다.</t>
        </is>
      </c>
    </row>
    <row r="972" ht="15" customHeight="1" s="11">
      <c r="A972" s="10" t="n">
        <v>971</v>
      </c>
      <c r="B972" s="10" t="n">
        <v>60</v>
      </c>
      <c r="C972" s="10">
        <f>INDEX('부작 목록'!$C$2:$C$96,B972)</f>
        <v/>
      </c>
      <c r="D972" s="10" t="inlineStr">
        <is>
          <t>E 빅토르 안전가옥 세션</t>
        </is>
      </c>
      <c r="E972" s="10" t="n">
        <v>32043</v>
      </c>
      <c r="F972" s="10" t="n">
        <v>51</v>
      </c>
      <c r="G972" s="10" t="inlineStr">
        <is>
          <t>며칠 후. 알바로가 정기 면회 중 로셀요에게 정부의 임대료 상한제와 '주거 긴장 지역' 지정 확대에 관한 신문 기사를 화제로 꺼냅니다.</t>
        </is>
      </c>
    </row>
    <row r="973" ht="15" customHeight="1" s="11">
      <c r="A973" s="10" t="n">
        <v>972</v>
      </c>
      <c r="B973" s="10" t="n">
        <v>60</v>
      </c>
      <c r="C973" s="10">
        <f>INDEX('부작 목록'!$C$2:$C$96,B973)</f>
        <v/>
      </c>
      <c r="D973" s="10" t="inlineStr">
        <is>
          <t>E 빅토르 안전가옥 세션</t>
        </is>
      </c>
      <c r="E973" s="10" t="n">
        <v>32096</v>
      </c>
      <c r="F973" s="10" t="n">
        <v>47</v>
      </c>
      <c r="G973" s="10" t="inlineStr">
        <is>
          <t>며칠 후. 알바로가 정기 면회 중 로셀요에게 스페인 '골든 비자' 제도의 공식 폐지와 그 여파를 다룬 기사를 화제로 꺼냅니다.</t>
        </is>
      </c>
    </row>
    <row r="974" ht="15" customHeight="1" s="11">
      <c r="A974" s="10" t="n">
        <v>973</v>
      </c>
      <c r="B974" s="10" t="n">
        <v>60</v>
      </c>
      <c r="C974" s="10">
        <f>INDEX('부작 목록'!$C$2:$C$96,B974)</f>
        <v/>
      </c>
      <c r="D974" s="10" t="inlineStr">
        <is>
          <t>E 빅토르 안전가옥 세션</t>
        </is>
      </c>
      <c r="E974" s="10" t="n">
        <v>32145</v>
      </c>
      <c r="F974" s="10" t="n">
        <v>50</v>
      </c>
      <c r="G974" s="10" t="inlineStr">
        <is>
          <t>며칠 후. 알바로가 정기 면회 중 로셀요에게 미슐랭 가이드 발표와 산세바스티안의 미식 순위를 다룬 가벼운 기사를 화제로 꺼냅니다.</t>
        </is>
      </c>
    </row>
    <row r="975" ht="15" customHeight="1" s="11">
      <c r="A975" s="10" t="n">
        <v>974</v>
      </c>
      <c r="B975" s="10" t="n">
        <v>60</v>
      </c>
      <c r="C975" s="10">
        <f>INDEX('부작 목록'!$C$2:$C$96,B975)</f>
        <v/>
      </c>
      <c r="D975" s="10" t="inlineStr">
        <is>
          <t>E 빅토르 안전가옥 세션</t>
        </is>
      </c>
      <c r="E975" s="10" t="n">
        <v>32197</v>
      </c>
      <c r="F975" s="10" t="n">
        <v>53</v>
      </c>
      <c r="G975" s="10" t="inlineStr">
        <is>
          <t>며칠 후. 알바로가 정기 면회 중 로셀요에게 선거를 앞두고 적발된 허위정보 봇 캠페인에 관한 기사를 화제로 꺼냅니다.</t>
        </is>
      </c>
    </row>
    <row r="976" ht="15" customHeight="1" s="11">
      <c r="A976" s="10" t="n">
        <v>975</v>
      </c>
      <c r="B976" s="10" t="n">
        <v>60</v>
      </c>
      <c r="C976" s="10">
        <f>INDEX('부작 목록'!$C$2:$C$96,B976)</f>
        <v/>
      </c>
      <c r="D976" s="10" t="inlineStr">
        <is>
          <t>E 빅토르 안전가옥 세션</t>
        </is>
      </c>
      <c r="E976" s="10" t="n">
        <v>32252</v>
      </c>
      <c r="F976" s="10" t="n">
        <v>57</v>
      </c>
      <c r="G976" s="10" t="inlineStr">
        <is>
          <t>며칠 후. 알바로가 정기 면회 중 로셀요에게 스페인 교도소의 과밀 수용과 수감자 처우를 고발한 보고서 기사를 화제로 꺼냅니다. 평소처럼 '전문가'로서 분석하던 로셀요는 자신의 감방과 일과, 혼자 걷는 운동장 이야기를 하며 드물게 개인적인 속내를 드러냅니다.</t>
        </is>
      </c>
    </row>
    <row r="977" ht="15" customHeight="1" s="11">
      <c r="A977" s="10" t="n">
        <v>976</v>
      </c>
      <c r="B977" s="10" t="n">
        <v>60</v>
      </c>
      <c r="C977" s="10">
        <f>INDEX('부작 목록'!$C$2:$C$96,B977)</f>
        <v/>
      </c>
      <c r="D977" s="10" t="inlineStr">
        <is>
          <t>E 빅토르 안전가옥 세션</t>
        </is>
      </c>
      <c r="E977" s="10" t="n">
        <v>32311</v>
      </c>
      <c r="F977" s="10" t="n">
        <v>50</v>
      </c>
      <c r="G977" s="10" t="inlineStr">
        <is>
          <t>며칠 후. 알바로가 정기 면회 중 로셀요에게 국제 미술품 경매에서 한 초상화가 사상 최고가에 낙찰되었다는 기사를 화제로 꺼냅니다. 로셀요는 '그림은 가장 조용한 금고'라며 미술품이 가치를 옮기는 방식을 해부하고, 알바로의 옛 경매회사 위장 취재까지 들추며 응수합니다.</t>
        </is>
      </c>
    </row>
    <row r="978" ht="28.35" customHeight="1" s="11">
      <c r="A978" s="10" t="n">
        <v>977</v>
      </c>
      <c r="B978" s="10" t="n">
        <v>60</v>
      </c>
      <c r="C978" s="10">
        <f>INDEX('부작 목록'!$C$2:$C$96,B978)</f>
        <v/>
      </c>
      <c r="D978" s="10" t="inlineStr">
        <is>
          <t>E 빅토르 안전가옥 세션</t>
        </is>
      </c>
      <c r="E978" s="10" t="n">
        <v>32363</v>
      </c>
      <c r="F978" s="10" t="n">
        <v>56</v>
      </c>
      <c r="G978" s="10" t="inlineStr">
        <is>
          <t>며칠 후. 알바로가 정기 면회 중 로셀요에게 두 나라가 서로 외교관과 정보요원을 맞추방한 기사를 화제로 꺼냅니다. 로셀요는 스파이 세계의 '예절'을 체스처럼 풀어내며 옛 '동료들'을 에둘러 언급하지만, 알바로가 옛 프로그램을 파고들자 입을 닫고 알바로는 면회 시간이 끝나기 전에 자리를 뜹니다.</t>
        </is>
      </c>
    </row>
    <row r="979" ht="28.35" customHeight="1" s="11">
      <c r="A979" s="10" t="n">
        <v>978</v>
      </c>
      <c r="B979" s="10" t="n">
        <v>60</v>
      </c>
      <c r="C979" s="10">
        <f>INDEX('부작 목록'!$C$2:$C$96,B979)</f>
        <v/>
      </c>
      <c r="D979" s="10" t="inlineStr">
        <is>
          <t>E 빅토르 안전가옥 세션</t>
        </is>
      </c>
      <c r="E979" s="10" t="n">
        <v>32421</v>
      </c>
      <c r="F979" s="10" t="n">
        <v>54</v>
      </c>
      <c r="G979" s="10" t="inlineStr">
        <is>
          <t>며칠 후. 알바로가 정기 면회 중 로셀요에게 프라도 미술관의 한 작품 복원을 둘러싼 논란 기사를 화제로 꺼냅니다. 무엇이 '원본'인가를 두고 이야기하던 로셀요는 바니시와 덧칠, 밑그림의 비유로 자기 자신을 이야기하고, 처음으로 알바로에게 어떤 버전의 자신을 쓸 것인지 되묻습니다.</t>
        </is>
      </c>
    </row>
    <row r="980" ht="15" customHeight="1" s="11">
      <c r="A980" s="10" t="n">
        <v>979</v>
      </c>
      <c r="B980" s="10" t="n">
        <v>60</v>
      </c>
      <c r="C980" s="10">
        <f>INDEX('부작 목록'!$C$2:$C$96,B980)</f>
        <v/>
      </c>
      <c r="D980" s="10" t="inlineStr">
        <is>
          <t>E 빅토르 안전가옥 세션</t>
        </is>
      </c>
      <c r="E980" s="10" t="n">
        <v>32477</v>
      </c>
      <c r="F980" s="10" t="n">
        <v>49</v>
      </c>
      <c r="G980" s="10" t="inlineStr">
        <is>
          <t>며칠 후. 알바로가 정기 면회 중 로셀요에게 제재를 피해 다니는 '그림자 선단' 유조선들에 관한 기사를 화제로 꺼냅니다.</t>
        </is>
      </c>
    </row>
    <row r="981" ht="28.35" customHeight="1" s="11">
      <c r="A981" s="10" t="n">
        <v>980</v>
      </c>
      <c r="B981" s="10" t="n">
        <v>60</v>
      </c>
      <c r="C981" s="10">
        <f>INDEX('부작 목록'!$C$2:$C$96,B981)</f>
        <v/>
      </c>
      <c r="D981" s="10" t="inlineStr">
        <is>
          <t>E 빅토르 안전가옥 세션</t>
        </is>
      </c>
      <c r="E981" s="10" t="n">
        <v>32528</v>
      </c>
      <c r="F981" s="10" t="n">
        <v>52</v>
      </c>
      <c r="G981" s="10" t="inlineStr">
        <is>
          <t>며칠 후. 스페인 전역을 마비시킨 대정전 직후, 알바로가 정기 면회 중 로셀요에게 그날 밤과 정전이 드러낸 것에 관한 기사를 화제로 꺼냅니다.</t>
        </is>
      </c>
    </row>
    <row r="982">
      <c r="A982" s="10" t="n">
        <v>981</v>
      </c>
      <c r="B982" s="10" t="n">
        <v>60</v>
      </c>
      <c r="C982" s="10">
        <f>INDEX('부작 목록'!$C$2:$C$96,B982)</f>
        <v/>
      </c>
      <c r="D982" s="10" t="inlineStr">
        <is>
          <t>E 빅토르 안전가옥 세션</t>
        </is>
      </c>
      <c r="E982" s="10" t="n">
        <v>32582</v>
      </c>
      <c r="F982" s="10" t="n">
        <v>54</v>
      </c>
      <c r="G982" s="10" t="inlineStr">
        <is>
          <t>며칠 후. 알바로가 정기 면회 중 로셀요에게 사면법을 둘러싼 정치권의 격렬한 논쟁에 관한 기사를 화제로 꺼냅니다.</t>
        </is>
      </c>
    </row>
    <row r="983">
      <c r="A983" s="10" t="n">
        <v>982</v>
      </c>
      <c r="B983" s="10" t="n">
        <v>60</v>
      </c>
      <c r="C983" s="10">
        <f>INDEX('부작 목록'!$C$2:$C$96,B983)</f>
        <v/>
      </c>
      <c r="D983" s="10" t="inlineStr">
        <is>
          <t>E 빅토르 안전가옥 세션</t>
        </is>
      </c>
      <c r="E983" s="10" t="n">
        <v>32638</v>
      </c>
      <c r="F983" s="10" t="n">
        <v>50</v>
      </c>
      <c r="G983" s="10" t="inlineStr">
        <is>
          <t>며칠 후. 알바로가 정기 면회 중 로셀요에게 바로 그와 같은 사람을 잡기 위해 만들어진 EU 자금세탁방지청(AMLA)의 본격 출범 기사를 화제로 꺼냅니다.</t>
        </is>
      </c>
    </row>
    <row r="984">
      <c r="A984" s="10" t="n">
        <v>983</v>
      </c>
      <c r="B984" s="10" t="n">
        <v>60</v>
      </c>
      <c r="C984" s="10">
        <f>INDEX('부작 목록'!$C$2:$C$96,B984)</f>
        <v/>
      </c>
      <c r="D984" s="10" t="inlineStr">
        <is>
          <t>E 빅토르 안전가옥 세션</t>
        </is>
      </c>
      <c r="E984" s="10" t="n">
        <v>32690</v>
      </c>
      <c r="F984" s="10" t="n">
        <v>54</v>
      </c>
      <c r="G984" s="10" t="inlineStr">
        <is>
          <t>며칠 후. 알바로가 정기 면회 중 로셀요에게 그의 옛 동업자인 메리디안의 로비스트 카살스가 벨기에에서 형기 3분의 1을 채우고 조건부 석방을 허가받았다는 기사를 화제로 꺼냅니다.</t>
        </is>
      </c>
    </row>
    <row r="985">
      <c r="A985" s="10" t="n">
        <v>984</v>
      </c>
      <c r="B985" s="10" t="n">
        <v>60</v>
      </c>
      <c r="C985" s="10">
        <f>INDEX('부작 목록'!$C$2:$C$96,B985)</f>
        <v/>
      </c>
      <c r="D985" s="10" t="inlineStr">
        <is>
          <t>E 빅토르 안전가옥 세션</t>
        </is>
      </c>
      <c r="E985" s="10" t="n">
        <v>32746</v>
      </c>
      <c r="F985" s="10" t="n">
        <v>58</v>
      </c>
      <c r="G985" s="10" t="inlineStr">
        <is>
          <t>몇 주 후. 알바로가 정기 면회 중 로셀요에게 그의 상고가 대법원에서 기각되어 판결이 확정되었다는 소식과, 칸타브리아 저택에서 압수된 시계 컬렉션이 공매에 부쳐진다는 기사를 화제로 꺼냅니다.</t>
        </is>
      </c>
    </row>
    <row r="986">
      <c r="A986" s="10" t="n">
        <v>985</v>
      </c>
      <c r="B986" s="10" t="n">
        <v>60</v>
      </c>
      <c r="C986" s="10">
        <f>INDEX('부작 목록'!$C$2:$C$96,B986)</f>
        <v/>
      </c>
      <c r="D986" s="10" t="inlineStr">
        <is>
          <t>E 빅토르 안전가옥 세션</t>
        </is>
      </c>
      <c r="E986" s="10" t="n">
        <v>32806</v>
      </c>
      <c r="F986" s="10" t="n">
        <v>58</v>
      </c>
      <c r="G986" s="10" t="inlineStr">
        <is>
          <t>몇 주 후. 알바로가 정기 면회 중 로셀요에게 스위스 은행 비밀주의가 정보 자동교환 체제로 사실상 막을 내렸음을 다룬 기획 기사를 화제로 꺼냅니다.</t>
        </is>
      </c>
    </row>
    <row r="987">
      <c r="A987" s="10" t="n">
        <v>986</v>
      </c>
      <c r="B987" s="10" t="n">
        <v>61</v>
      </c>
      <c r="C987" s="10">
        <f>INDEX('부작 목록'!$C$2:$C$96,B987)</f>
        <v/>
      </c>
      <c r="D987" s="10" t="inlineStr">
        <is>
          <t>F 시즌2 라 세르피엔테</t>
        </is>
      </c>
      <c r="E987" s="10" t="n">
        <v>32866</v>
      </c>
      <c r="F987" s="10" t="n">
        <v>57</v>
      </c>
      <c r="G987" s="10" t="inlineStr">
        <is>
          <t>며칠 후. 면회 시리즈가 끝난 뒤 처음으로 팀 전체가 안전가옥에 모입니다. 테이블 위에는 빅토르가 남긴 여행용 체스판이 그대로 있고, 사라진 흑색 폰 자리에는 여전히 병아리콩 하나가 놓여 있습니다. 카를로스는 로셀요가 편지로 전해 온 이름을 처음으로 화이트보드에 적고, 증인보호 담당관 아벨라르도 루아노가 입회한 화면 너머에서 빅토르가 그 이름을 조용히 소리 내어 읽습니다.</t>
        </is>
      </c>
    </row>
    <row r="988">
      <c r="A988" s="10" t="n">
        <v>987</v>
      </c>
      <c r="B988" s="10" t="n">
        <v>61</v>
      </c>
      <c r="C988" s="10">
        <f>INDEX('부작 목록'!$C$2:$C$96,B988)</f>
        <v/>
      </c>
      <c r="D988" s="10" t="inlineStr">
        <is>
          <t>F 시즌2 라 세르피엔테</t>
        </is>
      </c>
      <c r="E988" s="10" t="n">
        <v>32925</v>
      </c>
      <c r="F988" s="10" t="n">
        <v>54</v>
      </c>
      <c r="G988" s="10" t="inlineStr">
        <is>
          <t>다음 날 오전. 마르코스와 카밀라가 밤새 모은 공개 기록을 세션에서 보고합니다. 레안드로 이바롤라 세넨트는 실존했던 발렌시아의 조선 기사였고, 12년 전 데니아 앞바다에서 요트 사고로 숨졌습니다. 사망 기록과 지역 신문 부고, 묘지의 벽감 번호까지 모든 것이 맞아떨어지는 순간, 팀은 몇 주 동안 기다려 온 이름이 무덤 앞에서 끝나 버렸다는 사실을 받아들여야 합니다.</t>
        </is>
      </c>
    </row>
    <row r="989">
      <c r="A989" s="10" t="n">
        <v>988</v>
      </c>
      <c r="B989" s="10" t="n">
        <v>61</v>
      </c>
      <c r="C989" s="10">
        <f>INDEX('부작 목록'!$C$2:$C$96,B989)</f>
        <v/>
      </c>
      <c r="D989" s="10" t="inlineStr">
        <is>
          <t>F 시즌2 라 세르피엔테</t>
        </is>
      </c>
      <c r="E989" s="10" t="n">
        <v>32981</v>
      </c>
      <c r="F989" s="10" t="n">
        <v>55</v>
      </c>
      <c r="G989" s="10" t="inlineStr">
        <is>
          <t>며칠 후. 알바로는 정기 면회에서, 사망 신고가 누락된 노인 명의로 수년간 연금이 지급되어 온 사기 사건 기사를 화제로 꺼냅니다. 로셀요는 이름의 주인이 이미 죽었다는 말을 듣고도 놀라지 않고, 기사 속 "죽은 세입자들"에 대해 이상할 만큼 오래 이야기합니다. 돌아온 알바로의 보고를 두고, 팀은 그것이 도움인지 조종인지를 놓고 처음으로 정면에서 갈라집니다.</t>
        </is>
      </c>
    </row>
    <row r="990">
      <c r="A990" s="10" t="n">
        <v>989</v>
      </c>
      <c r="B990" s="10" t="n">
        <v>61</v>
      </c>
      <c r="C990" s="10">
        <f>INDEX('부작 목록'!$C$2:$C$96,B990)</f>
        <v/>
      </c>
      <c r="D990" s="10" t="inlineStr">
        <is>
          <t>F 시즌2 라 세르피엔테</t>
        </is>
      </c>
      <c r="E990" s="10" t="n">
        <v>33038</v>
      </c>
      <c r="F990" s="10" t="n">
        <v>57</v>
      </c>
      <c r="G990" s="10" t="inlineStr">
        <is>
          <t>그 주 토요일, 발렌시아. 알바로가 루사파의 한 카페에서 레안드로 이바롤라의 딸 마리벨을 만납니다. 처음에는 외투도 벗지 않은 채 경계하던 그녀는, 아버지의 여권이 평생 세 번이나 "분실"되었다는 이야기와, 아버지가 죽고 5년 뒤 트리에스테에서 날아온 교통 범칙금, 그리고 장례식에 와서 녹색 잉크로 조문록에 서명하고 사라진 낯선 노인에 대해 하나씩 털어놓습니다.</t>
        </is>
      </c>
    </row>
    <row r="991">
      <c r="A991" s="10" t="n">
        <v>990</v>
      </c>
      <c r="B991" s="10" t="n">
        <v>61</v>
      </c>
      <c r="C991" s="10">
        <f>INDEX('부작 목록'!$C$2:$C$96,B991)</f>
        <v/>
      </c>
      <c r="D991" s="10" t="inlineStr">
        <is>
          <t>F 시즌2 라 세르피엔테</t>
        </is>
      </c>
      <c r="E991" s="10" t="n">
        <v>33097</v>
      </c>
      <c r="F991" s="10" t="n">
        <v>56</v>
      </c>
      <c r="G991" s="10" t="inlineStr">
        <is>
          <t>며칠 후, 마드리드. 하비에르가 이주민 지원단체 「Asociación Senda Acogida」에서 들어온 제보를 알바로에게 넘깁니다. 단체 사무실의 작은 상담실에서, 알바로는 6,000유로를 내고 받은 체류증이 가짜였다는 사실을 경찰 검문에서야 알게 된 세네갈 출신 아미나타 사르를 만납니다. 단체 변호사가 곁에 앉은 채, 그녀는 우세라의 한 행정 대행사무소와, 빚을 다 갚을 때까지 돌려받지 못한 자신의 여권에 대해 이야기합니다.</t>
        </is>
      </c>
    </row>
    <row r="992">
      <c r="A992" s="10" t="n">
        <v>991</v>
      </c>
      <c r="B992" s="10" t="n">
        <v>61</v>
      </c>
      <c r="C992" s="10">
        <f>INDEX('부작 목록'!$C$2:$C$96,B992)</f>
        <v/>
      </c>
      <c r="D992" s="10" t="inlineStr">
        <is>
          <t>F 시즌2 라 세르피엔테</t>
        </is>
      </c>
      <c r="E992" s="10" t="n">
        <v>33155</v>
      </c>
      <c r="F992" s="10" t="n">
        <v>57</v>
      </c>
      <c r="G992" s="10" t="inlineStr">
        <is>
          <t>일주일 후. 신문사가 독자 검증을 위해 의뢰한 퇴직 문서감정가 헤르미니아 토르데시야스가 자택 한쪽을 개조한 작업실에서 알바로와 카밀라를 맞습니다. 루페와 자외선 램프 아래 아미나타의 체류증 컬러 사본, 트리에스테 범칙금에 첨부된 렌트 계약서, 그리고 이바롤라 장례식의 조문록 원본이 나란히 놓이고, 헤르미니아는 기본기 수업부터 천천히 시작한 끝에 마이크로 인쇄된 글자들 사이에서 갈라진 "e" 하나를 손끝으로 가리킵니다.</t>
        </is>
      </c>
    </row>
    <row r="993">
      <c r="A993" s="10" t="n">
        <v>992</v>
      </c>
      <c r="B993" s="10" t="n">
        <v>61</v>
      </c>
      <c r="C993" s="10">
        <f>INDEX('부작 목록'!$C$2:$C$96,B993)</f>
        <v/>
      </c>
      <c r="D993" s="10" t="inlineStr">
        <is>
          <t>F 시즌2 라 세르피엔테</t>
        </is>
      </c>
      <c r="E993" s="10" t="n">
        <v>33214</v>
      </c>
      <c r="F993" s="10" t="n">
        <v>60</v>
      </c>
      <c r="G993" s="10" t="inlineStr">
        <is>
          <t>상대편 콜드 오픈. 어느 항구 도시, 블라인드를 반쯤 내린 빈 사무실. 엘 사스트레가 코르소에게, 발렌시아에서 한 기자가 죽은 기사의 딸을 만났다는 사실을 전합니다. 테이블 끝에서는 아무 말 없는 누군가의 손이 귤을 천천히 까고 있습니다. — 같은 날 오후, 알바로는 면회실에서 이제 아프리카로 날아가지 않고 쓰레기 매립지 곁에서 겨울을 나는 황새에 관한 기사를 꺼내고, 로셀요는 새가 아니라 매립지를 찾으라고 말한 뒤 처음으로 알바로에게 질문을 던집니다. 저녁 세션에서 팀은 그 질문이 무엇을 뜻하는지 따져 봅니다.</t>
        </is>
      </c>
    </row>
    <row r="994">
      <c r="A994" s="10" t="n">
        <v>993</v>
      </c>
      <c r="B994" s="10" t="n">
        <v>61</v>
      </c>
      <c r="C994" s="10">
        <f>INDEX('부작 목록'!$C$2:$C$96,B994)</f>
        <v/>
      </c>
      <c r="D994" s="10" t="inlineStr">
        <is>
          <t>F 시즌2 라 세르피엔테</t>
        </is>
      </c>
      <c r="E994" s="10" t="n">
        <v>33276</v>
      </c>
      <c r="F994" s="10" t="n">
        <v>59</v>
      </c>
      <c r="G994" s="10" t="inlineStr">
        <is>
          <t>2주 후. 아미나타의 고소장과 헤르미니아의 감정서가 경찰로 넘어가자, 국가경찰 UCRIF의 레이레 사가스타 반장이 카를로스를 통해 알바로를 만납니다. 그녀는 아무것도 알려 주지 않지만, 알바로가 공개적으로 취재하는 것을 막지도 않습니다. 같은 주, 알바로는 코슬라다 산업단지의 인쇄소를 찾아가 대표에게 정식으로 인터뷰를 요청하고, 거절당해 돌아 나오던 길에 라미네이팅 기계 냄새를 풍기는 젊은 여직원과 주차장에서 눈이 마주칩니다.</t>
        </is>
      </c>
    </row>
    <row r="995">
      <c r="A995" s="10" t="n">
        <v>994</v>
      </c>
      <c r="B995" s="10" t="n">
        <v>61</v>
      </c>
      <c r="C995" s="10">
        <f>INDEX('부작 목록'!$C$2:$C$96,B995)</f>
        <v/>
      </c>
      <c r="D995" s="10" t="inlineStr">
        <is>
          <t>F 시즌2 라 세르피엔테</t>
        </is>
      </c>
      <c r="E995" s="10" t="n">
        <v>33337</v>
      </c>
      <c r="F995" s="10" t="n">
        <v>60</v>
      </c>
      <c r="G995" s="10" t="inlineStr">
        <is>
          <t>다음 날 저녁, 코슬라다 시립도서관 열람실 구석. 셀마는 휴대전화 속 사진들을 보여 주며 녹색 표지 장부와 엑셀 파일이 무엇인지 설명합니다. 알바로는 무엇도 더 가져오라고 하지 않습니다. 그날 밤 신문사 회의실에서 마르타는 받은 자료와 받아서는 안 되는 것을 하나씩 구분하고, 카밀라는 1,900건의 항목 사이에서 고객 코드 S7과, 2021년 날짜가 찍힌 한 줄 "IBARROLA S., L."을 찾아냅니다.</t>
        </is>
      </c>
    </row>
    <row r="996">
      <c r="A996" s="10" t="n">
        <v>995</v>
      </c>
      <c r="B996" s="10" t="n">
        <v>61</v>
      </c>
      <c r="C996" s="10">
        <f>INDEX('부작 목록'!$C$2:$C$96,B996)</f>
        <v/>
      </c>
      <c r="D996" s="10" t="inlineStr">
        <is>
          <t>F 시즌2 라 세르피엔테</t>
        </is>
      </c>
      <c r="E996" s="10" t="n">
        <v>33399</v>
      </c>
      <c r="F996" s="10" t="n">
        <v>60</v>
      </c>
      <c r="G996" s="10" t="inlineStr">
        <is>
          <t>며칠 후, 프로그램 채널로 연결된 화면 너머에서 빅토르가 S7의 주문 패턴을 보고 오래 말이 없습니다. 그는 옛 기관의 문서고 담당자라면 "이바롤라"가 누구의 커버 네임이었는지 확인해 줄 수 있다고 말하지만, 카를로스와 아벨라르도는 단호하게 거절하고, 알바로는 아무 말도 하지 않습니다. 그날 밤, 어딘지 모를 나라의 작은 부엌에서 빅토르는 혼자 체스 문제 하나를 써서, 이십 년 동안 한 번도 쓰지 않았던 방식으로 보냅니다. [상대편] 그리고 그 문제를 읽는 사람은 빅토르가 기다린 사람만이 아닙니다.</t>
        </is>
      </c>
    </row>
    <row r="997">
      <c r="A997" s="10" t="n">
        <v>996</v>
      </c>
      <c r="B997" s="10" t="n">
        <v>61</v>
      </c>
      <c r="C997" s="10">
        <f>INDEX('부작 목록'!$C$2:$C$96,B997)</f>
        <v/>
      </c>
      <c r="D997" s="10" t="inlineStr">
        <is>
          <t>F 시즌2 라 세르피엔테</t>
        </is>
      </c>
      <c r="E997" s="10" t="n">
        <v>33461</v>
      </c>
      <c r="F997" s="10" t="n">
        <v>62</v>
      </c>
      <c r="G997" s="10" t="inlineStr">
        <is>
          <t>일주일 후. 알바로는 정기 면회에서 리스본의 신축 아파트 분양 사기 기사를 꺼내고, 로셀요는 견본주택에서는 모든 것이 작동하지만 아무도 살지 않는다고, 같은 말을 두 번 되풀이합니다. 같은 날 오후 안전가옥, 프로그램 채널로 연결된 화면 너머에서 아벨라르도가 잠시 자리를 비운 사이, 빅토르는 아벨라르도에게 알리지 않고 받은 답장의 내용을 팀에게 털어놓습니다. "이바롤라"는 확실히 노인의 커버 네임이었고, 셀마가 넘긴 장부 속 S7 키트의 가장 최근 배송지는 리스본입니다. 팀은 로셀요의 말이 경고였는지 미끼였는지 알지 못한 채, 조금씩 리스본 쪽으로 기웁니다.</t>
        </is>
      </c>
    </row>
    <row r="998">
      <c r="A998" s="10" t="n">
        <v>997</v>
      </c>
      <c r="B998" s="10" t="n">
        <v>61</v>
      </c>
      <c r="C998" s="10">
        <f>INDEX('부작 목록'!$C$2:$C$96,B998)</f>
        <v/>
      </c>
      <c r="D998" s="10" t="inlineStr">
        <is>
          <t>F 시즌2 라 세르피엔테</t>
        </is>
      </c>
      <c r="E998" s="10" t="n">
        <v>33525</v>
      </c>
      <c r="F998" s="10" t="n">
        <v>61</v>
      </c>
      <c r="G998" s="10" t="inlineStr">
        <is>
          <t>2주 후, 12월 초의 이른 아침. 유럽수사명령을 받은 포르투갈 사법경찰이 레이레 반장의 팀과 함께 리스본 알칸타라의 아파트 문을 엽니다. 알바로는 마드리드 편집국에서 레이레가 약속한 짧은 문자 하나만 기다리고, 하비에르의 화면에는 열흘 전부터 "준비된" 기사 초안이 열려 있습니다. 그러나 문 뒤의 집은 갓 청소한 냄새만 남은 빈집이고, 부엌 식탁 위에는 12년 전 발렌시아 신문에 실린 레안드로 이바롤라의 부고 한 장만 놓여 있습니다. 오후, 국립법원 검사 킨타나르는 카를로스와 레이레를 불러 이 실패의 값을 정확한 법률 용어로 계산하고, 그날 밤 카를로스의 전화가 울립니다.</t>
        </is>
      </c>
    </row>
    <row r="999">
      <c r="A999" s="10" t="n">
        <v>998</v>
      </c>
      <c r="B999" s="10" t="n">
        <v>61</v>
      </c>
      <c r="C999" s="10">
        <f>INDEX('부작 목록'!$C$2:$C$96,B999)</f>
        <v/>
      </c>
      <c r="D999" s="10" t="inlineStr">
        <is>
          <t>F 시즌2 라 세르피엔테</t>
        </is>
      </c>
      <c r="E999" s="10" t="n">
        <v>33588</v>
      </c>
      <c r="F999" s="10" t="n">
        <v>62</v>
      </c>
      <c r="G999" s="10" t="inlineStr">
        <is>
          <t>그 전날 밤, 빅토르의 새 집 우편함에서 보낸 사람 없는 봉투 하나가 발견되었습니다. 안에는 그가 이십 년 전 어느 기차역에서 잃어버렸던 것과 같은 크기의 흑색 체스 폰 하나가 들어 있었습니다. 프로그램은 그를 밤사이 다른 나라로 옮겼고, 몇 달 동안 쌓아 온 새 이름과 새 삶은 하룻밤에 끝났습니다. 다음 날 새벽, 낯선 호텔 방에서 연결된 화면 너머로 빅토르는 처음으로 늙어 보이고, 안전가옥의 팀은 이번에는 분명히 졌다는 사실을 각자의 방식으로 받아들입니다. 통화가 끝나기 직전, 헤르미니아의 전화가 리스본 항목이 적힌 장부 한 페이지에 대해 마지막 한 가지를 더 알려 줍니다.</t>
        </is>
      </c>
    </row>
    <row r="1000">
      <c r="A1000" s="10" t="n">
        <v>999</v>
      </c>
      <c r="B1000" s="10" t="n">
        <v>61</v>
      </c>
      <c r="C1000" s="10">
        <f>INDEX('부작 목록'!$C$2:$C$96,B1000)</f>
        <v/>
      </c>
      <c r="D1000" s="10" t="inlineStr">
        <is>
          <t>F 시즌2 라 세르피엔테</t>
        </is>
      </c>
      <c r="E1000" s="10" t="n">
        <v>33652</v>
      </c>
      <c r="F1000" s="10" t="n">
        <v>64</v>
      </c>
      <c r="G1000" s="10" t="inlineStr">
        <is>
          <t>2주 후, 크리스마스 직전의 안전가옥. 옆집 텔레비전에서는 성탄 복권 추첨 노래가 희미하게 들려오고, 화면 앞 빅토르의 의자는 비어 있습니다. 카를로스는 화이트보드를 지우는 대신 "확실한 것"과 "믿고 싶은 것" 두 칸으로 나누고, 카밀라는 안도라에서 리스본, 루가노로 이어지는 돈의 경로를 다시 그립니다. 레이레와 검사 킨타나르는 이번에는 공방 자체의 증거만으로, 증거가 지워지기 전에 움직이기로 합니다. [상대편] 같은 시각, 어느 항구 도시의 사무실에서 엘 사스트레는 우르비나에게 장부를 태우라는 전화를 겁니다.</t>
        </is>
      </c>
    </row>
    <row r="1001">
      <c r="A1001" s="10" t="n">
        <v>1000</v>
      </c>
      <c r="B1001" s="10" t="n">
        <v>61</v>
      </c>
      <c r="C1001" s="10">
        <f>INDEX('부작 목록'!$C$2:$C$96,B1001)</f>
        <v/>
      </c>
      <c r="D1001" s="10" t="inlineStr">
        <is>
          <t>F 시즌2 라 세르피엔테</t>
        </is>
      </c>
      <c r="E1001" s="10" t="n">
        <v>33718</v>
      </c>
      <c r="F1001" s="10" t="n">
        <v>63</v>
      </c>
      <c r="G1001" s="10" t="inlineStr">
        <is>
          <t>1월 중순의 어느 새벽. UCRIF가 판사의 영장을 들고 코슬라다의 그라피카스 시에르소와 우세라의 게스토리아에 동시에 들어갑니다. 알바로는 다른 기자들과 똑같이 경찰 통제선 밖 영하의 추위 속에 서 있고, 몇 시간 뒤 단체 사무실의 텔레비전 앞에서 아미나타는 화면 속 수갑 찬 하신토 로베라를 말없이 바라봅니다. 그날 저녁, 레이레는 기사에는 쓰지 않는다는 조건으로, 장부 원본이 불에 타기 직전의 금속통에서 발견되었다고만 짧게 확인해 줍니다.</t>
        </is>
      </c>
    </row>
    <row r="1002">
      <c r="A1002" s="10" t="n">
        <v>1001</v>
      </c>
      <c r="B1002" s="10" t="n">
        <v>61</v>
      </c>
      <c r="C1002" s="10">
        <f>INDEX('부작 목록'!$C$2:$C$96,B1002)</f>
        <v/>
      </c>
      <c r="D1002" s="10" t="inlineStr">
        <is>
          <t>F 시즌2 라 세르피엔테</t>
        </is>
      </c>
      <c r="E1002" s="10" t="n">
        <v>33783</v>
      </c>
      <c r="F1002" s="10" t="n">
        <v>57</v>
      </c>
      <c r="G1002" s="10" t="inlineStr">
        <is>
          <t>2주 후, 1월 말. 알바로는 정기 면회에서, 독일이 여권 사진 합성(모핑)을 막기 위해 관청이나 인증된 사진관에서 찍어 암호화 전송한 디지털 사진만 받도록 한 규정의 성과를 다룬 기사를 꺼냅니다. 로셀요는 "두 얼굴로 만든 얼굴은 누구의 것도 아니지만, 두 사람 모두에게 쓸모 있다"고 말하고, 리스본 이야기가 나오자 자신은 분명히 "아무도 살지 않는다"고 말했다며 물러서지 않습니다. 그날 오후 안전가옥에서는 유로폴의 바우트 페르하겐이 화상으로 합류한 회의가 열리고, 공방에서 압수된 S7 서류 사진 31장이 모두 합성이라는 사실과, 그중 여러 장에 공통으로 섞인 한 얼굴이 70대 노인의 것이라는 분석이 처음으로 테이블에 오릅니다.</t>
        </is>
      </c>
    </row>
    <row r="1003">
      <c r="A1003" s="10" t="n">
        <v>1002</v>
      </c>
      <c r="B1003" s="10" t="n">
        <v>61</v>
      </c>
      <c r="C1003" s="10">
        <f>INDEX('부작 목록'!$C$2:$C$96,B1003)</f>
        <v/>
      </c>
      <c r="D1003" s="10" t="inlineStr">
        <is>
          <t>F 시즌2 라 세르피엔테</t>
        </is>
      </c>
      <c r="E1003" s="10" t="n">
        <v>33842</v>
      </c>
      <c r="F1003" s="10" t="n">
        <v>57</v>
      </c>
      <c r="G1003" s="10" t="inlineStr">
        <is>
          <t>일주일 후, 2월 초. 카밀라가 신청했던 루가노(티치노 주) 상업등기의 등본과 첨부 서류 사본이 도착하고, 그녀는 알바트로스 해상위험 컨설팅사의 단독 이사 이름을 소리 내어 읽습니다. 카시미로 아르테아가 룬드, 1949년 탕헤르 국제구역 출생. 2022년 등기 서류에 첨부된 스위스 체류허가 사본 속 흐릿한 사진은 장례식 뒷줄의 노인, 그리고 역분해된 반쪽 얼굴과 똑같이 고개를 조금 왼쪽으로 숙이고 있습니다. 하비에르는 이제 기사라고 말하고, 알바로는 아직 아니라고 말합니다. [상대편] 같은 날 밤, 어느 항구 도시의 셋방에서 엘 사스트레는 짐을 꾸리며 코르소에게 노인이 남긴 녹색 잉크 메모를 읽어 줍니다.</t>
        </is>
      </c>
    </row>
    <row r="1004">
      <c r="A1004" s="10" t="n">
        <v>1003</v>
      </c>
      <c r="B1004" s="10" t="n">
        <v>61</v>
      </c>
      <c r="C1004" s="10">
        <f>INDEX('부작 목록'!$C$2:$C$96,B1004)</f>
        <v/>
      </c>
      <c r="D1004" s="10" t="inlineStr">
        <is>
          <t>F 시즌2 라 세르피엔테</t>
        </is>
      </c>
      <c r="E1004" s="10" t="n">
        <v>33901</v>
      </c>
      <c r="F1004" s="10" t="n">
        <v>59</v>
      </c>
      <c r="G1004" s="10" t="inlineStr">
        <is>
          <t>며칠 후. 알바로는 50년 만에 산탄데르의 한 시립도서관으로 익명 반납된 콘래드의 『로드 짐』에 관한 짧은 기사를 들고 면회실에 앉습니다. 책 여백을 가득 채운 녹색 잉크 메모 이야기를 꺼내자, 로셀요는 처음으로 대답보다 먼저 두 손을 탁자 위에서 거둬들이고, 알바로가 말한 적도 없는 "이름"을 모른다고 말합니다. 같은 주, 프로그램의 공식 승인을 받아 다시 연결된 화면 너머에서 빅토르는 단 한 장의 사진 앞에서 오래 침묵하다가, 자신이 확인할 수 있는 것과 없는 것을 정확히 나누어 말합니다.</t>
        </is>
      </c>
    </row>
    <row r="1005">
      <c r="A1005" s="10" t="n">
        <v>1004</v>
      </c>
      <c r="B1005" s="10" t="n">
        <v>61</v>
      </c>
      <c r="C1005" s="10">
        <f>INDEX('부작 목록'!$C$2:$C$96,B1005)</f>
        <v/>
      </c>
      <c r="D1005" s="10" t="inlineStr">
        <is>
          <t>F 시즌2 라 세르피엔테</t>
        </is>
      </c>
      <c r="E1005" s="10" t="n">
        <v>33962</v>
      </c>
      <c r="F1005" s="10" t="n">
        <v>59</v>
      </c>
      <c r="G1005" s="10" t="inlineStr">
        <is>
          <t>3월 초, 신문사 회의실. 마르타는 기사 초안을 문장 단위로 잘라 출력해 테이블에 펼치고, 하비에르와 편집국장, 알바로는 단어 하나하나를 두고 다툽니다. 오후에는 국립법원 검찰청의 킨타나르 검사가 원고는 보지도 듣지도 않은 채 오직 시각과 안전만 묻고, 보도 시점은 판사의 국제체포영장 발부와 서류 경보 등록 이후로 정해집니다. 저녁 화상회의에서 미레유와 클라우스가 파리와 베를린의 마감을 맞추는 동안, 이틀 전 발송한 질문서의 기한 2분 전에 아르테아가의 변호사가 보낸 답장이 도착합니다. 단 세 줄입니다.</t>
        </is>
      </c>
    </row>
    <row r="1006">
      <c r="A1006" s="10" t="n">
        <v>1005</v>
      </c>
      <c r="B1006" s="10" t="n">
        <v>61</v>
      </c>
      <c r="C1006" s="10">
        <f>INDEX('부작 목록'!$C$2:$C$96,B1006)</f>
        <v/>
      </c>
      <c r="D1006" s="10" t="inlineStr">
        <is>
          <t>F 시즌2 라 세르피엔테</t>
        </is>
      </c>
      <c r="E1006" s="10" t="n">
        <v>34023</v>
      </c>
      <c r="F1006" s="10" t="n">
        <v>59</v>
      </c>
      <c r="G1006" s="10" t="inlineStr">
        <is>
          <t>새벽 6시, 마드리드와 파리와 베를린에서 같은 얼굴이 동시에 1면에 실립니다. 편집국에는 환호 대신 식어 가는 커피와 키보드 소리뿐입니다. 하루 사이 스위스 당국은 알바트로스의 계좌를 동결하고, 이탈리아 경찰이 들어간 트리에스테의 집은 비어 있었으며, 그가 질문서를 받은 다음 날인 화요일에 이미 솅겐 지역 밖으로 나갔다는 사실이 확인됩니다. 체포는 없지만, 이제 그의 얼굴로는 어떤 국경도 넘을 수 없습니다. [상대편] 어느 항구의 빈 사무실에서 엘 사스트레는 신문을 접어 탁자에 두고 떠나고, 몇 주 뒤 알바로는 면회실에서 그 1면을 로셀요 앞에 펼쳐 놓습니다.</t>
        </is>
      </c>
    </row>
    <row r="1007">
      <c r="A1007" s="10" t="n">
        <v>1006</v>
      </c>
      <c r="B1007" s="10" t="n">
        <v>62</v>
      </c>
      <c r="C1007" s="10">
        <f>INDEX('부작 목록'!$C$2:$C$96,B1007)</f>
        <v/>
      </c>
      <c r="D1007" s="10" t="inlineStr">
        <is>
          <t>G 시즌2 독립 취재</t>
        </is>
      </c>
      <c r="E1007" s="10" t="n">
        <v>34084</v>
      </c>
      <c r="F1007" s="10" t="n">
        <v>51</v>
      </c>
      <c r="G1007" s="10" t="inlineStr">
        <is>
          <t>새로운 취재. 하비에르가 경제면 기자에게서 흘러나온 소문 하나를 들고 옵니다. 코슬라다에 본사를 둔 중견 공조설비 기업 '클리마티사시온 벤티스카'가 단 한 번의 화상회의 끝에 380만 유로를 해외로 송금했고, 회사는 이를 '전산 사고'라고만 발표했다는 것입니다. 그날 밤 알바로는 카밀라에게 'CEO 사기'의 구조를 묻습니다.</t>
        </is>
      </c>
    </row>
    <row r="1008">
      <c r="A1008" s="10" t="n">
        <v>1007</v>
      </c>
      <c r="B1008" s="10" t="n">
        <v>62</v>
      </c>
      <c r="C1008" s="10">
        <f>INDEX('부작 목록'!$C$2:$C$96,B1008)</f>
        <v/>
      </c>
      <c r="D1008" s="10" t="inlineStr">
        <is>
          <t>G 시즌2 독립 취재</t>
        </is>
      </c>
      <c r="E1008" s="10" t="n">
        <v>34137</v>
      </c>
      <c r="F1008" s="10" t="n">
        <v>49</v>
      </c>
      <c r="G1008" s="10" t="inlineStr">
        <is>
          <t>며칠 후, 나탈리아 에스카르틴이 익명을 조건으로 만남에 응합니다. 마드리드 참베리의 조용한 카페 구석에서, 그녀는 그날의 화상회의를 처음으로 처음부터 끝까지 이야기합니다.</t>
        </is>
      </c>
    </row>
    <row r="1009">
      <c r="A1009" s="10" t="n">
        <v>1008</v>
      </c>
      <c r="B1009" s="10" t="n">
        <v>62</v>
      </c>
      <c r="C1009" s="10">
        <f>INDEX('부작 목록'!$C$2:$C$96,B1009)</f>
        <v/>
      </c>
      <c r="D1009" s="10" t="inlineStr">
        <is>
          <t>G 시즌2 독립 취재</t>
        </is>
      </c>
      <c r="E1009" s="10" t="n">
        <v>34188</v>
      </c>
      <c r="F1009" s="10" t="n">
        <v>47</v>
      </c>
      <c r="G1009" s="10" t="inlineStr">
        <is>
          <t>마르코스가 녹화본을 프레임 단위로 분석합니다. 실시간 얼굴 합성과 음성 복제의 흔적을 하나씩 짚어 내던 그는, 기사에 쓸 시연 영상을 만들자고 제안하고, 편집국 안에서 작은 윤리 논쟁이 벌어집니다.</t>
        </is>
      </c>
    </row>
    <row r="1010">
      <c r="A1010" s="10" t="n">
        <v>1009</v>
      </c>
      <c r="B1010" s="10" t="n">
        <v>62</v>
      </c>
      <c r="C1010" s="10">
        <f>INDEX('부작 목록'!$C$2:$C$96,B1010)</f>
        <v/>
      </c>
      <c r="D1010" s="10" t="inlineStr">
        <is>
          <t>G 시즌2 독립 취재</t>
        </is>
      </c>
      <c r="E1010" s="10" t="n">
        <v>34237</v>
      </c>
      <c r="F1010" s="10" t="n">
        <v>50</v>
      </c>
      <c r="G1010" s="10" t="inlineStr">
        <is>
          <t>카밀라와 하비에르가 나탈리아가 건넨 은행 서신을 토대로 돈의 흐름을 재구성합니다. 리투아니아 핀테크 계좌에서 스페인의 '머니 뮬' 계좌 열네 개로 쪼개진 돈의 끝에는 마드리드의 한 가상화폐 장외거래소가 있고, 알바로는 뮬 중 한 명인 열아홉 살 청년 브라이스 테이헤이로의 집을 찾아갑니다.</t>
        </is>
      </c>
    </row>
    <row r="1011">
      <c r="A1011" s="10" t="n">
        <v>1010</v>
      </c>
      <c r="B1011" s="10" t="n">
        <v>62</v>
      </c>
      <c r="C1011" s="10">
        <f>INDEX('부작 목록'!$C$2:$C$96,B1011)</f>
        <v/>
      </c>
      <c r="D1011" s="10" t="inlineStr">
        <is>
          <t>G 시즌2 독립 취재</t>
        </is>
      </c>
      <c r="E1011" s="10" t="n">
        <v>34289</v>
      </c>
      <c r="F1011" s="10" t="n">
        <v>47</v>
      </c>
      <c r="G1011" s="10" t="inlineStr">
        <is>
          <t>알바로가 푸엔히롤라로 내려가 아르헨티나 출신의 전직 콜센터 직원 라우타로 이바르구렌을 만납니다. 그는 '소포르테 코스타솔'이라는 간판 뒤에서 벌어지던 일을 털어놓다가, 자신이 바로 브라이스를 끌어들인 '레오'였다고 고백합니다. 마드리드로 돌아온 알바로에게 카를로스가 경찰 수사 사실을 귀띔합니다.</t>
        </is>
      </c>
    </row>
    <row r="1012">
      <c r="A1012" s="10" t="n">
        <v>1011</v>
      </c>
      <c r="B1012" s="10" t="n">
        <v>62</v>
      </c>
      <c r="C1012" s="10">
        <f>INDEX('부작 목록'!$C$2:$C$96,B1012)</f>
        <v/>
      </c>
      <c r="D1012" s="10" t="inlineStr">
        <is>
          <t>G 시즌2 독립 취재</t>
        </is>
      </c>
      <c r="E1012" s="10" t="n">
        <v>34338</v>
      </c>
      <c r="F1012" s="10" t="n">
        <v>46</v>
      </c>
      <c r="G1012" s="10" t="inlineStr">
        <is>
          <t>마르코스의 시연은 예상보다 훨씬 쉽게 성공하고, 알바로는 은행 쪽으로 방향을 돌립니다. 반카 알코라 사기방지팀 출신 내부자는 그날 경보가 울렸었다고 증언하고, 은행 홍보책임자는 공식 인터뷰에서 모든 책임을 고객에게 돌립니다.</t>
        </is>
      </c>
    </row>
    <row r="1013">
      <c r="A1013" s="10" t="n">
        <v>1012</v>
      </c>
      <c r="B1013" s="10" t="n">
        <v>62</v>
      </c>
      <c r="C1013" s="10">
        <f>INDEX('부작 목록'!$C$2:$C$96,B1013)</f>
        <v/>
      </c>
      <c r="D1013" s="10" t="inlineStr">
        <is>
          <t>G 시즌2 독립 취재</t>
        </is>
      </c>
      <c r="E1013" s="10" t="n">
        <v>34386</v>
      </c>
      <c r="F1013" s="10" t="n">
        <v>46</v>
      </c>
      <c r="G1013" s="10" t="inlineStr">
        <is>
          <t>알바로가 반론권 인터뷰를 위해 벤티스카의 우고 살다냐 대표를 만납니다. 같은 날 저녁, 회사가 비밀유지 조건의 합의금을 제시했다며 나탈리아가 협조를 철회하고, 편집국에서는 마르타와 편집장이 무엇을 내보낼 수 있는지 한 줄씩 따지기 시작합니다.</t>
        </is>
      </c>
    </row>
    <row r="1014">
      <c r="A1014" s="10" t="n">
        <v>1013</v>
      </c>
      <c r="B1014" s="10" t="n">
        <v>62</v>
      </c>
      <c r="C1014" s="10">
        <f>INDEX('부작 목록'!$C$2:$C$96,B1014)</f>
        <v/>
      </c>
      <c r="D1014" s="10" t="inlineStr">
        <is>
          <t>G 시즌2 독립 취재</t>
        </is>
      </c>
      <c r="E1014" s="10" t="n">
        <v>34434</v>
      </c>
      <c r="F1014" s="10" t="n">
        <v>47</v>
      </c>
      <c r="G1014" s="10" t="inlineStr">
        <is>
          <t>첫 기사가 나간 지 3주 뒤, 국가경찰이 푸엔히롤라의 콜센터를 급습하고 알바로는 약속대로 두 시간 안에 2부를 내보냅니다. 돌려받은 돈은 일부에 그치고 나탈리아는 끝내 이름을 드러내지 않지만, 그날 밤 알바로와 카밀라는 부엌 식탁에서 아주 사적인 약속 하나를 정합니다.</t>
        </is>
      </c>
    </row>
    <row r="1015">
      <c r="A1015" s="10" t="n">
        <v>1014</v>
      </c>
      <c r="B1015" s="10" t="n">
        <v>63</v>
      </c>
      <c r="C1015" s="10">
        <f>INDEX('부작 목록'!$C$2:$C$96,B1015)</f>
        <v/>
      </c>
      <c r="D1015" s="10" t="inlineStr">
        <is>
          <t>G 시즌2 독립 취재</t>
        </is>
      </c>
      <c r="E1015" s="10" t="n">
        <v>34483</v>
      </c>
      <c r="F1015" s="10" t="n">
        <v>57</v>
      </c>
      <c r="G1015" s="10" t="inlineStr">
        <is>
          <t>일상 에피소드. 어느 토요일 아침, 알바로가 약속대로 필라르 이모를 모시고 동네 시장에 장을 보러 갑니다. 이모는 단골 가게마다 들르며 값을 묻고 흥정하고, 알바로는 시장에서 쓰는 말과 '-ito' 축소사를 이모에게서 새삼 배우게 됩니다.</t>
        </is>
      </c>
    </row>
    <row r="1016">
      <c r="A1016" s="10" t="n">
        <v>1015</v>
      </c>
      <c r="B1016" s="10" t="n">
        <v>64</v>
      </c>
      <c r="C1016" s="10">
        <f>INDEX('부작 목록'!$C$2:$C$96,B1016)</f>
        <v/>
      </c>
      <c r="D1016" s="10" t="inlineStr">
        <is>
          <t>G 시즌2 독립 취재</t>
        </is>
      </c>
      <c r="E1016" s="10" t="n">
        <v>34542</v>
      </c>
      <c r="F1016" s="10" t="n">
        <v>58</v>
      </c>
      <c r="G1016" s="10" t="inlineStr">
        <is>
          <t>새로운 취재. 하비에르가 이탈리아 에라스무스 교환학생 줄리아 페라레시의 제보 메일을 받습니다. 마드리드에 도착한 첫날, 석 달 치 돈을 미리 보낸 방이 존재하지 않는다는 사실을 알게 된 그녀를 알바로와 하비에르가 대학가 근처 카페에서 만납니다.</t>
        </is>
      </c>
    </row>
    <row r="1017">
      <c r="A1017" s="10" t="n">
        <v>1016</v>
      </c>
      <c r="B1017" s="10" t="n">
        <v>64</v>
      </c>
      <c r="C1017" s="10">
        <f>INDEX('부작 목록'!$C$2:$C$96,B1017)</f>
        <v/>
      </c>
      <c r="D1017" s="10" t="inlineStr">
        <is>
          <t>G 시즌2 독립 취재</t>
        </is>
      </c>
      <c r="E1017" s="10" t="n">
        <v>34602</v>
      </c>
      <c r="F1017" s="10" t="n">
        <v>58</v>
      </c>
      <c r="G1017" s="10" t="inlineStr">
        <is>
          <t>일주일 후, 알바로와 하비에르가 라바피에스의 세입자 단체 '테초 후스토'를 찾아갑니다. 자원봉사 변호사 팔로마 에스쿠라가 같은 수법에 당한 피해자들을 모았고, 멕시코 출신 간호사 이첼과 모로코 출신 물류 노동자 하미드가 저마다의 억양으로 사연을 털어놓습니다.</t>
        </is>
      </c>
    </row>
    <row r="1018">
      <c r="A1018" s="10" t="n">
        <v>1017</v>
      </c>
      <c r="B1018" s="10" t="n">
        <v>64</v>
      </c>
      <c r="C1018" s="10">
        <f>INDEX('부작 목록'!$C$2:$C$96,B1018)</f>
        <v/>
      </c>
      <c r="D1018" s="10" t="inlineStr">
        <is>
          <t>G 시즌2 독립 취재</t>
        </is>
      </c>
      <c r="E1018" s="10" t="n">
        <v>34662</v>
      </c>
      <c r="F1018" s="10" t="n">
        <v>48</v>
      </c>
      <c r="G1018" s="10" t="inlineStr">
        <is>
          <t>마르코스가 피해자들이 넘긴 매물 사진과 계약서 PDF를 분석하자, 사진이 2년 전 실제 매매 광고에서 통째로 복제되었다는 사실이 드러납니다. 알바로는 사진 속 집의 전 주인을 찾아가고, 그날 밤 카밀라가 돈의 흐름을 짚어 줍니다.</t>
        </is>
      </c>
    </row>
    <row r="1019">
      <c r="A1019" s="10" t="n">
        <v>1018</v>
      </c>
      <c r="B1019" s="10" t="n">
        <v>64</v>
      </c>
      <c r="C1019" s="10">
        <f>INDEX('부작 목록'!$C$2:$C$96,B1019)</f>
        <v/>
      </c>
      <c r="D1019" s="10" t="inlineStr">
        <is>
          <t>G 시즌2 독립 취재</t>
        </is>
      </c>
      <c r="E1019" s="10" t="n">
        <v>34712</v>
      </c>
      <c r="F1019" s="10" t="n">
        <v>48</v>
      </c>
      <c r="G1019" s="10" t="inlineStr">
        <is>
          <t>알바로와 하비에르가 계약서에 집주인으로 이름이 오른 은퇴 교사 엔카르나시온 칼비요를 알칼라 데 에나레스의 자택으로 찾아갑니다. 이어 계좌 명의자인 콜롬비아 유학생 예페르손 아랑고를 만나면서, 피해자이자 가담자인 그를 어떻게 보도할지 윤리적 딜레마에 부딪힙니다.</t>
        </is>
      </c>
    </row>
    <row r="1020">
      <c r="A1020" s="10" t="n">
        <v>1019</v>
      </c>
      <c r="B1020" s="10" t="n">
        <v>64</v>
      </c>
      <c r="C1020" s="10">
        <f>INDEX('부작 목록'!$C$2:$C$96,B1020)</f>
        <v/>
      </c>
      <c r="D1020" s="10" t="inlineStr">
        <is>
          <t>G 시즌2 독립 취재</t>
        </is>
      </c>
      <c r="E1020" s="10" t="n">
        <v>34762</v>
      </c>
      <c r="F1020" s="10" t="n">
        <v>48</v>
      </c>
      <c r="G1020" s="10" t="inlineStr">
        <is>
          <t>알바로와 하비에르가 임대 플랫폼 '피소야'의 신뢰·안전 책임자 노엘리아 사라비아를 만나 반론과 데이터를 요청하고, 신문사 변호사 마르타가 보도의 법적 선을 점검합니다. 그러나 확인 전화 한 통이 조직에 경고가 되었는지, 하룻밤 사이에 사이트와 연락처가 모두 사라집니다.</t>
        </is>
      </c>
    </row>
    <row r="1021">
      <c r="A1021" s="10" t="n">
        <v>1020</v>
      </c>
      <c r="B1021" s="10" t="n">
        <v>64</v>
      </c>
      <c r="C1021" s="10">
        <f>INDEX('부작 목록'!$C$2:$C$96,B1021)</f>
        <v/>
      </c>
      <c r="D1021" s="10" t="inlineStr">
        <is>
          <t>G 시즌2 독립 취재</t>
        </is>
      </c>
      <c r="E1021" s="10" t="n">
        <v>34812</v>
      </c>
      <c r="F1021" s="10" t="n">
        <v>56</v>
      </c>
      <c r="G1021" s="10" t="inlineStr">
        <is>
          <t>3주 후, 이첼이 병원 신규 간호사들의 단체 대화방에서 똑같은 문구의 새 매물을 발견합니다. 이번에는 가짜 사진이 아니라 하루짜리 단기 임대 아파트에서 실제 내람을 열고 있었고, 알바로는 조카의 방을 구하는 손님으로 공개 내람에 참석합니다.</t>
        </is>
      </c>
    </row>
    <row r="1022">
      <c r="A1022" s="10" t="n">
        <v>1021</v>
      </c>
      <c r="B1022" s="10" t="n">
        <v>64</v>
      </c>
      <c r="C1022" s="10">
        <f>INDEX('부작 목록'!$C$2:$C$96,B1022)</f>
        <v/>
      </c>
      <c r="D1022" s="10" t="inlineStr">
        <is>
          <t>G 시즌2 독립 취재</t>
        </is>
      </c>
      <c r="E1022" s="10" t="n">
        <v>34870</v>
      </c>
      <c r="F1022" s="10" t="n">
        <v>49</v>
      </c>
      <c r="G1022" s="10" t="inlineStr">
        <is>
          <t>알바로와 하비에르가 모든 자료를 정리해 국가경찰 사기 전담반의 이네스 코르발란 경감에게 넘기고, 린데로 측에 보낼 반론 질의서를 준비합니다. 경찰은 흩어져 있던 고소 수십 건을 하나로 묶어 움직이고, 마르타와 편집국장은 기사 출고를 두고 마지막 결정을 내립니다.</t>
        </is>
      </c>
    </row>
    <row r="1023">
      <c r="A1023" s="10" t="n">
        <v>1022</v>
      </c>
      <c r="B1023" s="10" t="n">
        <v>64</v>
      </c>
      <c r="C1023" s="10">
        <f>INDEX('부작 목록'!$C$2:$C$96,B1023)</f>
        <v/>
      </c>
      <c r="D1023" s="10" t="inlineStr">
        <is>
          <t>G 시즌2 독립 취재</t>
        </is>
      </c>
      <c r="E1023" s="10" t="n">
        <v>34921</v>
      </c>
      <c r="F1023" s="10" t="n">
        <v>50</v>
      </c>
      <c r="G1023" s="10" t="inlineStr">
        <is>
          <t>기사가 나간 뒤 몇 주가 흐릅니다. 피해 금액은 대부분 돌아오지 않았지만 테초 후스토에는 새 제보가 이어지고, 알바로와 하비에르는 줄리아와 이첼, 하미드가 새로 도착한 유학생과 이주민들에게 직접 '집 구하는 법'을 가르치는 워크숍을 찾아갑니다.</t>
        </is>
      </c>
    </row>
    <row r="1024">
      <c r="A1024" s="10" t="n">
        <v>1023</v>
      </c>
      <c r="B1024" s="10" t="n">
        <v>65</v>
      </c>
      <c r="C1024" s="10">
        <f>INDEX('부작 목록'!$C$2:$C$96,B1024)</f>
        <v/>
      </c>
      <c r="D1024" s="10" t="inlineStr">
        <is>
          <t>G 시즌2 독립 취재</t>
        </is>
      </c>
      <c r="E1024" s="10" t="n">
        <v>34973</v>
      </c>
      <c r="F1024" s="10" t="n">
        <v>59</v>
      </c>
      <c r="G1024" s="10" t="inlineStr">
        <is>
          <t>새로운 취재. 하비에르가 세비야 근교 도스 에르마나스에 사는 방문요양보호사 마카레나 에스테파의 편지를 알바로에게 건넵니다. 십오 년 동안 사고 한 번 없던 그녀의 자동차보험료가 일 년 만에 다섯 배로 뛰었고, 다른 보험사들은 아예 가입을 거절했다는 내용입니다. 알바로는 세비야로 내려가, 그녀에게 그날 아침의 일을 처음부터 다시 들려 달라고 부탁합니다.</t>
        </is>
      </c>
    </row>
    <row r="1025">
      <c r="A1025" s="10" t="n">
        <v>1024</v>
      </c>
      <c r="B1025" s="10" t="n">
        <v>65</v>
      </c>
      <c r="C1025" s="10">
        <f>INDEX('부작 목록'!$C$2:$C$96,B1025)</f>
        <v/>
      </c>
      <c r="D1025" s="10" t="inlineStr">
        <is>
          <t>G 시즌2 독립 취재</t>
        </is>
      </c>
      <c r="E1025" s="10" t="n">
        <v>35034</v>
      </c>
      <c r="F1025" s="10" t="n">
        <v>54</v>
      </c>
      <c r="G1025" s="10" t="inlineStr">
        <is>
          <t>마드리드로 돌아온 알바로는 마르코스, 하비에르와 함께 마카레나가 지역 운전자 페이스북 그룹에 올린 하소연 글을 따라갑니다. 비슷한 사고를 당한 운전자 여섯 명이 보내온 사고 합의서 속에서, 같은 번호판과 같은 동승자 이름, 같은 의사와 같은 정비소가 계속 겹쳐 나타납니다. 그날 밤 카밀라는 상업등기부를 뒤지다 세 업체를 잇는 뜻밖의 연결고리를 찾아냅니다.</t>
        </is>
      </c>
    </row>
    <row r="1026">
      <c r="A1026" s="10" t="n">
        <v>1025</v>
      </c>
      <c r="B1026" s="10" t="n">
        <v>65</v>
      </c>
      <c r="C1026" s="10">
        <f>INDEX('부작 목록'!$C$2:$C$96,B1026)</f>
        <v/>
      </c>
      <c r="D1026" s="10" t="inlineStr">
        <is>
          <t>G 시즌2 독립 취재</t>
        </is>
      </c>
      <c r="E1026" s="10" t="n">
        <v>35090</v>
      </c>
      <c r="F1026" s="10" t="n">
        <v>51</v>
      </c>
      <c r="G1026" s="10" t="inlineStr">
        <is>
          <t>하비에르가 수년 전 보험사기 관련 세미나에서 발표했던 말라가의 한 보험사 사기조사관을 찾아냅니다. 알바로는 페드레갈레호 해변의 한 치링기토에서 '세구로스 알카사바'의 조사관 롤라 티라도를 만납니다. 그녀는 내부 자료는 줄 수 없다고 선을 그으면서도, 이 조직이 어떻게 움직이는지, 그리고 기자가 어디를 봐야 하는지를 알려 줍니다.</t>
        </is>
      </c>
    </row>
    <row r="1027">
      <c r="A1027" s="10" t="n">
        <v>1026</v>
      </c>
      <c r="B1027" s="10" t="n">
        <v>65</v>
      </c>
      <c r="C1027" s="10">
        <f>INDEX('부작 목록'!$C$2:$C$96,B1027)</f>
        <v/>
      </c>
      <c r="D1027" s="10" t="inlineStr">
        <is>
          <t>G 시즌2 독립 취재</t>
        </is>
      </c>
      <c r="E1027" s="10" t="n">
        <v>35143</v>
      </c>
      <c r="F1027" s="10" t="n">
        <v>58</v>
      </c>
      <c r="G1027" s="10" t="inlineStr">
        <is>
          <t>알바로와 하비에르가 세비야 동쪽의 문제의 회전교차로에서 현장 취재를 합니다. 교차로 옆 신문가판대 주인 마놀리는 이른 아침마다 같은 흰 차가 교차로를 맴도는 것을 봐 왔다고 말합니다. 두 사람은 오래된 중고차 광고 사진들 속에서 같은 찌그러짐을 확인한 뒤, 알칼라 데 과다이라의 정비소 뒤편에서 실제 그 차를 발견하지만, 정비소 주인 쿠로가 그들의 차 번호판을 휴대전화로 찍습니다.</t>
        </is>
      </c>
    </row>
    <row r="1028">
      <c r="A1028" s="10" t="n">
        <v>1027</v>
      </c>
      <c r="B1028" s="10" t="n">
        <v>65</v>
      </c>
      <c r="C1028" s="10">
        <f>INDEX('부작 목록'!$C$2:$C$96,B1028)</f>
        <v/>
      </c>
      <c r="D1028" s="10" t="inlineStr">
        <is>
          <t>G 시즌2 독립 취재</t>
        </is>
      </c>
      <c r="E1028" s="10" t="n">
        <v>35203</v>
      </c>
      <c r="F1028" s="10" t="n">
        <v>57</v>
      </c>
      <c r="G1028" s="10" t="inlineStr">
        <is>
          <t>하비에르가 찾아낸 '부상 동승자' 이반 토스카노가 트리아나의 한 바에서 알바로를 만나는 데 동의합니다. 스물세 살의 이반은 사고 한 번에 삼백 유로를 받고 차에 탔고, 클리닉에는 첫날 한 번만 갔으며, 서류는 변호사 사무실에서 서명했다고 털어놓습니다. 그는 실명은 절대 안 된다며, 자신도 감옥에 가게 되느냐고 묻습니다.</t>
        </is>
      </c>
    </row>
    <row r="1029">
      <c r="A1029" s="10" t="n">
        <v>1028</v>
      </c>
      <c r="B1029" s="10" t="n">
        <v>65</v>
      </c>
      <c r="C1029" s="10">
        <f>INDEX('부작 목록'!$C$2:$C$96,B1029)</f>
        <v/>
      </c>
      <c r="D1029" s="10" t="inlineStr">
        <is>
          <t>G 시즌2 독립 취재</t>
        </is>
      </c>
      <c r="E1029" s="10" t="n">
        <v>35262</v>
      </c>
      <c r="F1029" s="10" t="n">
        <v>53</v>
      </c>
      <c r="G1029" s="10" t="inlineStr">
        <is>
          <t>며칠 후, 일이 꼬이기 시작합니다. 세바요스 변호사 사무소가 신문사와 마카레나 앞으로 명예훼손 고소를 경고하는 내용증명을 보내고, 겁에 질린 마카레나는 취재에서 빠지고 싶다고 연락해 옵니다. 마드리드에서는 마르타가 지금까지 모은 자료 중 무엇을 기사에 쓸 수 있고 무엇은 쓸 수 없는지 하나씩 가려냅니다.</t>
        </is>
      </c>
    </row>
    <row r="1030">
      <c r="A1030" s="10" t="n">
        <v>1029</v>
      </c>
      <c r="B1030" s="10" t="n">
        <v>65</v>
      </c>
      <c r="C1030" s="10">
        <f>INDEX('부작 목록'!$C$2:$C$96,B1030)</f>
        <v/>
      </c>
      <c r="D1030" s="10" t="inlineStr">
        <is>
          <t>G 시즌2 독립 취재</t>
        </is>
      </c>
      <c r="E1030" s="10" t="n">
        <v>35317</v>
      </c>
      <c r="F1030" s="10" t="n">
        <v>59</v>
      </c>
      <c r="G1030" s="10" t="inlineStr">
        <is>
          <t>알바로가 직접 내려가 마카레나와 이야기한 끝에, 그녀는 먼저 경찰에 정식으로 고소장을 내고 나서 기사에 실명으로 나오기로 결심합니다. 신문사는 루피노 의사, 세바요스 변호사, 베누메아 정비소, 마카레나의 보험사에 반론권 질의서를 보냅니다. 루피노는 뜻밖에도 알바로를 클리닉으로 직접 불러 해명하겠다고 합니다.</t>
        </is>
      </c>
    </row>
    <row r="1031">
      <c r="A1031" s="10" t="n">
        <v>1030</v>
      </c>
      <c r="B1031" s="10" t="n">
        <v>65</v>
      </c>
      <c r="C1031" s="10">
        <f>INDEX('부작 목록'!$C$2:$C$96,B1031)</f>
        <v/>
      </c>
      <c r="D1031" s="10" t="inlineStr">
        <is>
          <t>G 시즌2 독립 취재</t>
        </is>
      </c>
      <c r="E1031" s="10" t="n">
        <v>35378</v>
      </c>
      <c r="F1031" s="10" t="n">
        <v>57</v>
      </c>
      <c r="G1031" s="10" t="inlineStr">
        <is>
          <t>기사가 나가고 열흘 뒤, 국가경찰 세비야 사기수사팀이 오래전부터 진행해 온 수사에 따라 열한 명을 체포합니다. 그 명단에는 이반도 들어 있습니다. 마카레나는 경찰서에서 피해자로서 정식 진술을 하고, 알바로는 밖에서 기다립니다. 마지막 날, 막 운전면허를 딴 마카레나의 딸 칸델라가 알바로를 산타 후스타 역까지 태워다 줍니다.</t>
        </is>
      </c>
    </row>
    <row r="1032">
      <c r="A1032" s="10" t="n">
        <v>1031</v>
      </c>
      <c r="B1032" s="10" t="n">
        <v>66</v>
      </c>
      <c r="C1032" s="10">
        <f>INDEX('부작 목록'!$C$2:$C$96,B1032)</f>
        <v/>
      </c>
      <c r="D1032" s="10" t="inlineStr">
        <is>
          <t>G 시즌2 독립 취재</t>
        </is>
      </c>
      <c r="E1032" s="10" t="n">
        <v>35437</v>
      </c>
      <c r="F1032" s="10" t="n">
        <v>54</v>
      </c>
      <c r="G1032" s="10" t="inlineStr">
        <is>
          <t>새로운 취재. 일요일 오후, 하비에르가 어린 시절부터 응원해 온 마드리드 남쪽의 3부 리그(프리메라 RFEF) 팀 CD 토레알바의 홈 경기에 알바로를 억지로 끌고 갑니다. 1대0으로 앞서던 경기는 막판 스무 살 골키퍼의 어이없는 실수와 주장의 이해할 수 없는 핸드볼 반칙으로 뒤집히고, 알바로는 관중석에서 휴대폰 두 대만 들여다보던 낯선 남자를 수상하게 여깁니다.</t>
        </is>
      </c>
    </row>
    <row r="1033">
      <c r="A1033" s="10" t="n">
        <v>1032</v>
      </c>
      <c r="B1033" s="10" t="n">
        <v>66</v>
      </c>
      <c r="C1033" s="10">
        <f>INDEX('부작 목록'!$C$2:$C$96,B1033)</f>
        <v/>
      </c>
      <c r="D1033" s="10" t="inlineStr">
        <is>
          <t>G 시즌2 독립 취재</t>
        </is>
      </c>
      <c r="E1033" s="10" t="n">
        <v>35493</v>
      </c>
      <c r="F1033" s="10" t="n">
        <v>46</v>
      </c>
      <c r="G1033" s="10" t="inlineStr">
        <is>
          <t>다음 날 아침, 하비에르가 밤새 해외 베팅 사이트의 배당률 기록을 뒤졌다며 충혈된 눈으로 편집국에 나타납니다. 마르코스의 소개로 스포츠 베팅 감시업체 '비히아 데이터'의 분석가 호세파 바라치나를 만난 두 사람은, 토레알바 경기에 아시아 불법 베팅 시장의 비정상적인 자금이 경기 전부터 몰렸다는 데이터를 확인합니다.</t>
        </is>
      </c>
    </row>
    <row r="1034">
      <c r="A1034" s="10" t="n">
        <v>1033</v>
      </c>
      <c r="B1034" s="10" t="n">
        <v>66</v>
      </c>
      <c r="C1034" s="10">
        <f>INDEX('부작 목록'!$C$2:$C$96,B1034)</f>
        <v/>
      </c>
      <c r="D1034" s="10" t="inlineStr">
        <is>
          <t>G 시즌2 독립 취재</t>
        </is>
      </c>
      <c r="E1034" s="10" t="n">
        <v>35541</v>
      </c>
      <c r="F1034" s="10" t="n">
        <v>60</v>
      </c>
      <c r="G1034" s="10" t="inlineStr">
        <is>
          <t>주말, 알바로와 하비에르가 토레알바 마을의 서포터즈 바와 공개 훈련장을 찾아 현장 취재에 나섭니다. 밀린 임금과 함께, 선수단 절반을 관리하며 구단에 돈까지 빌려준 에이전트 라우레아노 야마스의 이름이 떠오르고, 하비에르는 겁에 질린 젊은 골키퍼에게 몰래 명함을 건넵니다. 그날 밤 카밀라는 구단의 공개 재무제표에서 수상한 대출을 찾아냅니다.</t>
        </is>
      </c>
    </row>
    <row r="1035">
      <c r="A1035" s="10" t="n">
        <v>1034</v>
      </c>
      <c r="B1035" s="10" t="n">
        <v>66</v>
      </c>
      <c r="C1035" s="10">
        <f>INDEX('부작 목록'!$C$2:$C$96,B1035)</f>
        <v/>
      </c>
      <c r="D1035" s="10" t="inlineStr">
        <is>
          <t>G 시즌2 독립 취재</t>
        </is>
      </c>
      <c r="E1035" s="10" t="n">
        <v>35603</v>
      </c>
      <c r="F1035" s="10" t="n">
        <v>54</v>
      </c>
      <c r="G1035" s="10" t="inlineStr">
        <is>
          <t>며칠 후 새벽 한 시, 하비에르의 휴대폰에 모르는 번호로 "얘기할 수 있을까요?"라는 메시지가 옵니다. 고속도로 주유소 주차장에 세운 차 안에서 크리스티안은 자신이 돈을 받고 일부러 골을 내줬다고 털어놓고, 다음 경기에서 더 큰 요구와 협박을 받고 있다고 고백합니다.</t>
        </is>
      </c>
    </row>
    <row r="1036">
      <c r="A1036" s="10" t="n">
        <v>1035</v>
      </c>
      <c r="B1036" s="10" t="n">
        <v>66</v>
      </c>
      <c r="C1036" s="10">
        <f>INDEX('부작 목록'!$C$2:$C$96,B1036)</f>
        <v/>
      </c>
      <c r="D1036" s="10" t="inlineStr">
        <is>
          <t>G 시즌2 독립 취재</t>
        </is>
      </c>
      <c r="E1036" s="10" t="n">
        <v>35659</v>
      </c>
      <c r="F1036" s="10" t="n">
        <v>46</v>
      </c>
      <c r="G1036" s="10" t="inlineStr">
        <is>
          <t>다음 날 아침, 편집국 회의실에서 마르타와 국장이 크리스티안의 고백과 캡처 사진을 검토합니다. 제보자가 동시에 범행 가담자라는 사실, 지금 보도하면 수사가 무너질 위험, 그리고 일요일 경기 전에 언론이 어디까지 해야 하는지를 두고 격론이 벌어지고, 알바로는 결국 라리가 인테그리티 부서에 먼저 전화를 겁니다.</t>
        </is>
      </c>
    </row>
    <row r="1037">
      <c r="A1037" s="10" t="n">
        <v>1036</v>
      </c>
      <c r="B1037" s="10" t="n">
        <v>66</v>
      </c>
      <c r="C1037" s="10">
        <f>INDEX('부작 목록'!$C$2:$C$96,B1037)</f>
        <v/>
      </c>
      <c r="D1037" s="10" t="inlineStr">
        <is>
          <t>G 시즌2 독립 취재</t>
        </is>
      </c>
      <c r="E1037" s="10" t="n">
        <v>35707</v>
      </c>
      <c r="F1037" s="10" t="n">
        <v>51</v>
      </c>
      <c r="G1037" s="10" t="inlineStr">
        <is>
          <t>토요일 밤, 크리스티안의 차 유리가 박살 나고 어머니의 휴대폰에 협박 음성 메시지가 도착합니다. 겁에 질린 크리스티안은 연락을 끊고, 일요일 선두팀과의 경기에서 벤치에 앉습니다. 알바로와 하비에르는 편집국에서 호세파의 실시간 데이터를 보며 '예고된' 대패를 무력하게 지켜봅니다.</t>
        </is>
      </c>
    </row>
    <row r="1038">
      <c r="A1038" s="10" t="n">
        <v>1037</v>
      </c>
      <c r="B1038" s="10" t="n">
        <v>66</v>
      </c>
      <c r="C1038" s="10">
        <f>INDEX('부작 목록'!$C$2:$C$96,B1038)</f>
        <v/>
      </c>
      <c r="D1038" s="10" t="inlineStr">
        <is>
          <t>G 시즌2 독립 취재</t>
        </is>
      </c>
      <c r="E1038" s="10" t="n">
        <v>35760</v>
      </c>
      <c r="F1038" s="10" t="n">
        <v>46</v>
      </c>
      <c r="G1038" s="10" t="inlineStr">
        <is>
          <t>월요일, 크리스티안과 어머니 에우헤니아가 변호사와 함께 라리가 인테그리티 부서와 경찰청 UDEF 수사관에게 진술합니다. 기자들은 길 건너 카페에서 기다리고, 이스마엘 킨타나 경감은 알바로에게 열흘간의 보도 유예를 요청하며, 뒤늦게 도착한 마르타가 그 조건을 하나하나 협상합니다.</t>
        </is>
      </c>
    </row>
    <row r="1039">
      <c r="A1039" s="10" t="n">
        <v>1038</v>
      </c>
      <c r="B1039" s="10" t="n">
        <v>66</v>
      </c>
      <c r="C1039" s="10">
        <f>INDEX('부작 목록'!$C$2:$C$96,B1039)</f>
        <v/>
      </c>
      <c r="D1039" s="10" t="inlineStr">
        <is>
          <t>G 시즌2 독립 취재</t>
        </is>
      </c>
      <c r="E1039" s="10" t="n">
        <v>35808</v>
      </c>
      <c r="F1039" s="10" t="n">
        <v>59</v>
      </c>
      <c r="G1039" s="10" t="inlineStr">
        <is>
          <t>열흘 뒤 새벽, 경찰청이 '오프사이드 작전'을 개시해 라우레아노 야마스와 호세미 가야르도를 포함한 다섯 명을 체포합니다. 알바로는 구단 회장과 야마스의 변호인에게 반론권을 보장한 뒤 기사를 내보내고, 주말에는 하비에르와 함께 유소년 선수들로 급히 꾸려진 토레알바의 경기를 보러 엘 프라디요로 향합니다.</t>
        </is>
      </c>
    </row>
    <row r="1040">
      <c r="A1040" s="10" t="n">
        <v>1039</v>
      </c>
      <c r="B1040" s="10" t="n">
        <v>67</v>
      </c>
      <c r="C1040" s="10">
        <f>INDEX('부작 목록'!$C$2:$C$96,B1040)</f>
        <v/>
      </c>
      <c r="D1040" s="10" t="inlineStr">
        <is>
          <t>G 시즌2 독립 취재</t>
        </is>
      </c>
      <c r="E1040" s="10" t="n">
        <v>35869</v>
      </c>
      <c r="F1040" s="10" t="n">
        <v>56</v>
      </c>
      <c r="G1040" s="10" t="inlineStr">
        <is>
          <t>일상 에피소드. 알바로와 카밀라가 함께 사는 아파트의 임대 계약 만료가 다가오고, 집주인 올메도 씨가 계약 갱신 이야기를 하러 찾아옵니다. 두 사람은 집세 인상과 계약 조건을 정중하게 협상하는 한편, 몇 주째 고쳐지지 않은 보일러와 욕실 습기 문제도 꺼내기로 합니다.</t>
        </is>
      </c>
    </row>
    <row r="1041">
      <c r="A1041" s="10" t="n">
        <v>1040</v>
      </c>
      <c r="B1041" s="10" t="n">
        <v>68</v>
      </c>
      <c r="C1041" s="10">
        <f>INDEX('부작 목록'!$C$2:$C$96,B1041)</f>
        <v/>
      </c>
      <c r="D1041" s="10" t="inlineStr">
        <is>
          <t>G 시즌2 독립 취재</t>
        </is>
      </c>
      <c r="E1041" s="10" t="n">
        <v>35927</v>
      </c>
      <c r="F1041" s="10" t="n">
        <v>53</v>
      </c>
      <c r="G1041" s="10" t="inlineStr">
        <is>
          <t>새로운 취재. 하비에르가 마드리드의 고서 경매장 '카사 데 수바스타스 페냘베르'의 가을 카탈로그를 들고 알바로의 책상으로 옵니다. 표지에는 '미겔 데 세르반테스의 미공개 자필 편지'라는 문구가 큼직하게 박혀 있고, 가상의 국립 대학인 발데올모스 대학교 도서관이 공적 자금으로 이 편지를 사들일 예정이라는 소문이 돌고 있습니다.</t>
        </is>
      </c>
    </row>
    <row r="1042">
      <c r="A1042" s="10" t="n">
        <v>1041</v>
      </c>
      <c r="B1042" s="10" t="n">
        <v>68</v>
      </c>
      <c r="C1042" s="10">
        <f>INDEX('부작 목록'!$C$2:$C$96,B1042)</f>
        <v/>
      </c>
      <c r="D1042" s="10" t="inlineStr">
        <is>
          <t>G 시즌2 독립 취재</t>
        </is>
      </c>
      <c r="E1042" s="10" t="n">
        <v>35982</v>
      </c>
      <c r="F1042" s="10" t="n">
        <v>54</v>
      </c>
      <c r="G1042" s="10" t="inlineStr">
        <is>
          <t>며칠 후, 알바로가 발데올모스 대학교 도서관장 이네스 카르바할을 인터뷰합니다. 이네스는 편지 구입을 도서관 역사상 가장 중요한 순간이라 부르며 들떠 있고, 구입 전 상태 보고서를 맡은 보존 처리 전문가 오르텐시아 빌체스를 알바로에게 소개합니다.</t>
        </is>
      </c>
    </row>
    <row r="1043">
      <c r="A1043" s="10" t="n">
        <v>1042</v>
      </c>
      <c r="B1043" s="10" t="n">
        <v>68</v>
      </c>
      <c r="C1043" s="10">
        <f>INDEX('부작 목록'!$C$2:$C$96,B1043)</f>
        <v/>
      </c>
      <c r="D1043" s="10" t="inlineStr">
        <is>
          <t>G 시즌2 독립 취재</t>
        </is>
      </c>
      <c r="E1043" s="10" t="n">
        <v>36038</v>
      </c>
      <c r="F1043" s="10" t="n">
        <v>55</v>
      </c>
      <c r="G1043" s="10" t="inlineStr">
        <is>
          <t>일주일 후, 도서관 복원 작업실. 오르텐시아가 레오노르를 외부 자문으로 초청하고, 형광 X선 분석 결과와 필적 감정이 같은 탁자 위에 펼쳐집니다. 알바로는 기록만 한다는 조건으로 그 자리에 함께합니다.</t>
        </is>
      </c>
    </row>
    <row r="1044">
      <c r="A1044" s="10" t="n">
        <v>1043</v>
      </c>
      <c r="B1044" s="10" t="n">
        <v>68</v>
      </c>
      <c r="C1044" s="10">
        <f>INDEX('부작 목록'!$C$2:$C$96,B1044)</f>
        <v/>
      </c>
      <c r="D1044" s="10" t="inlineStr">
        <is>
          <t>G 시즌2 독립 취재</t>
        </is>
      </c>
      <c r="E1044" s="10" t="n">
        <v>36095</v>
      </c>
      <c r="F1044" s="10" t="n">
        <v>52</v>
      </c>
      <c r="G1044" s="10" t="inlineStr">
        <is>
          <t>이틀 후, 레오노르와 하비에르는 세비야의 한 공증 기록 보관소에서 원본 문서철을 직접 확인하고, 마드리드에 남은 알바로는 마르코스와 함께 편지의 출처를 추적합니다. 그 과정에서 같은 경로로 '로페 데 베가의 편지'를 산 멕시코 수집가가 나타납니다.</t>
        </is>
      </c>
    </row>
    <row r="1045">
      <c r="A1045" s="10" t="n">
        <v>1044</v>
      </c>
      <c r="B1045" s="10" t="n">
        <v>68</v>
      </c>
      <c r="C1045" s="10">
        <f>INDEX('부작 목록'!$C$2:$C$96,B1045)</f>
        <v/>
      </c>
      <c r="D1045" s="10" t="inlineStr">
        <is>
          <t>G 시즌2 독립 취재</t>
        </is>
      </c>
      <c r="E1045" s="10" t="n">
        <v>36149</v>
      </c>
      <c r="F1045" s="10" t="n">
        <v>54</v>
      </c>
      <c r="G1045" s="10" t="inlineStr">
        <is>
          <t>며칠 후, 알바로는 기자 신분을 밝힌 채 톨레도 근교의 작은 마을에 있는 바르톨로메 말도나도의 제본 공방을 찾아갑니다. 하비에르는 차 안에서 기다리고, 알바로는 녹음기를 탁자 위에 올려놓고 인터뷰를 시작합니다.</t>
        </is>
      </c>
    </row>
    <row r="1046">
      <c r="A1046" s="10" t="n">
        <v>1045</v>
      </c>
      <c r="B1046" s="10" t="n">
        <v>68</v>
      </c>
      <c r="C1046" s="10">
        <f>INDEX('부작 목록'!$C$2:$C$96,B1046)</f>
        <v/>
      </c>
      <c r="D1046" s="10" t="inlineStr">
        <is>
          <t>G 시즌2 독립 취재</t>
        </is>
      </c>
      <c r="E1046" s="10" t="n">
        <v>36205</v>
      </c>
      <c r="F1046" s="10" t="n">
        <v>56</v>
      </c>
      <c r="G1046" s="10" t="inlineStr">
        <is>
          <t>다음 주, 카밀라가 '레가도스 이스팔렌세스'의 공개 재무제표를 분석하고, 알바로는 페냘베르 경매장의 전직 목록 담당 직원을 찾아 비공개 증언을 독립적으로 확인하려 합니다. 그러나 대학 이사회가 표결을 하루 앞당기면서, 신문사는 마르타의 법률 검토를 서둘러야 하는 압박에 놓입니다.</t>
        </is>
      </c>
    </row>
    <row r="1047">
      <c r="A1047" s="10" t="n">
        <v>1046</v>
      </c>
      <c r="B1047" s="10" t="n">
        <v>68</v>
      </c>
      <c r="C1047" s="10">
        <f>INDEX('부작 목록'!$C$2:$C$96,B1047)</f>
        <v/>
      </c>
      <c r="D1047" s="10" t="inlineStr">
        <is>
          <t>G 시즌2 독립 취재</t>
        </is>
      </c>
      <c r="E1047" s="10" t="n">
        <v>36263</v>
      </c>
      <c r="F1047" s="10" t="n">
        <v>51</v>
      </c>
      <c r="G1047" s="10" t="inlineStr">
        <is>
          <t>반론권 기한 마지막 날. 경매장 대표 루시오 페냘베르가 직접 전화를 걸어오고, 바르톨로메 말도나도는 17세기 문체로 쓴 긴 답장을 보내옵니다. 레오노르가 그 고어체 편지를 한 줄씩 풀어 읽는 동안, 기사는 마지막 손질을 거칩니다.</t>
        </is>
      </c>
    </row>
    <row r="1048">
      <c r="A1048" s="10" t="n">
        <v>1047</v>
      </c>
      <c r="B1048" s="10" t="n">
        <v>68</v>
      </c>
      <c r="C1048" s="10">
        <f>INDEX('부작 목록'!$C$2:$C$96,B1048)</f>
        <v/>
      </c>
      <c r="D1048" s="10" t="inlineStr">
        <is>
          <t>G 시즌2 독립 취재</t>
        </is>
      </c>
      <c r="E1048" s="10" t="n">
        <v>36316</v>
      </c>
      <c r="F1048" s="10" t="n">
        <v>52</v>
      </c>
      <c r="G1048" s="10" t="inlineStr">
        <is>
          <t>몇 주 후. 경찰 수사가 진행되고 바르톨로메 말도나도는 판사 앞에 피의자로 출석합니다. 알바로는 마지막 후속 기사를 준비하며 에프라인 우갈데, 이네스, 레오노르를 차례로 만나고, 이야기는 축배 대신 세비야 기록 보관소의 낡은 문서 한 장 앞에서 끝납니다.</t>
        </is>
      </c>
    </row>
    <row r="1049">
      <c r="A1049" s="10" t="n">
        <v>1048</v>
      </c>
      <c r="B1049" s="10" t="n">
        <v>69</v>
      </c>
      <c r="C1049" s="10">
        <f>INDEX('부작 목록'!$C$2:$C$96,B1049)</f>
        <v/>
      </c>
      <c r="D1049" s="10" t="inlineStr">
        <is>
          <t>G 시즌2 독립 취재</t>
        </is>
      </c>
      <c r="E1049" s="10" t="n">
        <v>36370</v>
      </c>
      <c r="F1049" s="10" t="n">
        <v>54</v>
      </c>
      <c r="G1049" s="10" t="inlineStr">
        <is>
          <t>새로운 취재. 8월 말, 알바로와 하비에르가 베니도름 구시가지의 작은 기념품·아이스크림 가게를 찾아갑니다. 주인 페파 몰토는 성수기 단 한 주말에 위조 50유로 지폐 세 장을 받았고, 은행에 입금하려다 그 돈을 고스란히 잃었다고 털어놓습니다.</t>
        </is>
      </c>
    </row>
    <row r="1050">
      <c r="A1050" s="10" t="n">
        <v>1049</v>
      </c>
      <c r="B1050" s="10" t="n">
        <v>69</v>
      </c>
      <c r="C1050" s="10">
        <f>INDEX('부작 목록'!$C$2:$C$96,B1050)</f>
        <v/>
      </c>
      <c r="D1050" s="10" t="inlineStr">
        <is>
          <t>G 시즌2 독립 취재</t>
        </is>
      </c>
      <c r="E1050" s="10" t="n">
        <v>36426</v>
      </c>
      <c r="F1050" s="10" t="n">
        <v>51</v>
      </c>
      <c r="G1050" s="10" t="inlineStr">
        <is>
          <t>일주일 후, 알바로가 마드리드 스페인은행의 위조화폐 분석 센터를 방문합니다. 기술 분석관 젬마 벨베르가 진짜와 가짜 50유로를 나란히 놓고 워터마크, 보안선, 에메랄드 그린 숫자를 하나씩 설명하며, 이번 위조지폐가 왜 '보통 수준이 아닌지'를 보여 줍니다.</t>
        </is>
      </c>
    </row>
    <row r="1051">
      <c r="A1051" s="10" t="n">
        <v>1050</v>
      </c>
      <c r="B1051" s="10" t="n">
        <v>69</v>
      </c>
      <c r="C1051" s="10">
        <f>INDEX('부작 목록'!$C$2:$C$96,B1051)</f>
        <v/>
      </c>
      <c r="D1051" s="10" t="inlineStr">
        <is>
          <t>G 시즌2 독립 취재</t>
        </is>
      </c>
      <c r="E1051" s="10" t="n">
        <v>36479</v>
      </c>
      <c r="F1051" s="10" t="n">
        <v>50</v>
      </c>
      <c r="G1051" s="10" t="inlineStr">
        <is>
          <t>며칠 후, 알바로의 집. 금융 분석가 카밀라가 각 지역 경찰서와 상인 협회에서 모은 위조지폐 신고 날짜와 장소를 표로 정리해, 지폐가 휴가철 페리와 저가 항공 노선을 따라 움직인다는 사실을 발견합니다. 알바로는 이비사와 그란카나리아의 상인들과 화상 통화로 이야기를 나눕니다.</t>
        </is>
      </c>
    </row>
    <row r="1052">
      <c r="A1052" s="10" t="n">
        <v>1051</v>
      </c>
      <c r="B1052" s="10" t="n">
        <v>69</v>
      </c>
      <c r="C1052" s="10">
        <f>INDEX('부작 목록'!$C$2:$C$96,B1052)</f>
        <v/>
      </c>
      <c r="D1052" s="10" t="inlineStr">
        <is>
          <t>G 시즌2 독립 취재</t>
        </is>
      </c>
      <c r="E1052" s="10" t="n">
        <v>36531</v>
      </c>
      <c r="F1052" s="10" t="n">
        <v>45</v>
      </c>
      <c r="G1052" s="10" t="inlineStr">
        <is>
          <t>알바로가 경찰청 '스페인은행 수사대'의 아벨 코로차노 경감을 만납니다. 경감은 고소 접수, 증거물 보관 절차, 유로폴과의 협력 등 수사 절차를 설명한 뒤, 진행 중인 작전을 위해 보도를 미뤄 달라고 요청합니다. 신문사에서는 편집장과 마르타가 상인들에게 경고하는 일과 수사를 지키는 일 사이에서 논쟁을 벌입니다.</t>
        </is>
      </c>
    </row>
    <row r="1053">
      <c r="A1053" s="10" t="n">
        <v>1052</v>
      </c>
      <c r="B1053" s="10" t="n">
        <v>69</v>
      </c>
      <c r="C1053" s="10">
        <f>INDEX('부작 목록'!$C$2:$C$96,B1053)</f>
        <v/>
      </c>
      <c r="D1053" s="10" t="inlineStr">
        <is>
          <t>G 시즌2 독립 취재</t>
        </is>
      </c>
      <c r="E1053" s="10" t="n">
        <v>36578</v>
      </c>
      <c r="F1053" s="10" t="n">
        <v>51</v>
      </c>
      <c r="G1053" s="10" t="inlineStr">
        <is>
          <t>일요일 기사가 나간 뒤, 마르코스가 '소품용 지폐'를 판다는 온라인 판매 글과 택배 송장 사진에서 갈리시아 랄린의 주소를 찾아냅니다. 알바로와 하비에르는 그 주소와 이어진 인쇄소 '그라피카스 브라냐스'를 찾아가 반론 기회를 주지만, 사장 안쇼의 해명과 마르타의 경고 속에서 이 단서가 잘못된 것이었음을 깨닫습니다.</t>
        </is>
      </c>
    </row>
    <row r="1054">
      <c r="A1054" s="10" t="n">
        <v>1053</v>
      </c>
      <c r="B1054" s="10" t="n">
        <v>69</v>
      </c>
      <c r="C1054" s="10">
        <f>INDEX('부작 목록'!$C$2:$C$96,B1054)</f>
        <v/>
      </c>
      <c r="D1054" s="10" t="inlineStr">
        <is>
          <t>G 시즌2 독립 취재</t>
        </is>
      </c>
      <c r="E1054" s="10" t="n">
        <v>36631</v>
      </c>
      <c r="F1054" s="10" t="n">
        <v>45</v>
      </c>
      <c r="G1054" s="10" t="inlineStr">
        <is>
          <t>다음 날, 안쇼 브라냐스의 소개로 알바로가 빌라가르시아 근처의 작은 카페에서 젊은 인쇄 기술자 우시아 보우사스를 만납니다. 그녀는 몇 달 전까지 한 인쇄소의 야간 작업에 동원되었다고 고백하지만, 신원이 드러날까 두려워합니다. 알바로는 증언의 가치와 그녀를 보호해야 할 책임 사이에서 고민합니다.</t>
        </is>
      </c>
    </row>
    <row r="1055">
      <c r="A1055" s="10" t="n">
        <v>1054</v>
      </c>
      <c r="B1055" s="10" t="n">
        <v>69</v>
      </c>
      <c r="C1055" s="10">
        <f>INDEX('부작 목록'!$C$2:$C$96,B1055)</f>
        <v/>
      </c>
      <c r="D1055" s="10" t="inlineStr">
        <is>
          <t>G 시즌2 독립 취재</t>
        </is>
      </c>
      <c r="E1055" s="10" t="n">
        <v>36678</v>
      </c>
      <c r="F1055" s="10" t="n">
        <v>54</v>
      </c>
      <c r="G1055" s="10" t="inlineStr">
        <is>
          <t>알바로는 마르타와 함께 우시아의 신원을 노출하지 않으면서 무엇을 경찰에 넘길 수 있는지 검토합니다. 코로차노 경감은 판사의 영장으로 경찰이 작전을 진행할 때까지 기다려 달라고 하고, 작전 후 알바로는 압수 수량과 피의자 측 변호인의 반론을 확인하며 기사를 완성합니다.</t>
        </is>
      </c>
    </row>
    <row r="1056">
      <c r="A1056" s="10" t="n">
        <v>1055</v>
      </c>
      <c r="B1056" s="10" t="n">
        <v>69</v>
      </c>
      <c r="C1056" s="10">
        <f>INDEX('부작 목록'!$C$2:$C$96,B1056)</f>
        <v/>
      </c>
      <c r="D1056" s="10" t="inlineStr">
        <is>
          <t>G 시즌2 독립 취재</t>
        </is>
      </c>
      <c r="E1056" s="10" t="n">
        <v>36734</v>
      </c>
      <c r="F1056" s="10" t="n">
        <v>51</v>
      </c>
      <c r="G1056" s="10" t="inlineStr">
        <is>
          <t>몇 주 후, 가을이 되어 한산해진 베니도름. 알바로가 기사를 들고 페파의 가게를 다시 찾습니다. 공장은 문을 닫았지만 상인들이 잃은 돈은 돌아오지 않았고, 페파는 그래도 자신의 방식으로 이 일을 마무리합니다.</t>
        </is>
      </c>
    </row>
    <row r="1057">
      <c r="A1057" s="10" t="n">
        <v>1056</v>
      </c>
      <c r="B1057" s="10" t="n">
        <v>70</v>
      </c>
      <c r="C1057" s="10">
        <f>INDEX('부작 목록'!$C$2:$C$96,B1057)</f>
        <v/>
      </c>
      <c r="D1057" s="10" t="inlineStr">
        <is>
          <t>G 시즌2 독립 취재</t>
        </is>
      </c>
      <c r="E1057" s="10" t="n">
        <v>36787</v>
      </c>
      <c r="F1057" s="10" t="n">
        <v>50</v>
      </c>
      <c r="G1057" s="10" t="inlineStr">
        <is>
          <t>새로운 취재. 신문사 독자 메일함에 한 통의 편지가 도착합니다. 마드리드 남부 몬테스클라로스 지구에 사는 페트라 리사라수가, 가슴 통증으로 응급실을 찾은 아버지가 일곱 시간을 기다린 끝에 숨졌다고 호소합니다. 알바로는 병원 근처 카페에서 그녀를 만나고, 하비에르는 '같은 증상이라도 동네에 따라 대기 시간이 다르다'는 가설을 데이터로 검증하자고 제안합니다.</t>
        </is>
      </c>
    </row>
    <row r="1058">
      <c r="A1058" s="10" t="n">
        <v>1057</v>
      </c>
      <c r="B1058" s="10" t="n">
        <v>70</v>
      </c>
      <c r="C1058" s="10">
        <f>INDEX('부작 목록'!$C$2:$C$96,B1058)</f>
        <v/>
      </c>
      <c r="D1058" s="10" t="inlineStr">
        <is>
          <t>G 시즌2 독립 취재</t>
        </is>
      </c>
      <c r="E1058" s="10" t="n">
        <v>36839</v>
      </c>
      <c r="F1058" s="10" t="n">
        <v>49</v>
      </c>
      <c r="G1058" s="10" t="inlineStr">
        <is>
          <t>5주 후, 컨세헤리아(지방 보건부)가 정보공개 청구에 일부만 응답하고, 하비에르는 투명성위원회에 이의신청을 냅니다. 그 사이 알바로는 로스 알멘드로스 응급실 간호사 아란차 레스카노를 만나 과밀 상황을 듣고, 하비에르의 첫 분석 결과가 나옵니다.</t>
        </is>
      </c>
    </row>
    <row r="1059">
      <c r="A1059" s="10" t="n">
        <v>1058</v>
      </c>
      <c r="B1059" s="10" t="n">
        <v>70</v>
      </c>
      <c r="C1059" s="10">
        <f>INDEX('부작 목록'!$C$2:$C$96,B1059)</f>
        <v/>
      </c>
      <c r="D1059" s="10" t="inlineStr">
        <is>
          <t>G 시즌2 독립 취재</t>
        </is>
      </c>
      <c r="E1059" s="10" t="n">
        <v>36890</v>
      </c>
      <c r="F1059" s="10" t="n">
        <v>49</v>
      </c>
      <c r="G1059" s="10" t="inlineStr">
        <is>
          <t>석 달 후, 투명성위원회가 신문사의 손을 들어주고, 완전한 데이터가 도착합니다. 하비에르의 분석은 '네 배'라는 충격적인 수치를 보여 주지만, 역학자 네레아 올라바리아가 검토 과정에서 두 병원의 기록 방식이 다르다는 치명적인 문제를 찾아냅니다. 편집장은 헤드라인을 서두르고, 알바로는 숫자를 다시 계산하기로 합니다.</t>
        </is>
      </c>
    </row>
    <row r="1060">
      <c r="A1060" s="10" t="n">
        <v>1059</v>
      </c>
      <c r="B1060" s="10" t="n">
        <v>70</v>
      </c>
      <c r="C1060" s="10">
        <f>INDEX('부작 목록'!$C$2:$C$96,B1060)</f>
        <v/>
      </c>
      <c r="D1060" s="10" t="inlineStr">
        <is>
          <t>G 시즌2 독립 취재</t>
        </is>
      </c>
      <c r="E1060" s="10" t="n">
        <v>36941</v>
      </c>
      <c r="F1060" s="10" t="n">
        <v>46</v>
      </c>
      <c r="G1060" s="10" t="inlineStr">
        <is>
          <t>3주 후, 알바로가 로스 알멘드로스 응급실 의사 하산 벨카디를 인터뷰하고, 신문사 변호사 마르타와 함께 기사의 법률 검토를 진행합니다. 페트라는 아버지를 노란색으로 분류한 간호사의 이름을 기사에 넣어 달라고 요구하고, 알바로는 개인이 아닌 구조의 책임을 다루겠다며 거절합니다.</t>
        </is>
      </c>
    </row>
    <row r="1061">
      <c r="A1061" s="10" t="n">
        <v>1060</v>
      </c>
      <c r="B1061" s="10" t="n">
        <v>70</v>
      </c>
      <c r="C1061" s="10">
        <f>INDEX('부작 목록'!$C$2:$C$96,B1061)</f>
        <v/>
      </c>
      <c r="D1061" s="10" t="inlineStr">
        <is>
          <t>G 시즌2 독립 취재</t>
        </is>
      </c>
      <c r="E1061" s="10" t="n">
        <v>36989</v>
      </c>
      <c r="F1061" s="10" t="n">
        <v>52</v>
      </c>
      <c r="G1061" s="10" t="inlineStr">
        <is>
          <t>일주일 후, 알바로는 컨세헤리아의 의료지원국장 레안드로 살세도에게 반론권 인터뷰를 진행합니다. 살세도는 인구 구성과 독감 시즌을 탓하지만, 데이터 앞에서 일부를 인정합니다. 기사가 나가고 몇 주 뒤, 알바로와 페트라는 로스 알멘드로스 대기실에서 다시 만납니다.</t>
        </is>
      </c>
    </row>
    <row r="1062">
      <c r="A1062" s="10" t="n">
        <v>1061</v>
      </c>
      <c r="B1062" s="10" t="n">
        <v>71</v>
      </c>
      <c r="C1062" s="10">
        <f>INDEX('부작 목록'!$C$2:$C$96,B1062)</f>
        <v/>
      </c>
      <c r="D1062" s="10" t="inlineStr">
        <is>
          <t>G 시즌2 독립 취재</t>
        </is>
      </c>
      <c r="E1062" s="10" t="n">
        <v>37043</v>
      </c>
      <c r="F1062" s="10" t="n">
        <v>47</v>
      </c>
      <c r="G1062" s="10" t="inlineStr">
        <is>
          <t>새로운 취재. 마드리드 남부의 가상 도시 토레베르메하에서 세입자협회 대변인 마이테 오수나가 신문사에 연락해 옵니다. 1999년 시가 지은 임대 공공주택 단지 '로스 틸로스' 312세대가 2014년 한 투자회사에 팔린 뒤 임대료가 두 배로 뛰고 퇴거가 잇따르고 있다는 것입니다. 알바로는 단지 안뜰에서 퇴거 날짜를 받아 둔 레히나 멘디빌과 에콰도르 출신 세입자 윌메르 치카이사를 만납니다.</t>
        </is>
      </c>
    </row>
    <row r="1063">
      <c r="A1063" s="10" t="n">
        <v>1062</v>
      </c>
      <c r="B1063" s="10" t="n">
        <v>71</v>
      </c>
      <c r="C1063" s="10">
        <f>INDEX('부작 목록'!$C$2:$C$96,B1063)</f>
        <v/>
      </c>
      <c r="D1063" s="10" t="inlineStr">
        <is>
          <t>G 시즌2 독립 취재</t>
        </is>
      </c>
      <c r="E1063" s="10" t="n">
        <v>37092</v>
      </c>
      <c r="F1063" s="10" t="n">
        <v>49</v>
      </c>
      <c r="G1063" s="10" t="inlineStr">
        <is>
          <t>며칠 후, 알바로와 하비에르가 부동산 등기소에서 '노타 심플레(등기부 요약본)'를 떼어 로스 틸로스의 소유권 변동 이력을 추적합니다. 이어 시청 기록보관소에서 2014년 시의회 회의록을 열람하고, 그날 밤 카밀라가 매각 가격의 타당성을 분석합니다.</t>
        </is>
      </c>
    </row>
    <row r="1064">
      <c r="A1064" s="10" t="n">
        <v>1063</v>
      </c>
      <c r="B1064" s="10" t="n">
        <v>71</v>
      </c>
      <c r="C1064" s="10">
        <f>INDEX('부작 목록'!$C$2:$C$96,B1064)</f>
        <v/>
      </c>
      <c r="D1064" s="10" t="inlineStr">
        <is>
          <t>G 시즌2 독립 취재</t>
        </is>
      </c>
      <c r="E1064" s="10" t="n">
        <v>37143</v>
      </c>
      <c r="F1064" s="10" t="n">
        <v>46</v>
      </c>
      <c r="G1064" s="10" t="inlineStr">
        <is>
          <t>1주일 후, 알바로는 첫 번째 감정평가사 욜란다 가르멘디아를 인터뷰하고, 하비에르는 상업등기 관보에서 전 재무담당 시의원 우르키수가 펀드 계열 회사의 이사로 들어간 사실을 확인합니다. 그런데 퇴거를 앞둔 레히나가 갑자기 인터뷰를 철회하겠다고 알려 와, 알바로는 윤리적 딜레마에 빠집니다.</t>
        </is>
      </c>
    </row>
    <row r="1065">
      <c r="A1065" s="10" t="n">
        <v>1064</v>
      </c>
      <c r="B1065" s="10" t="n">
        <v>71</v>
      </c>
      <c r="C1065" s="10">
        <f>INDEX('부작 목록'!$C$2:$C$96,B1065)</f>
        <v/>
      </c>
      <c r="D1065" s="10" t="inlineStr">
        <is>
          <t>G 시즌2 독립 취재</t>
        </is>
      </c>
      <c r="E1065" s="10" t="n">
        <v>37191</v>
      </c>
      <c r="F1065" s="10" t="n">
        <v>46</v>
      </c>
      <c r="G1065" s="10" t="inlineStr">
        <is>
          <t>2주 후, 마이테와 윌메르가 법률 클리닉 학생 다니엘라 텔레체아의 도움을 받아 옴부즈만과 검찰에 낼 공식 진정서를 작성합니다. 변호사 마르타는 기자가 진정서 작성에 관여해서는 안 된다고 선을 긋고, 알바로는 펀드 홍보책임자 올리비아 브란트와 전 시의원 우르키수에게 반론 기회를 줍니다.</t>
        </is>
      </c>
    </row>
    <row r="1066">
      <c r="A1066" s="10" t="n">
        <v>1065</v>
      </c>
      <c r="B1066" s="10" t="n">
        <v>71</v>
      </c>
      <c r="C1066" s="10">
        <f>INDEX('부작 목록'!$C$2:$C$96,B1066)</f>
        <v/>
      </c>
      <c r="D1066" s="10" t="inlineStr">
        <is>
          <t>G 시즌2 독립 취재</t>
        </is>
      </c>
      <c r="E1066" s="10" t="n">
        <v>37239</v>
      </c>
      <c r="F1066" s="10" t="n">
        <v>49</v>
      </c>
      <c r="G1066" s="10" t="inlineStr">
        <is>
          <t>몇 주 후, 기사가 나가자 검찰이 예비 조사에 착수하고 시의회는 매각 문제를 놓고 격론을 벌입니다. 그러나 레히나의 퇴거 날은 예정대로 찾아오고, 알바로는 그 아침 현장에 기자로서 증인이 됩니다.</t>
        </is>
      </c>
    </row>
    <row r="1067">
      <c r="A1067" s="10" t="n">
        <v>1066</v>
      </c>
      <c r="B1067" s="10" t="n">
        <v>72</v>
      </c>
      <c r="C1067" s="10">
        <f>INDEX('부작 목록'!$C$2:$C$96,B1067)</f>
        <v/>
      </c>
      <c r="D1067" s="10" t="inlineStr">
        <is>
          <t>G 시즌2 독립 취재</t>
        </is>
      </c>
      <c r="E1067" s="10" t="n">
        <v>37290</v>
      </c>
      <c r="F1067" s="10" t="n">
        <v>52</v>
      </c>
      <c r="G1067" s="10" t="inlineStr">
        <is>
          <t>새로운 취재. 마드리드 도심의 가상 동네 '산 바르톨로' 주민회가 신문사에 편지를 보내옵니다. 지난 십 년 사이 이웃들이 하나둘 떠나고 그 자리를 관광용 단기 임대 아파트가 채우고 있다는 내용입니다. 알바로와 하비에르는 주민회 대표 니카노르의 안내로 동네를 걸으며 첫 취재를 시작합니다.</t>
        </is>
      </c>
    </row>
    <row r="1068">
      <c r="A1068" s="10" t="n">
        <v>1067</v>
      </c>
      <c r="B1068" s="10" t="n">
        <v>72</v>
      </c>
      <c r="C1068" s="10">
        <f>INDEX('부작 목록'!$C$2:$C$96,B1068)</f>
        <v/>
      </c>
      <c r="D1068" s="10" t="inlineStr">
        <is>
          <t>G 시즌2 독립 취재</t>
        </is>
      </c>
      <c r="E1068" s="10" t="n">
        <v>37344</v>
      </c>
      <c r="F1068" s="10" t="n">
        <v>50</v>
      </c>
      <c r="G1068" s="10" t="inlineStr">
        <is>
          <t>알바로가 기술 분석가 마르코스, 도시지리학자 카리다드 아라발과 함께 데이터로 동네의 변화를 지도에 옮깁니다. 주민등록(파드론) 통계와 숙박 플랫폼 광고, 시청 허가 목록을 대조하던 중 첫 번째 지도에 중대한 오류가 발견됩니다. 카밀라는 '계절 임대'라는 법의 빈틈을 짚어 줍니다.</t>
        </is>
      </c>
    </row>
    <row r="1069">
      <c r="A1069" s="10" t="n">
        <v>1068</v>
      </c>
      <c r="B1069" s="10" t="n">
        <v>72</v>
      </c>
      <c r="C1069" s="10">
        <f>INDEX('부작 목록'!$C$2:$C$96,B1069)</f>
        <v/>
      </c>
      <c r="D1069" s="10" t="inlineStr">
        <is>
          <t>G 시즌2 독립 취재</t>
        </is>
      </c>
      <c r="E1069" s="10" t="n">
        <v>37396</v>
      </c>
      <c r="F1069" s="10" t="n">
        <v>52</v>
      </c>
      <c r="G1069" s="10" t="inlineStr">
        <is>
          <t>일주일 후, 무허가로 관광 아파트를 운영하는 리사르도 야마사레스가 익명을 조건으로 인터뷰에 응합니다. 알바로는 그의 반론을 경청하고, 이어 관광객 덕분에 장사가 살아난 바 주인 고요와 아파트 청소로 생계를 꾸리는 콜롬비아 출신 발렌티나를 만납니다. 데이터로 그의 신원이 드러날 수 있다는 윤리적 딜레마가 생깁니다.</t>
        </is>
      </c>
    </row>
    <row r="1070">
      <c r="A1070" s="10" t="n">
        <v>1069</v>
      </c>
      <c r="B1070" s="10" t="n">
        <v>72</v>
      </c>
      <c r="C1070" s="10">
        <f>INDEX('부작 목록'!$C$2:$C$96,B1070)</f>
        <v/>
      </c>
      <c r="D1070" s="10" t="inlineStr">
        <is>
          <t>G 시즌2 독립 취재</t>
        </is>
      </c>
      <c r="E1070" s="10" t="n">
        <v>37450</v>
      </c>
      <c r="F1070" s="10" t="n">
        <v>53</v>
      </c>
      <c r="G1070" s="10" t="inlineStr">
        <is>
          <t>부동산 펀드 토렐루스가 레메이에게 임대차 계약을 갱신하지 않겠다는 내용증명(부로팍스)을 보냅니다. 알바로는 펀드와 시청, 플랫폼에 반론권을 보장하기 위해 질문을 보내고, 신문사 변호사 마르타와 함께 기사 문구 하나하나를 법적으로 검토합니다.</t>
        </is>
      </c>
    </row>
    <row r="1071">
      <c r="A1071" s="10" t="n">
        <v>1070</v>
      </c>
      <c r="B1071" s="10" t="n">
        <v>72</v>
      </c>
      <c r="C1071" s="10">
        <f>INDEX('부작 목록'!$C$2:$C$96,B1071)</f>
        <v/>
      </c>
      <c r="D1071" s="10" t="inlineStr">
        <is>
          <t>G 시즌2 독립 취재</t>
        </is>
      </c>
      <c r="E1071" s="10" t="n">
        <v>37505</v>
      </c>
      <c r="F1071" s="10" t="n">
        <v>55</v>
      </c>
      <c r="G1071" s="10" t="inlineStr">
        <is>
          <t>기사가 일요일판에 실린 뒤 동네는 찬반으로 갈라집니다. 주민회 회의에서는 고요와 리사르도의 목소리까지 엇갈리고, 시청은 단속을 약속하지만 레메이의 사정은 크게 달라지지 않습니다. 마지막으로 알바로는 그녀의 발코니에서 제라늄 화분을 건네받습니다.</t>
        </is>
      </c>
    </row>
    <row r="1072">
      <c r="A1072" s="10" t="n">
        <v>1071</v>
      </c>
      <c r="B1072" s="10" t="n">
        <v>73</v>
      </c>
      <c r="C1072" s="10">
        <f>INDEX('부작 목록'!$C$2:$C$96,B1072)</f>
        <v/>
      </c>
      <c r="D1072" s="10" t="inlineStr">
        <is>
          <t>G 시즌2 독립 취재</t>
        </is>
      </c>
      <c r="E1072" s="10" t="n">
        <v>37562</v>
      </c>
      <c r="F1072" s="10" t="n">
        <v>50</v>
      </c>
      <c r="G1072" s="10" t="inlineStr">
        <is>
          <t>새로운 취재. 여든네 살의 로레토 에레로가 낡은 구두 상자 하나를 들고 신문사를 찾아옵니다. 1971년 가상의 '산 마카리오 병원'에서 낳은 딸이 태어나자마자 죽었다는 말을 들었지만, 그녀는 한 번도 아이의 시신을 보지 못했습니다. 아들 가스파르는 어머니가 또다시 상처받을까 걱정하며 곁을 지킵니다.</t>
        </is>
      </c>
    </row>
    <row r="1073">
      <c r="A1073" s="10" t="n">
        <v>1072</v>
      </c>
      <c r="B1073" s="10" t="n">
        <v>73</v>
      </c>
      <c r="C1073" s="10">
        <f>INDEX('부작 목록'!$C$2:$C$96,B1073)</f>
        <v/>
      </c>
      <c r="D1073" s="10" t="inlineStr">
        <is>
          <t>G 시즌2 독립 취재</t>
        </is>
      </c>
      <c r="E1073" s="10" t="n">
        <v>37614</v>
      </c>
      <c r="F1073" s="10" t="n">
        <v>54</v>
      </c>
      <c r="G1073" s="10" t="inlineStr">
        <is>
          <t>알바로와 하비에르가 기록 보관소를 뒤집니다. 민원 등기소에서는 '사산아 기록부'에 이상한 흔적이 나오지만, 묘지 기록에는 아기의 매장 기록이 없습니다. 피해자 단체의 실비아가 당시의 수법을 설명해 주고, 문서관 풀헨시오의 도움으로 병원 분만 대장을 찾아내지만 1971년 10월의 한 장이 찢겨 나가 있습니다.</t>
        </is>
      </c>
    </row>
    <row r="1074">
      <c r="A1074" s="10" t="n">
        <v>1073</v>
      </c>
      <c r="B1074" s="10" t="n">
        <v>73</v>
      </c>
      <c r="C1074" s="10">
        <f>INDEX('부작 목록'!$C$2:$C$96,B1074)</f>
        <v/>
      </c>
      <c r="D1074" s="10" t="inlineStr">
        <is>
          <t>G 시즌2 독립 취재</t>
        </is>
      </c>
      <c r="E1074" s="10" t="n">
        <v>37670</v>
      </c>
      <c r="F1074" s="10" t="n">
        <v>51</v>
      </c>
      <c r="G1074" s="10" t="inlineStr">
        <is>
          <t>알바로가 아흔한 살의 은퇴 수녀 소르 비시타시온을 요양 시설에서 찾아냅니다. 오십오 년간 침묵해 온 그녀는 떨리는 목소리로 당시 병원에서 있었던 일을 털어놓고, 수도회 본원에 '원장의 장부'가 남아 있다고 알려 줍니다. 수도회 측과의 줄다리기 끝에 열람한 장부에서 결정적인 한 줄이 나옵니다.</t>
        </is>
      </c>
    </row>
    <row r="1075">
      <c r="A1075" s="10" t="n">
        <v>1074</v>
      </c>
      <c r="B1075" s="10" t="n">
        <v>73</v>
      </c>
      <c r="C1075" s="10">
        <f>INDEX('부작 목록'!$C$2:$C$96,B1075)</f>
        <v/>
      </c>
      <c r="D1075" s="10" t="inlineStr">
        <is>
          <t>G 시즌2 독립 취재</t>
        </is>
      </c>
      <c r="E1075" s="10" t="n">
        <v>37723</v>
      </c>
      <c r="F1075" s="10" t="n">
        <v>51</v>
      </c>
      <c r="G1075" s="10" t="inlineStr">
        <is>
          <t>로레토가 유전자 검사를 받지만, 국가 유전자 데이터베이스에서 일치하는 사람은 나오지 않습니다. 알바로와 하비에르는 발렌시아 교구 세례 기록을 통해 1971년 10월생 여성 아순시온 페란디스를 찾아내지만, 그녀의 신원을 공개하거나 먼저 연락하는 것이 옳은지 깊은 윤리적 고민에 빠집니다. 의사의 아들 셀레도니오는 반론권 인터뷰에서 아버지를 강하게 옹호합니다.</t>
        </is>
      </c>
    </row>
    <row r="1076">
      <c r="A1076" s="10" t="n">
        <v>1075</v>
      </c>
      <c r="B1076" s="10" t="n">
        <v>73</v>
      </c>
      <c r="C1076" s="10">
        <f>INDEX('부작 목록'!$C$2:$C$96,B1076)</f>
        <v/>
      </c>
      <c r="D1076" s="10" t="inlineStr">
        <is>
          <t>G 시즌2 독립 취재</t>
        </is>
      </c>
      <c r="E1076" s="10" t="n">
        <v>37776</v>
      </c>
      <c r="F1076" s="10" t="n">
        <v>55</v>
      </c>
      <c r="G1076" s="10" t="inlineStr">
        <is>
          <t>기사가 실린 뒤, 실비아가 중재자로서 로레토의 편지를 아순시온에게 전달합니다. 몇 주 동안의 기다림 끝에 짧은 답장이 도착하지만, 그 안에 완전한 해답은 없습니다. 로레토는 늘 꽃을 놓던 묘지 담장을 다시 찾아갑니다.</t>
        </is>
      </c>
    </row>
    <row r="1077">
      <c r="A1077" s="10" t="n">
        <v>1076</v>
      </c>
      <c r="B1077" s="10" t="n">
        <v>74</v>
      </c>
      <c r="C1077" s="10">
        <f>INDEX('부작 목록'!$C$2:$C$96,B1077)</f>
        <v/>
      </c>
      <c r="D1077" s="10" t="inlineStr">
        <is>
          <t>G 시즌2 독립 취재</t>
        </is>
      </c>
      <c r="E1077" s="10" t="n">
        <v>37833</v>
      </c>
      <c r="F1077" s="10" t="n">
        <v>50</v>
      </c>
      <c r="G1077" s="10" t="inlineStr">
        <is>
          <t>새로운 취재. 하비에르가 한 통의 손편지를 알바로에게 건넵니다. 카스티야 내륙의 가상 마을 '발데시에르소'에서 1936년 가을 사라진 일곱 남자가 마을 외곽의 들판에 묻혀 있다는 내용으로, 손녀 세대는 발굴을 원하고 노인들은 침묵을 원한다고 적혀 있습니다. 알바로는 마을을 찾아가 양쪽의 이야기를 처음으로 듣습니다.</t>
        </is>
      </c>
    </row>
    <row r="1078">
      <c r="A1078" s="10" t="n">
        <v>1077</v>
      </c>
      <c r="B1078" s="10" t="n">
        <v>74</v>
      </c>
      <c r="C1078" s="10">
        <f>INDEX('부작 목록'!$C$2:$C$96,B1078)</f>
        <v/>
      </c>
      <c r="D1078" s="10" t="inlineStr">
        <is>
          <t>G 시즌2 독립 취재</t>
        </is>
      </c>
      <c r="E1078" s="10" t="n">
        <v>37885</v>
      </c>
      <c r="F1078" s="10" t="n">
        <v>58</v>
      </c>
      <c r="G1078" s="10" t="inlineStr">
        <is>
          <t>알바로가 발데시에르소에 사흘 더 머뭅니다. 은퇴한 교사이자 향토사가인 베니그노의 구술 기록 노트를 보고, 들판의 주인 몬카요가 출입을 거부하며, 법의고고학자 이치아르가 발굴 절차를 설명합니다. 그리고 마침내 피델라가 문을 엽니다.</t>
        </is>
      </c>
    </row>
    <row r="1079">
      <c r="A1079" s="10" t="n">
        <v>1078</v>
      </c>
      <c r="B1079" s="10" t="n">
        <v>74</v>
      </c>
      <c r="C1079" s="10">
        <f>INDEX('부작 목록'!$C$2:$C$96,B1079)</f>
        <v/>
      </c>
      <c r="D1079" s="10" t="inlineStr">
        <is>
          <t>G 시즌2 독립 취재</t>
        </is>
      </c>
      <c r="E1079" s="10" t="n">
        <v>37945</v>
      </c>
      <c r="F1079" s="10" t="n">
        <v>60</v>
      </c>
      <c r="G1079" s="10" t="inlineStr">
        <is>
          <t>마드리드로 돌아온 알바로가 지방 문서보관소와 군사법원 기록에서 결정적인 서류를 찾습니다. 그러나 그 서류에는 에르미니오 집안의 이름이 있습니다. 편집국에서는 국장과 마르타가 용어 선택과 고인의 명예 문제를 놓고 알바로와 긴 회의를 엽니다. 그리고 예상치 못한 차질이 생깁니다.</t>
        </is>
      </c>
    </row>
    <row r="1080">
      <c r="A1080" s="10" t="n">
        <v>1079</v>
      </c>
      <c r="B1080" s="10" t="n">
        <v>74</v>
      </c>
      <c r="C1080" s="10">
        <f>INDEX('부작 목록'!$C$2:$C$96,B1080)</f>
        <v/>
      </c>
      <c r="D1080" s="10" t="inlineStr">
        <is>
          <t>G 시즌2 독립 취재</t>
        </is>
      </c>
      <c r="E1080" s="10" t="n">
        <v>38007</v>
      </c>
      <c r="F1080" s="10" t="n">
        <v>56</v>
      </c>
      <c r="G1080" s="10" t="inlineStr">
        <is>
          <t>알바로가 다시 마을을 찾아 에르미니오와 마주 앉습니다. 노인은 아버지가 평생 지고 산 짐을 처음으로 털어놓습니다. 같은 주, 마을 회관에서 열린 임시 의회는 발굴 문제로 격하게 갈라지고, 알바로는 기사 제목 하나를 두고 다시 고민합니다.</t>
        </is>
      </c>
    </row>
    <row r="1081">
      <c r="A1081" s="10" t="n">
        <v>1080</v>
      </c>
      <c r="B1081" s="10" t="n">
        <v>74</v>
      </c>
      <c r="C1081" s="10">
        <f>INDEX('부작 목록'!$C$2:$C$96,B1081)</f>
        <v/>
      </c>
      <c r="D1081" s="10" t="inlineStr">
        <is>
          <t>G 시즌2 독립 취재</t>
        </is>
      </c>
      <c r="E1081" s="10" t="n">
        <v>38065</v>
      </c>
      <c r="F1081" s="10" t="n">
        <v>59</v>
      </c>
      <c r="G1081" s="10" t="inlineStr">
        <is>
          <t>몇 주 후, 지표투과레이더 조사에서 이상 징후가 확인되고 발굴 허가가 나옵니다. 알바로는 마르타와 함께 최종 기사를 검토하며 에르미니오 부친의 이름 문제에 결론을 내립니다. 발굴 첫날, 알바로는 들판 가장자리에 선 마을 사람들을 지켜보며 기사의 마지막 문장을 끝내 쓰지 않습니다.</t>
        </is>
      </c>
    </row>
    <row r="1082">
      <c r="A1082" s="10" t="n">
        <v>1081</v>
      </c>
      <c r="B1082" s="10" t="n">
        <v>75</v>
      </c>
      <c r="C1082" s="10">
        <f>INDEX('부작 목록'!$C$2:$C$96,B1082)</f>
        <v/>
      </c>
      <c r="D1082" s="10" t="inlineStr">
        <is>
          <t>G 시즌2 독립 취재</t>
        </is>
      </c>
      <c r="E1082" s="10" t="n">
        <v>38126</v>
      </c>
      <c r="F1082" s="10" t="n">
        <v>58</v>
      </c>
      <c r="G1082" s="10" t="inlineStr">
        <is>
          <t>새로운 취재. 마르코스가 배달 라이더들의 메신저 채널에서 모은 수백 장의 화면 캡처를 알바로에게 보여 줍니다. 가상의 배달 앱 '사스카(Zasca)'에서 사고를 당한 라이더들이 몇 주 뒤 줄줄이 계정 정지를 당했다는 내용입니다. 알바로는 노동 전문 변호사 모니카와 함께 사고 후 해고된 라이더 예이손을 만나고, 직접 라이더로 일해 보기로 결심합니다.</t>
        </is>
      </c>
    </row>
    <row r="1083">
      <c r="A1083" s="10" t="n">
        <v>1082</v>
      </c>
      <c r="B1083" s="10" t="n">
        <v>75</v>
      </c>
      <c r="C1083" s="10">
        <f>INDEX('부작 목록'!$C$2:$C$96,B1083)</f>
        <v/>
      </c>
      <c r="D1083" s="10" t="inlineStr">
        <is>
          <t>G 시즌2 독립 취재</t>
        </is>
      </c>
      <c r="E1083" s="10" t="n">
        <v>38186</v>
      </c>
      <c r="F1083" s="10" t="n">
        <v>57</v>
      </c>
      <c r="G1083" s="10" t="inlineStr">
        <is>
          <t>다음 주 월요일, 알바로가 마드리드 남부 산업단지에 있는 '로히스티카 리켈메'에서 계약서에 서명하고 앱에 등록합니다. 첫 이틀 동안 그는 광장의 '대기 장소'에서 젊은 라이더 예라이와 베네수엘라 출신 다야나를 만나, 그들의 은어와 일하는 방식을 배우고 자신이 기자라는 사실을 밝힙니다.</t>
        </is>
      </c>
    </row>
    <row r="1084">
      <c r="A1084" s="10" t="n">
        <v>1083</v>
      </c>
      <c r="B1084" s="10" t="n">
        <v>75</v>
      </c>
      <c r="C1084" s="10">
        <f>INDEX('부작 목록'!$C$2:$C$96,B1084)</f>
        <v/>
      </c>
      <c r="D1084" s="10" t="inlineStr">
        <is>
          <t>G 시즌2 독립 취재</t>
        </is>
      </c>
      <c r="E1084" s="10" t="n">
        <v>38245</v>
      </c>
      <c r="F1084" s="10" t="n">
        <v>53</v>
      </c>
      <c r="G1084" s="10" t="inlineStr">
        <is>
          <t>라이더로 일한 지 나흘째, 빗길에서 예라이가 트램 선로에 미끄러져 넘어집니다. 알바로는 그를 응급실에 데려가고, 그 사이 자신의 주문이 '포기'로 처리되어 지수가 떨어집니다. 마르코스는 라이더 200여 명의 지수 기록을 분석하고, 계정을 빌려 일하는 아브두는 알바로에게 어려운 부탁을 합니다.</t>
        </is>
      </c>
    </row>
    <row r="1085">
      <c r="A1085" s="10" t="n">
        <v>1084</v>
      </c>
      <c r="B1085" s="10" t="n">
        <v>75</v>
      </c>
      <c r="C1085" s="10">
        <f>INDEX('부작 목록'!$C$2:$C$96,B1085)</f>
        <v/>
      </c>
      <c r="D1085" s="10" t="inlineStr">
        <is>
          <t>G 시즌2 독립 취재</t>
        </is>
      </c>
      <c r="E1085" s="10" t="n">
        <v>38300</v>
      </c>
      <c r="F1085" s="10" t="n">
        <v>52</v>
      </c>
      <c r="G1085" s="10" t="inlineStr">
        <is>
          <t>전직 사스카 데이터 과학자 카탈리나가 내부고발자로 알바로를 만나 '신뢰도 지수' 모델의 구조를 설명합니다. 모니카는 관련 노동법을 정리하고, 마르타는 문서의 신빙성과 제보자 보호를 꼼꼼히 검토합니다. 그 사이 알바로의 계정이 갑자기 정지되는 차질이 생깁니다.</t>
        </is>
      </c>
    </row>
    <row r="1086">
      <c r="A1086" s="10" t="n">
        <v>1085</v>
      </c>
      <c r="B1086" s="10" t="n">
        <v>75</v>
      </c>
      <c r="C1086" s="10">
        <f>INDEX('부작 목록'!$C$2:$C$96,B1086)</f>
        <v/>
      </c>
      <c r="D1086" s="10" t="inlineStr">
        <is>
          <t>G 시즌2 독립 취재</t>
        </is>
      </c>
      <c r="E1086" s="10" t="n">
        <v>38354</v>
      </c>
      <c r="F1086" s="10" t="n">
        <v>60</v>
      </c>
      <c r="G1086" s="10" t="inlineStr">
        <is>
          <t>알바로가 사스카 본사에서 공공정책 담당 이사 보르하와 반론 인터뷰를 합니다. 기사가 나간 뒤 회사는 사고 관련 신고를 지수 계산에서 제외하겠다고 발표하지만, 예이손의 복직은 여전히 법원의 판단을 기다립니다. 알바로는 배낭을 반납하러 물류센터를 찾고, 월요일 아침 열 시, 다야나의 휴대전화 화면에서 근무 시간대가 30초 만에 사라지는 것을 지켜봅니다.</t>
        </is>
      </c>
    </row>
    <row r="1087">
      <c r="A1087" s="10" t="n">
        <v>1086</v>
      </c>
      <c r="B1087" s="10" t="n">
        <v>76</v>
      </c>
      <c r="C1087" s="10">
        <f>INDEX('부작 목록'!$C$2:$C$96,B1087)</f>
        <v/>
      </c>
      <c r="D1087" s="10" t="inlineStr">
        <is>
          <t>G 시즌2 독립 취재</t>
        </is>
      </c>
      <c r="E1087" s="10" t="n">
        <v>38416</v>
      </c>
      <c r="F1087" s="10" t="n">
        <v>48</v>
      </c>
      <c r="G1087" s="10" t="inlineStr">
        <is>
          <t>새로운 취재. 마드리드 근교의 가상 도시 토레시야 데 라 베가에서, 공립 고등학교 'IES 로스 알멘드로스'의 학부모회(AMPA) 회장 마틸데가 하비에르를 통해 연락해 옵니다. 지역 교육청이 6월 추가시험(convocatoria extraordinaria)에 도입한 온라인 시험감독 AI '투텔리아'가 특정 학생들만 골라 부정행위자로 표시했다는 것입니다. 알바로는 학교 체육관에서 열리는 긴급 학부모 총회에 직접 참석합니다.</t>
        </is>
      </c>
    </row>
    <row r="1088">
      <c r="A1088" s="10" t="n">
        <v>1087</v>
      </c>
      <c r="B1088" s="10" t="n">
        <v>76</v>
      </c>
      <c r="C1088" s="10">
        <f>INDEX('부작 목록'!$C$2:$C$96,B1088)</f>
        <v/>
      </c>
      <c r="D1088" s="10" t="inlineStr">
        <is>
          <t>G 시즌2 독립 취재</t>
        </is>
      </c>
      <c r="E1088" s="10" t="n">
        <v>38466</v>
      </c>
      <c r="F1088" s="10" t="n">
        <v>48</v>
      </c>
      <c r="G1088" s="10" t="inlineStr">
        <is>
          <t>일주일 후, AMPA가 모은 사례 자료를 들고 알바로가 신문사 데이터 분석가 마르코스, 그리고 대학 통계학자 케랄트와 마주 앉습니다. 숫자는 학부모들의 의심을 뒷받침하는 듯하지만, 케랄트는 표본의 한계부터 경고합니다. 그날 밤, 상담교사 비르투데스가 교육청 내부 시범운영 보고서를 들고 나타나고, 알바로는 제보자의 안전이라는 문제에 부딪힙니다.</t>
        </is>
      </c>
    </row>
    <row r="1089">
      <c r="A1089" s="10" t="n">
        <v>1088</v>
      </c>
      <c r="B1089" s="10" t="n">
        <v>76</v>
      </c>
      <c r="C1089" s="10">
        <f>INDEX('부작 목록'!$C$2:$C$96,B1089)</f>
        <v/>
      </c>
      <c r="D1089" s="10" t="inlineStr">
        <is>
          <t>G 시즌2 독립 취재</t>
        </is>
      </c>
      <c r="E1089" s="10" t="n">
        <v>38516</v>
      </c>
      <c r="F1089" s="10" t="n">
        <v>60</v>
      </c>
      <c r="G1089" s="10" t="inlineStr">
        <is>
          <t>알바로가 교육청 평가국장 세바스티안 페냐우베르와 공식 인터뷰를 합니다. 공보담당 이랏체가 배석한 가운데 국장은 행정 용어로 무장한 답변을 이어 갑니다. 인터뷰가 끝난 뒤 알바로는 부모의 동의를 얻어 투렛 증후군을 가진 학생 토비아스와 직접 이야기를 나눕니다.</t>
        </is>
      </c>
    </row>
    <row r="1090">
      <c r="A1090" s="10" t="n">
        <v>1089</v>
      </c>
      <c r="B1090" s="10" t="n">
        <v>76</v>
      </c>
      <c r="C1090" s="10">
        <f>INDEX('부작 목록'!$C$2:$C$96,B1090)</f>
        <v/>
      </c>
      <c r="D1090" s="10" t="inlineStr">
        <is>
          <t>G 시즌2 독립 취재</t>
        </is>
      </c>
      <c r="E1090" s="10" t="n">
        <v>38578</v>
      </c>
      <c r="F1090" s="10" t="n">
        <v>47</v>
      </c>
      <c r="G1090" s="10" t="inlineStr">
        <is>
          <t>알바로가 변호사 마르타, 편집국장과 함께 기사의 법적 위험을 점검합니다. 미성년자 보호, 개인정보, 그리고 내부 문서 취급이 쟁점입니다. 그런데 투텔리아의 법률 대리인이 경고 서한을 보내오고, 두 번째 출처를 확보하지 못하면 핵심 문서를 쓸 수 없다는 결론이 납니다.</t>
        </is>
      </c>
    </row>
    <row r="1091">
      <c r="A1091" s="10" t="n">
        <v>1090</v>
      </c>
      <c r="B1091" s="10" t="n">
        <v>76</v>
      </c>
      <c r="C1091" s="10">
        <f>INDEX('부작 목록'!$C$2:$C$96,B1091)</f>
        <v/>
      </c>
      <c r="D1091" s="10" t="inlineStr">
        <is>
          <t>G 시즌2 독립 취재</t>
        </is>
      </c>
      <c r="E1091" s="10" t="n">
        <v>38627</v>
      </c>
      <c r="F1091" s="10" t="n">
        <v>48</v>
      </c>
      <c r="G1091" s="10" t="inlineStr">
        <is>
          <t>기사가 나간 뒤, 교육청은 투텔리아의 사용을 잠정 중단하고 무효 처리된 시험을 재검토하겠다고 발표합니다. 그러나 학부모 총회는 둘로 갈라지고, 기사의 대가는 예상치 못한 곳에서 돌아옵니다. 알바로는 학교 정문 앞에서 이 취재가 남긴 것들을 마주합니다.</t>
        </is>
      </c>
    </row>
    <row r="1092">
      <c r="A1092" s="10" t="n">
        <v>1091</v>
      </c>
      <c r="B1092" s="10" t="n">
        <v>77</v>
      </c>
      <c r="C1092" s="10">
        <f>INDEX('부작 목록'!$C$2:$C$96,B1092)</f>
        <v/>
      </c>
      <c r="D1092" s="10" t="inlineStr">
        <is>
          <t>G 시즌2 독립 취재</t>
        </is>
      </c>
      <c r="E1092" s="10" t="n">
        <v>38677</v>
      </c>
      <c r="F1092" s="10" t="n">
        <v>48</v>
      </c>
      <c r="G1092" s="10" t="inlineStr">
        <is>
          <t>새로운 취재. "알마르사 강이 우리 아이들을 죽이고 있다"는 영상이 SNS에서 수십만 회 퍼집니다. 강 상류 화학공장 '키미르사' 아래쪽 마을 비야르 데 알마르사에서 소아암이 잇따랐다는 내용입니다. 편집국장은 빨리 쓰라고 재촉하지만, 알바로는 영상을 올린 노아와 백혈병 환아의 어머니 파울라를 먼저 만나러 갑니다.</t>
        </is>
      </c>
    </row>
    <row r="1093">
      <c r="A1093" s="10" t="n">
        <v>1092</v>
      </c>
      <c r="B1093" s="10" t="n">
        <v>77</v>
      </c>
      <c r="C1093" s="10">
        <f>INDEX('부작 목록'!$C$2:$C$96,B1093)</f>
        <v/>
      </c>
      <c r="D1093" s="10" t="inlineStr">
        <is>
          <t>G 시즌2 독립 취재</t>
        </is>
      </c>
      <c r="E1093" s="10" t="n">
        <v>38727</v>
      </c>
      <c r="F1093" s="10" t="n">
        <v>48</v>
      </c>
      <c r="G1093" s="10" t="inlineStr">
        <is>
          <t>며칠 후, 알바로가 바르셀로나의 역학자 몬세라트 프라츠를 찾아가 '군집(cluster)'을 어떻게 판단하는지 배웁니다. 관찰 건수와 기대 건수, 신뢰구간, 그리고 '텍사스 명사수의 오류'까지. 숫자는 무언가를 말하지만, 그것이 원인을 말해 주지는 않습니다.</t>
        </is>
      </c>
    </row>
    <row r="1094">
      <c r="A1094" s="10" t="n">
        <v>1093</v>
      </c>
      <c r="B1094" s="10" t="n">
        <v>77</v>
      </c>
      <c r="C1094" s="10">
        <f>INDEX('부작 목록'!$C$2:$C$96,B1094)</f>
        <v/>
      </c>
      <c r="D1094" s="10" t="inlineStr">
        <is>
          <t>G 시즌2 독립 취재</t>
        </is>
      </c>
      <c r="E1094" s="10" t="n">
        <v>38777</v>
      </c>
      <c r="F1094" s="10" t="n">
        <v>48</v>
      </c>
      <c r="G1094" s="10" t="inlineStr">
        <is>
          <t>알바로가 서류와 현장을 뒤집니다. 하천 관리청의 수질 분석 기록, 2018년 과징금 처분, 그리고 1990년대에 밤마다 탱크를 비웠다고 증언하는 전 공장 노동자 레미히오. 이어 키미르사의 환경담당 이사 오라시오 타보아다가 반론권을 행사하며 뜻밖에 자료를 내놓습니다.</t>
        </is>
      </c>
    </row>
    <row r="1095">
      <c r="A1095" s="10" t="n">
        <v>1094</v>
      </c>
      <c r="B1095" s="10" t="n">
        <v>77</v>
      </c>
      <c r="C1095" s="10">
        <f>INDEX('부작 목록'!$C$2:$C$96,B1095)</f>
        <v/>
      </c>
      <c r="D1095" s="10" t="inlineStr">
        <is>
          <t>G 시즌2 독립 취재</t>
        </is>
      </c>
      <c r="E1095" s="10" t="n">
        <v>38827</v>
      </c>
      <c r="F1095" s="10" t="n">
        <v>47</v>
      </c>
      <c r="G1095" s="10" t="inlineStr">
        <is>
          <t>편집회의에서 알바로와 편집국장이 제목을 두고 정면으로 부딪힙니다. 변호사 마르타와 역학자 몬세라트의 조언 사이에서 기사의 표현 하나하나가 저울질됩니다. 그리고 그날 밤, 파울라는 신중한 기사 초안을 읽고 배신감을 토로합니다.</t>
        </is>
      </c>
    </row>
    <row r="1096">
      <c r="A1096" s="10" t="n">
        <v>1095</v>
      </c>
      <c r="B1096" s="10" t="n">
        <v>77</v>
      </c>
      <c r="C1096" s="10">
        <f>INDEX('부작 목록'!$C$2:$C$96,B1096)</f>
        <v/>
      </c>
      <c r="D1096" s="10" t="inlineStr">
        <is>
          <t>G 시즌2 독립 취재</t>
        </is>
      </c>
      <c r="E1096" s="10" t="n">
        <v>38876</v>
      </c>
      <c r="F1096" s="10" t="n">
        <v>53</v>
      </c>
      <c r="G1096" s="10" t="inlineStr">
        <is>
          <t>기사가 나간 뒤, 지역 보건당국은 공식 역학조사를 발표하지만 결과까지는 2년이 걸린다고 말합니다. 노아는 알바로를 "미지근한 기자"라 부르고, 공장은 기사를 자신에게 유리하게 해석합니다. 알바로는 집에서 카밀라와 '불확실성'에 대해 이야기한 뒤, 마지막으로 소아암 병동의 파울라를 찾아갑니다.</t>
        </is>
      </c>
    </row>
    <row r="1097">
      <c r="A1097" s="10" t="n">
        <v>1096</v>
      </c>
      <c r="B1097" s="10" t="n">
        <v>78</v>
      </c>
      <c r="C1097" s="10">
        <f>INDEX('부작 목록'!$C$2:$C$96,B1097)</f>
        <v/>
      </c>
      <c r="D1097" s="10" t="inlineStr">
        <is>
          <t>G 시즌2 독립 취재</t>
        </is>
      </c>
      <c r="E1097" s="10" t="n">
        <v>38931</v>
      </c>
      <c r="F1097" s="10" t="n">
        <v>59</v>
      </c>
      <c r="G1097" s="10" t="inlineStr">
        <is>
          <t>새로운 취재. 3년째 이어지는 가뭄 속에, 과달키비르강 하류의 보호 습지 '마리스마 데 로스 알바라네스' 옆 마을 비야누에바 델 루시오에서 소농 토니 모야노가 신문사에 손편지를 보냅니다. 알바로와 하비에르는 직접 차를 몰고 내려가, 바닥이 드러난 석호와 밤마다 울리는 펌프 소리를 확인합니다.</t>
        </is>
      </c>
    </row>
    <row r="1098">
      <c r="A1098" s="10" t="n">
        <v>1097</v>
      </c>
      <c r="B1098" s="10" t="n">
        <v>78</v>
      </c>
      <c r="C1098" s="10">
        <f>INDEX('부작 목록'!$C$2:$C$96,B1098)</f>
        <v/>
      </c>
      <c r="D1098" s="10" t="inlineStr">
        <is>
          <t>G 시즌2 독립 취재</t>
        </is>
      </c>
      <c r="E1098" s="10" t="n">
        <v>38992</v>
      </c>
      <c r="F1098" s="10" t="n">
        <v>54</v>
      </c>
      <c r="G1098" s="10" t="inlineStr">
        <is>
          <t>몇 주 후 마드리드. 알바로는 마르코스와 함께 무료로 공개된 위성 사진을 분석해, 석호가 줄어드는 동안 아그로알바르의 관개 면적이 두 배로 늘어난 사실을 확인합니다. 이어 지역 배전회사 기술자 플로렌시오가 익명으로 넘긴 전력 소비 자료를 두고, 마르타와 함께 자료의 정당성과 제보자 보호 문제를 따집니다.</t>
        </is>
      </c>
    </row>
    <row r="1099">
      <c r="A1099" s="10" t="n">
        <v>1098</v>
      </c>
      <c r="B1099" s="10" t="n">
        <v>78</v>
      </c>
      <c r="C1099" s="10">
        <f>INDEX('부작 목록'!$C$2:$C$96,B1099)</f>
        <v/>
      </c>
      <c r="D1099" s="10" t="inlineStr">
        <is>
          <t>G 시즌2 독립 취재</t>
        </is>
      </c>
      <c r="E1099" s="10" t="n">
        <v>39048</v>
      </c>
      <c r="F1099" s="10" t="n">
        <v>50</v>
      </c>
      <c r="G1099" s="10" t="inlineStr">
        <is>
          <t>몇 주 후, 알바로는 다시 마을로 내려가 은퇴한 우물 굴착공 피델 킨테로를 만나 밤에 몰래 판 '관정'의 실체를 듣습니다. 그러나 소농 협동조합 모임에서 기사가 마을 전체의 생계를 끝장낼 것이라는 반발에 부딪히고, 토니마저 자기 밭에도 허가 없는 작은 우물이 있다고 털어놓으며 알바로는 딜레마에 빠집니다.</t>
        </is>
      </c>
    </row>
    <row r="1100">
      <c r="A1100" s="10" t="n">
        <v>1099</v>
      </c>
      <c r="B1100" s="10" t="n">
        <v>78</v>
      </c>
      <c r="C1100" s="10">
        <f>INDEX('부작 목록'!$C$2:$C$96,B1100)</f>
        <v/>
      </c>
      <c r="D1100" s="10" t="inlineStr">
        <is>
          <t>G 시즌2 독립 취재</t>
        </is>
      </c>
      <c r="E1100" s="10" t="n">
        <v>39100</v>
      </c>
      <c r="F1100" s="10" t="n">
        <v>55</v>
      </c>
      <c r="G1100" s="10" t="inlineStr">
        <is>
          <t>몇 주 후, 알바로는 대학의 수문지질학자 아이노아 살바티에라와 함께 습지의 지하수 관측공을 확인하고, 지하수위가 18미터나 낮아진 '양수 원뿔'의 증거를 얻습니다. 이어 세비야의 아그로알바르 본사에서 다미안 오헤다 대표에게 반론권을 보장하는 인터뷰를 하고, 마르타와 함께 기사의 표현 하나하나를 검토합니다.</t>
        </is>
      </c>
    </row>
    <row r="1101">
      <c r="A1101" s="10" t="n">
        <v>1100</v>
      </c>
      <c r="B1101" s="10" t="n">
        <v>78</v>
      </c>
      <c r="C1101" s="10">
        <f>INDEX('부작 목록'!$C$2:$C$96,B1101)</f>
        <v/>
      </c>
      <c r="D1101" s="10" t="inlineStr">
        <is>
          <t>G 시즌2 독립 취재</t>
        </is>
      </c>
      <c r="E1101" s="10" t="n">
        <v>39157</v>
      </c>
      <c r="F1101" s="10" t="n">
        <v>47</v>
      </c>
      <c r="G1101" s="10" t="inlineStr">
        <is>
          <t>몇 주 후, 기사가 나가고 유역 수자원청과 치안대 환경보호반(SEPRONA)이 합동 단속을 벌여 무허가 관정 19곳을 봉인합니다. 아그로알바르 직원들이 '마드리드 기자'에 항의하는 시위를 벌이고 마을은 둘로 갈라지지만, 토니는 스스로 자기 우물을 신고합니다. 마지막 장면, 알바로와 토니는 여전히 메마른 석호 가에 섭니다.</t>
        </is>
      </c>
    </row>
    <row r="1102">
      <c r="A1102" s="10" t="n">
        <v>1101</v>
      </c>
      <c r="B1102" s="10" t="n">
        <v>79</v>
      </c>
      <c r="C1102" s="10">
        <f>INDEX('부작 목록'!$C$2:$C$96,B1102)</f>
        <v/>
      </c>
      <c r="D1102" s="10" t="inlineStr">
        <is>
          <t>G 시즌2 독립 취재</t>
        </is>
      </c>
      <c r="E1102" s="10" t="n">
        <v>39206</v>
      </c>
      <c r="F1102" s="10" t="n">
        <v>50</v>
      </c>
      <c r="G1102" s="10" t="inlineStr">
        <is>
          <t>새로운 취재는 이번에는 실패에서 시작합니다. 알바로가 지역 의료조달청장 테레사 킨타니야가 1,400만 유로짜리 병상 계약을 특정 업체에 몰아줬다고 보도한 다음 날 아침, 기사의 핵심 증거였던 이메일이 위조됐다는 반박과 내용증명이 편집국에 도착합니다.</t>
        </is>
      </c>
    </row>
    <row r="1103">
      <c r="A1103" s="10" t="n">
        <v>1102</v>
      </c>
      <c r="B1103" s="10" t="n">
        <v>79</v>
      </c>
      <c r="C1103" s="10">
        <f>INDEX('부작 목록'!$C$2:$C$96,B1103)</f>
        <v/>
      </c>
      <c r="D1103" s="10" t="inlineStr">
        <is>
          <t>G 시즌2 독립 취재</t>
        </is>
      </c>
      <c r="E1103" s="10" t="n">
        <v>39258</v>
      </c>
      <c r="F1103" s="10" t="n">
        <v>46</v>
      </c>
      <c r="G1103" s="10" t="inlineStr">
        <is>
          <t>알바로가 하비에르와 함께 밤늦게 자신의 취재수첩과 메시지 기록을 처음부터 다시 훑으며, 제보자 니콜라스 페드로사가 어떻게 자신을 속였는지 거꾸로 추적합니다. 하나씩 짚을수록, 속은 것만이 아니라 스스로 확인을 건너뛴 순간들이 드러납니다.</t>
        </is>
      </c>
    </row>
    <row r="1104">
      <c r="A1104" s="10" t="n">
        <v>1103</v>
      </c>
      <c r="B1104" s="10" t="n">
        <v>79</v>
      </c>
      <c r="C1104" s="10">
        <f>INDEX('부작 목록'!$C$2:$C$96,B1104)</f>
        <v/>
      </c>
      <c r="D1104" s="10" t="inlineStr">
        <is>
          <t>G 시즌2 독립 취재</t>
        </is>
      </c>
      <c r="E1104" s="10" t="n">
        <v>39306</v>
      </c>
      <c r="F1104" s="10" t="n">
        <v>46</v>
      </c>
      <c r="G1104" s="10" t="inlineStr">
        <is>
          <t>알바로는 마르타, 편집장과 함께 '거짓말한 제보자에게도 취재원 보호 의무가 남아 있는가'라는 윤리적 문제를 두고 격론을 벌입니다. 이어 마침내 페드로사를 찾아내 직접 대면하지만, 그는 반성은커녕 체면을 살려줄 '진짜 증거'를 내밀며 알바로를 다시 유혹합니다.</t>
        </is>
      </c>
    </row>
    <row r="1105">
      <c r="A1105" s="10" t="n">
        <v>1104</v>
      </c>
      <c r="B1105" s="10" t="n">
        <v>79</v>
      </c>
      <c r="C1105" s="10">
        <f>INDEX('부작 목록'!$C$2:$C$96,B1105)</f>
        <v/>
      </c>
      <c r="D1105" s="10" t="inlineStr">
        <is>
          <t>G 시즌2 독립 취재</t>
        </is>
      </c>
      <c r="E1105" s="10" t="n">
        <v>39354</v>
      </c>
      <c r="F1105" s="10" t="n">
        <v>47</v>
      </c>
      <c r="G1105" s="10" t="inlineStr">
        <is>
          <t>알바로는 편집장, 마르타, 독자권익위원 앙헬라 올리벤사와 함께 정정·사과문을 한 문장씩 다듬으며, 법적 책임을 우려하는 표현과 진심 어린 사과 사이에서 줄다리기를 합니다. 그리고 변호사 고로스티사가 동석한 자리에서 킨타니야를 직접 만나 사과합니다.</t>
        </is>
      </c>
    </row>
    <row r="1106">
      <c r="A1106" s="10" t="n">
        <v>1105</v>
      </c>
      <c r="B1106" s="10" t="n">
        <v>79</v>
      </c>
      <c r="C1106" s="10">
        <f>INDEX('부작 목록'!$C$2:$C$96,B1106)</f>
        <v/>
      </c>
      <c r="D1106" s="10" t="inlineStr">
        <is>
          <t>G 시즌2 독립 취재</t>
        </is>
      </c>
      <c r="E1106" s="10" t="n">
        <v>39403</v>
      </c>
      <c r="F1106" s="10" t="n">
        <v>47</v>
      </c>
      <c r="G1106" s="10" t="inlineStr">
        <is>
          <t>정정보도가 1면에 실린 뒤, 알바로는 독자들의 반응과 동료들의 시선, 그리고 자신에 대한 실망을 고스란히 감당합니다. 카밀라와의 밤 대화 끝에, 그는 자신이 어떻게 속았는지를 독자에게 숨김없이 밝히는 긴 글을 쓰고 조용히 다음 걸음을 내딛습니다.</t>
        </is>
      </c>
    </row>
    <row r="1107">
      <c r="A1107" s="10" t="n">
        <v>1106</v>
      </c>
      <c r="B1107" s="10" t="n">
        <v>80</v>
      </c>
      <c r="C1107" s="10">
        <f>INDEX('부작 목록'!$C$2:$C$96,B1107)</f>
        <v/>
      </c>
      <c r="D1107" s="10" t="inlineStr">
        <is>
          <t>G 시즌2 독립 취재</t>
        </is>
      </c>
      <c r="E1107" s="10" t="n">
        <v>39452</v>
      </c>
      <c r="F1107" s="10" t="n">
        <v>53</v>
      </c>
      <c r="G1107" s="10" t="inlineStr">
        <is>
          <t>새로운 취재는 하비에르의 일요일 면회에서 시작됩니다. 투자펀드 알데바란 캐피털에 인수된 요양원 체인 '레시덴시아스 솔라스'에서 지내는 어머니 과달루페의 이마에 멍이 들어 있고, 몰라보게 야위었습니다. 야간 요양보호사 로사 우아만이 조심스럽게 털어놓은 인력 사정을 들은 하비에르는 알바로에게 전화를 겁니다.</t>
        </is>
      </c>
    </row>
    <row r="1108">
      <c r="A1108" s="10" t="n">
        <v>1107</v>
      </c>
      <c r="B1108" s="10" t="n">
        <v>80</v>
      </c>
      <c r="C1108" s="10">
        <f>INDEX('부작 목록'!$C$2:$C$96,B1108)</f>
        <v/>
      </c>
      <c r="D1108" s="10" t="inlineStr">
        <is>
          <t>G 시즌2 독립 취재</t>
        </is>
      </c>
      <c r="E1108" s="10" t="n">
        <v>39507</v>
      </c>
      <c r="F1108" s="10" t="n">
        <v>45</v>
      </c>
      <c r="G1108" s="10" t="inlineStr">
        <is>
          <t>편집국에서 편집장은 이해충돌을 이유로 하비에르가 이 취재를 이끌 수 없다고 선을 긋고, 알바로가 책임을 맡습니다. 카밀라는 펀드의 회계 구조(건물 매각 후 재임차, 운영사에 떠넘긴 부채)를, 마르코스는 정보공개청구로 받은 감사 보고서 데이터를 분석합니다.</t>
        </is>
      </c>
    </row>
    <row r="1109">
      <c r="A1109" s="10" t="n">
        <v>1108</v>
      </c>
      <c r="B1109" s="10" t="n">
        <v>80</v>
      </c>
      <c r="C1109" s="10">
        <f>INDEX('부작 목록'!$C$2:$C$96,B1109)</f>
        <v/>
      </c>
      <c r="D1109" s="10" t="inlineStr">
        <is>
          <t>G 시즌2 독립 취재</t>
        </is>
      </c>
      <c r="E1109" s="10" t="n">
        <v>39554</v>
      </c>
      <c r="F1109" s="10" t="n">
        <v>49</v>
      </c>
      <c r="G1109" s="10" t="inlineStr">
        <is>
          <t>알바로가 현장 취재에 나섭니다. 가족협회 대표 엘로이 이루르순를 만나고 전직 조리사와 요양보호사들을 인터뷰하지만, 회사가 '언론 접촉 금지' 내부 지침을 내리자 핵심 증언자인 로사가 겁에 질려 증언을 철회하려 합니다. 알바로는 그녀를 보호하는 일과 기사의 힘 사이에서 갈등합니다.</t>
        </is>
      </c>
    </row>
    <row r="1110">
      <c r="A1110" s="10" t="n">
        <v>1109</v>
      </c>
      <c r="B1110" s="10" t="n">
        <v>80</v>
      </c>
      <c r="C1110" s="10">
        <f>INDEX('부작 목록'!$C$2:$C$96,B1110)</f>
        <v/>
      </c>
      <c r="D1110" s="10" t="inlineStr">
        <is>
          <t>G 시즌2 독립 취재</t>
        </is>
      </c>
      <c r="E1110" s="10" t="n">
        <v>39605</v>
      </c>
      <c r="F1110" s="10" t="n">
        <v>53</v>
      </c>
      <c r="G1110" s="10" t="inlineStr">
        <is>
          <t>알바로는 공공-민간 위탁 구조를 파고듭니다. 자치정부 돌봄국장 루르데스 알멘드랄을 인터뷰해 감독 체계의 허점을 확인하고, 마르타가 동석한 가운데 솔라스 운영이사 헤르바시오 아르테체에게 반론권을 보장합니다. 아르테체는 하비에르의 어머니를 은근히 언급하며 압박합니다.</t>
        </is>
      </c>
    </row>
    <row r="1111">
      <c r="A1111" s="10" t="n">
        <v>1110</v>
      </c>
      <c r="B1111" s="10" t="n">
        <v>80</v>
      </c>
      <c r="C1111" s="10">
        <f>INDEX('부작 목록'!$C$2:$C$96,B1111)</f>
        <v/>
      </c>
      <c r="D1111" s="10" t="inlineStr">
        <is>
          <t>G 시즌2 독립 취재</t>
        </is>
      </c>
      <c r="E1111" s="10" t="n">
        <v>39660</v>
      </c>
      <c r="F1111" s="10" t="n">
        <v>51</v>
      </c>
      <c r="G1111" s="10" t="inlineStr">
        <is>
          <t>기사가 이해충돌 고지와 함께 일요일 1면에 실립니다. 자치정부의 불시 감사와 인력 기준 강화 발표가 이어지지만, 펀드는 체인을 다른 펀드에 매각할 준비를 합니다. 하비에르는 어머니 곁에서 저녁을 먹이며, 무엇이 바뀌었고 무엇이 그대로인지 조용히 되새깁니다.</t>
        </is>
      </c>
    </row>
    <row r="1112">
      <c r="A1112" s="10" t="n">
        <v>1111</v>
      </c>
      <c r="B1112" s="10" t="n">
        <v>81</v>
      </c>
      <c r="C1112" s="10">
        <f>INDEX('부작 목록'!$C$2:$C$96,B1112)</f>
        <v/>
      </c>
      <c r="D1112" s="10" t="inlineStr">
        <is>
          <t>G 시즌2 독립 취재</t>
        </is>
      </c>
      <c r="E1112" s="10" t="n">
        <v>39713</v>
      </c>
      <c r="F1112" s="10" t="n">
        <v>47</v>
      </c>
      <c r="G1112" s="10" t="inlineStr">
        <is>
          <t>새로운 취재. 마드리드의 한 대학에 다니는 생물학과 학생 바네사가 캠퍼스 곳곳에 붙은 난자 기증 '보상금' 광고 전단을 들고 신문사를 찾아옵니다. 알바로와 하비에르는 편집국 회의실에서 그녀와 함께 광고 문구를 한 줄씩 뜯어보기 시작합니다.</t>
        </is>
      </c>
    </row>
    <row r="1113">
      <c r="A1113" s="10" t="n">
        <v>1112</v>
      </c>
      <c r="B1113" s="10" t="n">
        <v>81</v>
      </c>
      <c r="C1113" s="10">
        <f>INDEX('부작 목록'!$C$2:$C$96,B1113)</f>
        <v/>
      </c>
      <c r="D1113" s="10" t="inlineStr">
        <is>
          <t>G 시즌2 독립 취재</t>
        </is>
      </c>
      <c r="E1113" s="10" t="n">
        <v>39762</v>
      </c>
      <c r="F1113" s="10" t="n">
        <v>46</v>
      </c>
      <c r="G1113" s="10" t="inlineStr">
        <is>
          <t>몇 주 후, 알바로가 기증을 일곱 번 한 카나리아 출신 학생 사이라를 대학가 근처의 조용한 카페에서 만납니다. 이어서 그는 의료윤리 전문가인 고니 박사와 통화하며 사이라의 경험을 윤리적 원칙에 비추어 정리합니다.</t>
        </is>
      </c>
    </row>
    <row r="1114">
      <c r="A1114" s="10" t="n">
        <v>1113</v>
      </c>
      <c r="B1114" s="10" t="n">
        <v>81</v>
      </c>
      <c r="C1114" s="10">
        <f>INDEX('부작 목록'!$C$2:$C$96,B1114)</f>
        <v/>
      </c>
      <c r="D1114" s="10" t="inlineStr">
        <is>
          <t>G 시즌2 독립 취재</t>
        </is>
      </c>
      <c r="E1114" s="10" t="n">
        <v>39810</v>
      </c>
      <c r="F1114" s="10" t="n">
        <v>47</v>
      </c>
      <c r="G1114" s="10" t="inlineStr">
        <is>
          <t>알바로는 그룹 '페르티비아'의 전직 기증자 코디네이터 에두르네를 만나, 그녀가 퇴사 전에 보관한 기증자 데이터 파일을 받습니다. 마르코스가 데이터를 분석하던 중 사이라가 갑자기 증언을 철회하겠다고 연락해 오고, 신문사는 민감한 의료 정보를 어떻게 다뤄야 할지 윤리적 딜레마에 빠집니다.</t>
        </is>
      </c>
    </row>
    <row r="1115">
      <c r="A1115" s="10" t="n">
        <v>1114</v>
      </c>
      <c r="B1115" s="10" t="n">
        <v>81</v>
      </c>
      <c r="C1115" s="10">
        <f>INDEX('부작 목록'!$C$2:$C$96,B1115)</f>
        <v/>
      </c>
      <c r="D1115" s="10" t="inlineStr">
        <is>
          <t>G 시즌2 독립 취재</t>
        </is>
      </c>
      <c r="E1115" s="10" t="n">
        <v>39859</v>
      </c>
      <c r="F1115" s="10" t="n">
        <v>46</v>
      </c>
      <c r="G1115" s="10" t="inlineStr">
        <is>
          <t>알바로가 반론권 보장을 위해 클리니카 나탈리스의 의료 책임자 라스에라스 박사와 홍보 담당자를 인터뷰합니다. 그 뒤 마르타와 함께 원고를 한 문장씩 법률 검토합니다.</t>
        </is>
      </c>
    </row>
    <row r="1116">
      <c r="A1116" s="10" t="n">
        <v>1115</v>
      </c>
      <c r="B1116" s="10" t="n">
        <v>81</v>
      </c>
      <c r="C1116" s="10">
        <f>INDEX('부작 목록'!$C$2:$C$96,B1116)</f>
        <v/>
      </c>
      <c r="D1116" s="10" t="inlineStr">
        <is>
          <t>G 시즌2 독립 취재</t>
        </is>
      </c>
      <c r="E1116" s="10" t="n">
        <v>39907</v>
      </c>
      <c r="F1116" s="10" t="n">
        <v>48</v>
      </c>
      <c r="G1116" s="10" t="inlineStr">
        <is>
          <t>보도가 나간 지 열흘 후, 바네사의 대학에서 학생회가 난자 기증에 관한 공개 토론회를 엽니다. 알바로는 객석 뒤편에서 토론을 지켜보고, 행사가 끝난 뒤 뜻밖의 이메일 한 통을 받습니다.</t>
        </is>
      </c>
    </row>
    <row r="1117">
      <c r="A1117" s="10" t="n">
        <v>1116</v>
      </c>
      <c r="B1117" s="10" t="n">
        <v>82</v>
      </c>
      <c r="C1117" s="10">
        <f>INDEX('부작 목록'!$C$2:$C$96,B1117)</f>
        <v/>
      </c>
      <c r="D1117" s="10" t="inlineStr">
        <is>
          <t>G 시즌2 독립 취재</t>
        </is>
      </c>
      <c r="E1117" s="10" t="n">
        <v>39957</v>
      </c>
      <c r="F1117" s="10" t="n">
        <v>54</v>
      </c>
      <c r="G1117" s="10" t="inlineStr">
        <is>
          <t>새로운 취재. 마드리드 남부의 간호사 마루하가 알바로의 칼럼을 읽고 이메일을 보내옵니다. 열일곱 살 아들 하코보가 아버지의 신분증으로 온라인 스포츠 도박 계정을 만들어 4천 유로 넘게 잃었다는 내용입니다. 알바로는 그 가족의 부엌 식탁에 앉아 이야기를 듣습니다.</t>
        </is>
      </c>
    </row>
    <row r="1118">
      <c r="A1118" s="10" t="n">
        <v>1117</v>
      </c>
      <c r="B1118" s="10" t="n">
        <v>82</v>
      </c>
      <c r="C1118" s="10">
        <f>INDEX('부작 목록'!$C$2:$C$96,B1118)</f>
        <v/>
      </c>
      <c r="D1118" s="10" t="inlineStr">
        <is>
          <t>G 시즌2 독립 취재</t>
        </is>
      </c>
      <c r="E1118" s="10" t="n">
        <v>40013</v>
      </c>
      <c r="F1118" s="10" t="n">
        <v>45</v>
      </c>
      <c r="G1118" s="10" t="inlineStr">
        <is>
          <t>몇 주 후, 알바로와 하비에르는 마르코스와 카밀라가 만든 데이터 지도를 들고 마드리드 남부의 학교 주변 도박장들을 직접 둘러봅니다. 하교 시간에 도박장 앞을 관찰하고, 고등학교 진로상담 교사와 도박장 직원을 인터뷰합니다.</t>
        </is>
      </c>
    </row>
    <row r="1119">
      <c r="A1119" s="10" t="n">
        <v>1118</v>
      </c>
      <c r="B1119" s="10" t="n">
        <v>82</v>
      </c>
      <c r="C1119" s="10">
        <f>INDEX('부작 목록'!$C$2:$C$96,B1119)</f>
        <v/>
      </c>
      <c r="D1119" s="10" t="inlineStr">
        <is>
          <t>G 시즌2 독립 취재</t>
        </is>
      </c>
      <c r="E1119" s="10" t="n">
        <v>40060</v>
      </c>
      <c r="F1119" s="10" t="n">
        <v>46</v>
      </c>
      <c r="G1119" s="10" t="inlineStr">
        <is>
          <t>알바로가 공립병원 행동중독 클리닉의 아리사발라가 박사를 찾아가 도박 중독의 심리학적 메커니즘을 묻습니다. 이후 부모와 마르타가 정한 조건 아래, 하코보가 처음으로 알바로와 단둘이 이야기하며 텔레그램 '팁스터'의 실체를 보여 줍니다.</t>
        </is>
      </c>
    </row>
    <row r="1120">
      <c r="A1120" s="10" t="n">
        <v>1119</v>
      </c>
      <c r="B1120" s="10" t="n">
        <v>82</v>
      </c>
      <c r="C1120" s="10">
        <f>INDEX('부작 목록'!$C$2:$C$96,B1120)</f>
        <v/>
      </c>
      <c r="D1120" s="10" t="inlineStr">
        <is>
          <t>G 시즌2 독립 취재</t>
        </is>
      </c>
      <c r="E1120" s="10" t="n">
        <v>40108</v>
      </c>
      <c r="F1120" s="10" t="n">
        <v>51</v>
      </c>
      <c r="G1120" s="10" t="inlineStr">
        <is>
          <t>알바로가 국회 근처 레스토랑에서 온라인 도박업계 협회의 대관 담당 오리올 벤드렐과 점심 인터뷰를 합니다. 그런데 그날 저녁, 하코보가 다시 도박을 했다는 소식이 들려오고, 알바로는 자신의 취재가 가족에게 상처가 되고 있는 건 아닌지 고민에 빠집니다.</t>
        </is>
      </c>
    </row>
    <row r="1121">
      <c r="A1121" s="10" t="n">
        <v>1120</v>
      </c>
      <c r="B1121" s="10" t="n">
        <v>82</v>
      </c>
      <c r="C1121" s="10">
        <f>INDEX('부작 목록'!$C$2:$C$96,B1121)</f>
        <v/>
      </c>
      <c r="D1121" s="10" t="inlineStr">
        <is>
          <t>G 시즌2 독립 취재</t>
        </is>
      </c>
      <c r="E1121" s="10" t="n">
        <v>40161</v>
      </c>
      <c r="F1121" s="10" t="n">
        <v>47</v>
      </c>
      <c r="G1121" s="10" t="inlineStr">
        <is>
          <t>보도가 나간 지 한 달 후, 하원 위원회에서 도박 광고 규제 개정안 청문회가 열리고 알바로는 기자석에서 벤드렐과 아리사발라가 박사의 발언을 듣습니다. 그 주말, 그는 동네 축구장에서 일라리오와 하코보를 다시 만납니다.</t>
        </is>
      </c>
    </row>
    <row r="1122">
      <c r="A1122" s="10" t="n">
        <v>1121</v>
      </c>
      <c r="B1122" s="10" t="n">
        <v>83</v>
      </c>
      <c r="C1122" s="10">
        <f>INDEX('부작 목록'!$C$2:$C$96,B1122)</f>
        <v/>
      </c>
      <c r="D1122" s="10" t="inlineStr">
        <is>
          <t>G 시즌2 독립 취재</t>
        </is>
      </c>
      <c r="E1122" s="10" t="n">
        <v>40210</v>
      </c>
      <c r="F1122" s="10" t="n">
        <v>48</v>
      </c>
      <c r="G1122" s="10" t="inlineStr">
        <is>
          <t>새로운 취재. 가상의 지방 철도 노선 발데카스트로 커브에서 87명이 숨진 탈선 사고가 일어난 지 6년, 알바로가 아무 언론도 찾지 않는 추모식에 갑니다. 공식 원인은 '기관사 과실'로 정리되었지만, 희생자 가족 협회장 아센시온은 6년간 답을 얻지 못한 질문들이 담긴 상자를 그에게 건넵니다.</t>
        </is>
      </c>
    </row>
    <row r="1123">
      <c r="A1123" s="10" t="n">
        <v>1122</v>
      </c>
      <c r="B1123" s="10" t="n">
        <v>83</v>
      </c>
      <c r="C1123" s="10">
        <f>INDEX('부작 목록'!$C$2:$C$96,B1123)</f>
        <v/>
      </c>
      <c r="D1123" s="10" t="inlineStr">
        <is>
          <t>G 시즌2 독립 취재</t>
        </is>
      </c>
      <c r="E1123" s="10" t="n">
        <v>40260</v>
      </c>
      <c r="F1123" s="10" t="n">
        <v>48</v>
      </c>
      <c r="G1123" s="10" t="inlineStr">
        <is>
          <t>며칠 후, 알바로와 하비에르가 아빌라에 사는 은퇴 철도 기술자 루포 킨타날을 찾아가 공식 사고조사 보고서를 읽는 법을 배웁니다. 그는 '직접 원인'과 '기여 요인'의 차이, 주어 없는 문장과 '확인되지 않음' 같은 책임 회피형 표현을 하나씩 짚어 주고, 공개본의 부록 목록에서 빠진 문서 하나를 찾게 합니다.</t>
        </is>
      </c>
    </row>
    <row r="1124">
      <c r="A1124" s="10" t="n">
        <v>1123</v>
      </c>
      <c r="B1124" s="10" t="n">
        <v>83</v>
      </c>
      <c r="C1124" s="10">
        <f>INDEX('부작 목록'!$C$2:$C$96,B1124)</f>
        <v/>
      </c>
      <c r="D1124" s="10" t="inlineStr">
        <is>
          <t>G 시즌2 독립 취재</t>
        </is>
      </c>
      <c r="E1124" s="10" t="n">
        <v>40310</v>
      </c>
      <c r="F1124" s="10" t="n">
        <v>56</v>
      </c>
      <c r="G1124" s="10" t="inlineStr">
        <is>
          <t>석 달 후, 정보공개 청구가 거절되자 알바로는 당시 안전 부서 기술자였던 이시드로 오찬디아노를 찾아냅니다. 그가 건넨 내부 투자위원회 회의록에는 커브의 자동 감속 장치 설치가 '예산 사정에 따른 재조정'으로 미뤄진 기록과, 그가 직접 쓴 위험 경고 보고서가 들어 있습니다. 마르코스가 문서를 검증하고 마르타가 법적 위험을 따지는 사이, 이시드로는 신원 노출을 두려워해 손을 떼겠다고 합니다.</t>
        </is>
      </c>
    </row>
    <row r="1125">
      <c r="A1125" s="10" t="n">
        <v>1124</v>
      </c>
      <c r="B1125" s="10" t="n">
        <v>83</v>
      </c>
      <c r="C1125" s="10">
        <f>INDEX('부작 목록'!$C$2:$C$96,B1125)</f>
        <v/>
      </c>
      <c r="D1125" s="10" t="inlineStr">
        <is>
          <t>G 시즌2 독립 취재</t>
        </is>
      </c>
      <c r="E1125" s="10" t="n">
        <v>40368</v>
      </c>
      <c r="F1125" s="10" t="n">
        <v>57</v>
      </c>
      <c r="G1125" s="10" t="inlineStr">
        <is>
          <t>1년 후, 기관사 미켈 비요드레의 재판이 다가옵니다. 알바로가 그를 인터뷰한 사실이 알려지자 협회 일부가 배신감을 느끼고, 아센시온과의 관계가 흔들립니다. 한편 카밀라는 공개된 예산·결산 자료만으로 연기된 투자의 흔적을 독립적으로 재구성하고, 인프라라일 대변인은 반론권 질의에 책임 회피형 문구로만 답합니다.</t>
        </is>
      </c>
    </row>
    <row r="1126">
      <c r="A1126" s="10" t="n">
        <v>1125</v>
      </c>
      <c r="B1126" s="10" t="n">
        <v>83</v>
      </c>
      <c r="C1126" s="10">
        <f>INDEX('부작 목록'!$C$2:$C$96,B1126)</f>
        <v/>
      </c>
      <c r="D1126" s="10" t="inlineStr">
        <is>
          <t>G 시즌2 독립 취재</t>
        </is>
      </c>
      <c r="E1126" s="10" t="n">
        <v>40427</v>
      </c>
      <c r="F1126" s="10" t="n">
        <v>52</v>
      </c>
      <c r="G1126" s="10" t="inlineStr">
        <is>
          <t>2년이 더 흐릅니다. 보도 이후 법원이 인프라라일 전 임원들에 대한 수사를 재개했지만 위원회 구성원들은 '형사상 인과관계 없음'으로 불기소되고, 미켈만 유죄 판결을 받습니다. 사고 9주기 추모식에서 알바로는 아센시온, 가우덴시오, 그리고 처음으로 모습을 드러낸 이시드로와 함께, 기사가 바꾸지 못한 것과 바꾼 것을 마주합니다.</t>
        </is>
      </c>
    </row>
    <row r="1127">
      <c r="A1127" s="10" t="n">
        <v>1126</v>
      </c>
      <c r="B1127" s="10" t="n">
        <v>84</v>
      </c>
      <c r="C1127" s="10">
        <f>INDEX('부작 목록'!$C$2:$C$96,B1127)</f>
        <v/>
      </c>
      <c r="D1127" s="10" t="inlineStr">
        <is>
          <t>G 시즌2 독립 취재</t>
        </is>
      </c>
      <c r="E1127" s="10" t="n">
        <v>40481</v>
      </c>
      <c r="F1127" s="10" t="n">
        <v>46</v>
      </c>
      <c r="G1127" s="10" t="inlineStr">
        <is>
          <t>새로운 취재. 7월 폭염 속, 알바로가 발렌시아 내륙의 가상 마을 베니알코르의 산불 현장을 취재합니다. 진화대장 아구스틴 보르다요는 불길과 씨름하다 "이 비탈은 두세 해마다 탄다, 늘 같은 자리에서"라고 무심코 내뱉고, 마을 사람들은 벌써 한 목동을 범인으로 지목하고 있습니다.</t>
        </is>
      </c>
    </row>
    <row r="1128">
      <c r="A1128" s="10" t="n">
        <v>1127</v>
      </c>
      <c r="B1128" s="10" t="n">
        <v>84</v>
      </c>
      <c r="C1128" s="10">
        <f>INDEX('부작 목록'!$C$2:$C$96,B1128)</f>
        <v/>
      </c>
      <c r="D1128" s="10" t="inlineStr">
        <is>
          <t>G 시즌2 독립 취재</t>
        </is>
      </c>
      <c r="E1128" s="10" t="n">
        <v>40529</v>
      </c>
      <c r="F1128" s="10" t="n">
        <v>47</v>
      </c>
      <c r="G1128" s="10" t="inlineStr">
        <is>
          <t>마드리드로 돌아온 알바로는 마르코스, 그리고 원격탐사 연구자 아마야 고에나가와 함께 15년치 위성 영상을 분석합니다. 연소 지수로 산불 흔적을 겹치자 세레타 비탈이 여러 번 탄 것이 드러나고, 지적도와 등기부를 겹쳐 보니 불이 난 뒤마다 그 땅이 하나의 회사로 조금씩 넘어간 사실이 보입니다.</t>
        </is>
      </c>
    </row>
    <row r="1129">
      <c r="A1129" s="10" t="n">
        <v>1128</v>
      </c>
      <c r="B1129" s="10" t="n">
        <v>84</v>
      </c>
      <c r="C1129" s="10">
        <f>INDEX('부작 목록'!$C$2:$C$96,B1129)</f>
        <v/>
      </c>
      <c r="D1129" s="10" t="inlineStr">
        <is>
          <t>G 시즌2 독립 취재</t>
        </is>
      </c>
      <c r="E1129" s="10" t="n">
        <v>40578</v>
      </c>
      <c r="F1129" s="10" t="n">
        <v>47</v>
      </c>
      <c r="G1129" s="10" t="inlineStr">
        <is>
          <t>몇 주 후, 하비에르와 알바로가 베니알코르 시청을 찾아 지난 15년간의 본회의 회의록을 열람합니다. 퇴직한 시청 서기 베르나르도 마스카렐이 도시계획 변경 절차를 설명해 주고, 두 사람은 '산불 피해 산림은 30년간 용도 변경 금지' 규정을 피해 간 예외 조항과, 불이 난 뒤에 '정정'된 회의록 한 장을 찾아냅니다. 그러나 마르타는 '방화'를 암시하는 순간 기사가 무너진다고 경고합니다.</t>
        </is>
      </c>
    </row>
    <row r="1130">
      <c r="A1130" s="10" t="n">
        <v>1129</v>
      </c>
      <c r="B1130" s="10" t="n">
        <v>84</v>
      </c>
      <c r="C1130" s="10">
        <f>INDEX('부작 목록'!$C$2:$C$96,B1130)</f>
        <v/>
      </c>
      <c r="D1130" s="10" t="inlineStr">
        <is>
          <t>G 시즌2 독립 취재</t>
        </is>
      </c>
      <c r="E1130" s="10" t="n">
        <v>40627</v>
      </c>
      <c r="F1130" s="10" t="n">
        <v>55</v>
      </c>
      <c r="G1130" s="10" t="inlineStr">
        <is>
          <t>봄이 되어 알바로는 다시 베니알코르로 가서 반론 취재를 합니다. 군수 이히니오 세르베라는 절차가 합법이었다고 주장하고, 카밀라는 매 산불 직후 헐값 매입이 집중된 거래 패턴을 정리합니다. 그러나 2016년 산불이 낙뢰로 인한 것이었다는 사실이 드러나 기사의 틀을 고쳐야 하고, 지방선거를 앞둔 야당 의원 사그라리오는 보도 시점을 앞당기라고 압박합니다.</t>
        </is>
      </c>
    </row>
    <row r="1131">
      <c r="A1131" s="10" t="n">
        <v>1130</v>
      </c>
      <c r="B1131" s="10" t="n">
        <v>84</v>
      </c>
      <c r="C1131" s="10">
        <f>INDEX('부작 목록'!$C$2:$C$96,B1131)</f>
        <v/>
      </c>
      <c r="D1131" s="10" t="inlineStr">
        <is>
          <t>G 시즌2 독립 취재</t>
        </is>
      </c>
      <c r="E1131" s="10" t="n">
        <v>40684</v>
      </c>
      <c r="F1131" s="10" t="n">
        <v>48</v>
      </c>
      <c r="G1131" s="10" t="inlineStr">
        <is>
          <t>두 달여 뒤 기사가 나가고, 주 정부 도시계획위원회는 용도 변경 최종 승인을 보류하며 환경 검찰이 회의록 정정 경위를 조사하기 시작합니다. 그러나 이듬해 여름, 세레타 교차로에서 또다시 연기가 오릅니다. 알바로는 아구스틴과 함께 능선에서 진화를 지켜보며, 이번 불이 무엇을 의미하는지 아직 아무도 모른다는 사실을 받아들입니다.</t>
        </is>
      </c>
    </row>
    <row r="1132">
      <c r="A1132" s="10" t="n">
        <v>1131</v>
      </c>
      <c r="B1132" s="10" t="n">
        <v>85</v>
      </c>
      <c r="C1132" s="10">
        <f>INDEX('부작 목록'!$C$2:$C$96,B1132)</f>
        <v/>
      </c>
      <c r="D1132" s="10" t="inlineStr">
        <is>
          <t>G 시즌2 독립 취재</t>
        </is>
      </c>
      <c r="E1132" s="10" t="n">
        <v>40734</v>
      </c>
      <c r="F1132" s="10" t="n">
        <v>49</v>
      </c>
      <c r="G1132" s="10" t="inlineStr">
        <is>
          <t>새로운 취재. 하비에르가 은퇴 교사 카실다 아르나이스로부터 손편지 한 통을 받습니다. 가상의 마을 '산 키르세 델 바예'의 공립학교 '로스 알멘드로스'에서 31년간 아이들을 가르친 그녀는 학교 지붕의 석면 이야기를 하고 싶다며 알바로와 하비에르를 집으로 초대합니다.</t>
        </is>
      </c>
    </row>
    <row r="1133">
      <c r="A1133" s="10" t="n">
        <v>1132</v>
      </c>
      <c r="B1133" s="10" t="n">
        <v>85</v>
      </c>
      <c r="C1133" s="10">
        <f>INDEX('부작 목록'!$C$2:$C$96,B1133)</f>
        <v/>
      </c>
      <c r="D1133" s="10" t="inlineStr">
        <is>
          <t>G 시즌2 독립 취재</t>
        </is>
      </c>
      <c r="E1133" s="10" t="n">
        <v>40785</v>
      </c>
      <c r="F1133" s="10" t="n">
        <v>52</v>
      </c>
      <c r="G1133" s="10" t="inlineStr">
        <is>
          <t>일주일 후, 카밀라와 마르코스가 교육청의 몇 년 치 예산 집행 자료를 분석한 결과를 알바로와 하비에르에게 보여 줍니다. 저녁에는 알바로가 석면 실태 조사를 맡았던 건축기사 올비도 에스테베를 조용한 카페에서 만납니다.</t>
        </is>
      </c>
    </row>
    <row r="1134">
      <c r="A1134" s="10" t="n">
        <v>1133</v>
      </c>
      <c r="B1134" s="10" t="n">
        <v>85</v>
      </c>
      <c r="C1134" s="10">
        <f>INDEX('부작 목록'!$C$2:$C$96,B1134)</f>
        <v/>
      </c>
      <c r="D1134" s="10" t="inlineStr">
        <is>
          <t>G 시즌2 독립 취재</t>
        </is>
      </c>
      <c r="E1134" s="10" t="n">
        <v>40839</v>
      </c>
      <c r="F1134" s="10" t="n">
        <v>47</v>
      </c>
      <c r="G1134" s="10" t="inlineStr">
        <is>
          <t>며칠 후, 알바로가 독립 석면 전문 엔지니어 파티마 우르키사와 함께 로스 알멘드로스 학교를 찾아가 지붕 상태를 확인합니다. 그러나 그 직후, 교육청 홍보실이 카실다의 가족사를 흘리며 취재의 신뢰성을 흔들려 합니다.</t>
        </is>
      </c>
    </row>
    <row r="1135">
      <c r="A1135" s="10" t="n">
        <v>1134</v>
      </c>
      <c r="B1135" s="10" t="n">
        <v>85</v>
      </c>
      <c r="C1135" s="10">
        <f>INDEX('부작 목록'!$C$2:$C$96,B1135)</f>
        <v/>
      </c>
      <c r="D1135" s="10" t="inlineStr">
        <is>
          <t>G 시즌2 독립 취재</t>
        </is>
      </c>
      <c r="E1135" s="10" t="n">
        <v>40888</v>
      </c>
      <c r="F1135" s="10" t="n">
        <v>47</v>
      </c>
      <c r="G1135" s="10" t="inlineStr">
        <is>
          <t>보도를 앞두고 알바로가 교육청에 반론권 질의서를 보내고, 돌아온 관료적 서면 답변을 하비에르와 한 줄씩 해부합니다. 이어 기반시설국장 로레나 라레타의 기자회견에서 직접 추가 질문을 던지고, 신문사 변호사 마르타와 편집장은 학교 명단 공개 여부를 놓고 고민합니다.</t>
        </is>
      </c>
    </row>
    <row r="1136">
      <c r="A1136" s="10" t="n">
        <v>1135</v>
      </c>
      <c r="B1136" s="10" t="n">
        <v>85</v>
      </c>
      <c r="C1136" s="10">
        <f>INDEX('부작 목록'!$C$2:$C$96,B1136)</f>
        <v/>
      </c>
      <c r="D1136" s="10" t="inlineStr">
        <is>
          <t>G 시즌2 독립 취재</t>
        </is>
      </c>
      <c r="E1136" s="10" t="n">
        <v>40937</v>
      </c>
      <c r="F1136" s="10" t="n">
        <v>48</v>
      </c>
      <c r="G1136" s="10" t="inlineStr">
        <is>
          <t>기사가 나간 뒤, 학부모들의 분노와 교육감의 '긴급 대책' 발표가 이어지고 교육청 내부에서는 제보자 색출이 시작됩니다. 몇 달 뒤 여름방학, 알바로는 로스 알멘드로스 학교 울타리 밖에서 카실다와 함께 지붕 철거 작업을 지켜봅니다.</t>
        </is>
      </c>
    </row>
    <row r="1137">
      <c r="A1137" s="10" t="n">
        <v>1136</v>
      </c>
      <c r="B1137" s="10" t="n">
        <v>86</v>
      </c>
      <c r="C1137" s="10">
        <f>INDEX('부작 목록'!$C$2:$C$96,B1137)</f>
        <v/>
      </c>
      <c r="D1137" s="10" t="inlineStr">
        <is>
          <t>G 시즌2 독립 취재</t>
        </is>
      </c>
      <c r="E1137" s="10" t="n">
        <v>40987</v>
      </c>
      <c r="F1137" s="10" t="n">
        <v>46</v>
      </c>
      <c r="G1137" s="10" t="inlineStr">
        <is>
          <t>새로운 취재. 고등학교 교사 암브로시오 발델로마르가 신문사에 연락해 옵니다. 지방정부 부지사이자 차기 지사 후보로 거론되는 노르베르토 몬타네르가 TV에서 자랑한 석사 학위를, 같은 과정을 함께 다녔다는 그는 한 번도 강의실에서 본 적이 없다는 것입니다.</t>
        </is>
      </c>
    </row>
    <row r="1138">
      <c r="A1138" s="10" t="n">
        <v>1137</v>
      </c>
      <c r="B1138" s="10" t="n">
        <v>86</v>
      </c>
      <c r="C1138" s="10">
        <f>INDEX('부작 목록'!$C$2:$C$96,B1138)</f>
        <v/>
      </c>
      <c r="D1138" s="10" t="inlineStr">
        <is>
          <t>G 시즌2 독립 취재</t>
        </is>
      </c>
      <c r="E1138" s="10" t="n">
        <v>41035</v>
      </c>
      <c r="F1138" s="10" t="n">
        <v>47</v>
      </c>
      <c r="G1138" s="10" t="inlineStr">
        <is>
          <t>열흘 후, 대학의 정보공개 답변과 함께 몬타네르 측이 먼저 움직입니다. 그는 SNS에 자신의 성적증명서를 올리며 "논란 끝"을 선언하지만, 마르코스와 알바로는 그 증명서 안에서 오히려 새로운 의문을 찾아내고, 논문 심사위원으로 이름이 오른 가르비녜 산타크루스 교수를 찾아갑니다.</t>
        </is>
      </c>
    </row>
    <row r="1139">
      <c r="A1139" s="10" t="n">
        <v>1138</v>
      </c>
      <c r="B1139" s="10" t="n">
        <v>86</v>
      </c>
      <c r="C1139" s="10">
        <f>INDEX('부작 목록'!$C$2:$C$96,B1139)</f>
        <v/>
      </c>
      <c r="D1139" s="10" t="inlineStr">
        <is>
          <t>G 시즌2 독립 취재</t>
        </is>
      </c>
      <c r="E1139" s="10" t="n">
        <v>41084</v>
      </c>
      <c r="F1139" s="10" t="n">
        <v>47</v>
      </c>
      <c r="G1139" s="10" t="inlineStr">
        <is>
          <t>며칠 후, 연구소 행정실 직원 타마라 테하다가 하비에르를 통해 만남을 요청합니다. 그녀는 2016년 상부의 지시로 성적을 바꿨다고 털어놓지만, 그 고백은 그녀 자신을 범죄 혐의로 몰아넣을 수도 있습니다. 한편 총장은 기자회견에서 서버 이전으로 기록이 남아 있지 않다고 발표합니다.</t>
        </is>
      </c>
    </row>
    <row r="1140">
      <c r="A1140" s="10" t="n">
        <v>1139</v>
      </c>
      <c r="B1140" s="10" t="n">
        <v>86</v>
      </c>
      <c r="C1140" s="10">
        <f>INDEX('부작 목록'!$C$2:$C$96,B1140)</f>
        <v/>
      </c>
      <c r="D1140" s="10" t="inlineStr">
        <is>
          <t>G 시즌2 독립 취재</t>
        </is>
      </c>
      <c r="E1140" s="10" t="n">
        <v>41133</v>
      </c>
      <c r="F1140" s="10" t="n">
        <v>46</v>
      </c>
      <c r="G1140" s="10" t="inlineStr">
        <is>
          <t>신문이 첫 기사를 내보낸 다음 날, 몬타네르가 기자회견을 엽니다. 알바로는 질문권을 얻어 회피성 답변 하나하나에 추가 질문을 던지고, 몬타네르가 '증거'로 공개한 석사 논문은 곧 또 다른 문제를 드러냅니다.</t>
        </is>
      </c>
    </row>
    <row r="1141">
      <c r="A1141" s="10" t="n">
        <v>1140</v>
      </c>
      <c r="B1141" s="10" t="n">
        <v>86</v>
      </c>
      <c r="C1141" s="10">
        <f>INDEX('부작 목록'!$C$2:$C$96,B1141)</f>
        <v/>
      </c>
      <c r="D1141" s="10" t="inlineStr">
        <is>
          <t>G 시즌2 독립 취재</t>
        </is>
      </c>
      <c r="E1141" s="10" t="n">
        <v>41181</v>
      </c>
      <c r="F1141" s="10" t="n">
        <v>47</v>
      </c>
      <c r="G1141" s="10" t="inlineStr">
        <is>
          <t>몇 주 후, 검찰이 수사에 착수하고 타마라는 변호사와 함께 스스로 진술하기로 결심합니다. 몬타네르는 결국 부지사직에서 물러나지만 의원직은 지키며 끝까지 잘못을 인정하지 않고, 알바로는 이 사건이 남긴 것을 암브로시오 발델로마르의 교실에서 다시 생각하게 됩니다.</t>
        </is>
      </c>
    </row>
    <row r="1142">
      <c r="A1142" s="10" t="n">
        <v>1141</v>
      </c>
      <c r="B1142" s="10" t="n">
        <v>87</v>
      </c>
      <c r="C1142" s="10">
        <f>INDEX('부작 목록'!$C$2:$C$96,B1142)</f>
        <v/>
      </c>
      <c r="D1142" s="10" t="inlineStr">
        <is>
          <t>G 시즌2 독립 취재</t>
        </is>
      </c>
      <c r="E1142" s="10" t="n">
        <v>41230</v>
      </c>
      <c r="F1142" s="10" t="n">
        <v>59</v>
      </c>
      <c r="G1142" s="10" t="inlineStr">
        <is>
          <t>일상 에피소드. 평범한 월요일 오후, 신문사 회의실에서 다음 날 지면을 정하는 편집 회의가 열립니다. 각 부서가 기사를 제안하고 1면 자리를 두고 의견이 엇갈리는 가운데, 편집국장이 최종 결정을 내립니다.</t>
        </is>
      </c>
    </row>
    <row r="1143">
      <c r="A1143" s="10" t="n">
        <v>1142</v>
      </c>
      <c r="B1143" s="10" t="n">
        <v>88</v>
      </c>
      <c r="C1143" s="10">
        <f>INDEX('부작 목록'!$C$2:$C$96,B1143)</f>
        <v/>
      </c>
      <c r="D1143" s="10" t="inlineStr">
        <is>
          <t>G 시즌2 독립 취재</t>
        </is>
      </c>
      <c r="E1143" s="10" t="n">
        <v>41291</v>
      </c>
      <c r="F1143" s="10" t="n">
        <v>46</v>
      </c>
      <c r="G1143" s="10" t="inlineStr">
        <is>
          <t>새로운 취재. 하비에르가 카스테욘 지역 신문의 작은 기사 하나를 들고 웃으며 편집국에 들어옵니다. 가상의 마을 '베니알파스'의 고깃집 체인 사장 헤르만 토르모가 4년 사이 열두 번째 복권 당첨금 수표를 들고 활짝 웃는 사진입니다. 알바로와 카밀라는 '확률'이라는 단어부터 따져 보기 시작합니다.</t>
        </is>
      </c>
    </row>
    <row r="1144">
      <c r="A1144" s="10" t="n">
        <v>1143</v>
      </c>
      <c r="B1144" s="10" t="n">
        <v>88</v>
      </c>
      <c r="C1144" s="10">
        <f>INDEX('부작 목록'!$C$2:$C$96,B1144)</f>
        <v/>
      </c>
      <c r="D1144" s="10" t="inlineStr">
        <is>
          <t>G 시즌2 독립 취재</t>
        </is>
      </c>
      <c r="E1144" s="10" t="n">
        <v>41339</v>
      </c>
      <c r="F1144" s="10" t="n">
        <v>48</v>
      </c>
      <c r="G1144" s="10" t="inlineStr">
        <is>
          <t>몇 주 후, 알바로와 카밀라가 은퇴한 국세청 조사관 에스테르 에스카르틴을 발렌시아의 한 카페에서 만납니다. 그녀는 복권 당첨금에 대한 특별세, 원천징수, 소명되지 않은 자산 증가 같은 세무 용어로 이 수법의 구조를 설명합니다.</t>
        </is>
      </c>
    </row>
    <row r="1145">
      <c r="A1145" s="10" t="n">
        <v>1144</v>
      </c>
      <c r="B1145" s="10" t="n">
        <v>88</v>
      </c>
      <c r="C1145" s="10">
        <f>INDEX('부작 목록'!$C$2:$C$96,B1145)</f>
        <v/>
      </c>
      <c r="D1145" s="10" t="inlineStr">
        <is>
          <t>G 시즌2 독립 취재</t>
        </is>
      </c>
      <c r="E1145" s="10" t="n">
        <v>41389</v>
      </c>
      <c r="F1145" s="10" t="n">
        <v>49</v>
      </c>
      <c r="G1145" s="10" t="inlineStr">
        <is>
          <t>며칠 후, 알바로와 하비에르가 베니알파스를 찾아갑니다. 마을 바와 복권 판매소 '라 에라두라'를 돌며 현장 취재를 하던 중, 몇 년 전 당첨 복권을 토르모에게 웃돈을 받고 팔았다는 연금 생활자 엘리세오 페냐로하를 만나게 됩니다.</t>
        </is>
      </c>
    </row>
    <row r="1146">
      <c r="A1146" s="10" t="n">
        <v>1145</v>
      </c>
      <c r="B1146" s="10" t="n">
        <v>88</v>
      </c>
      <c r="C1146" s="10">
        <f>INDEX('부작 목록'!$C$2:$C$96,B1146)</f>
        <v/>
      </c>
      <c r="D1146" s="10" t="inlineStr">
        <is>
          <t>G 시즌2 독립 취재</t>
        </is>
      </c>
      <c r="E1146" s="10" t="n">
        <v>41440</v>
      </c>
      <c r="F1146" s="10" t="n">
        <v>50</v>
      </c>
      <c r="G1146" s="10" t="inlineStr">
        <is>
          <t>일주일 후, 마드리드 편집국. 데이터 인턴 글로리아가 열두 건의 당첨 기록과 토르모 회사의 현금 흐름을 겹쳐 보여 줍니다. 그러나 토르모 측 변호사의 경고장이 도착하고, 엘리세오는 가족의 압박에 증언을 철회하겠다고 합니다. 알바로는 변호사 마르타와 함께 무엇을 쓸 수 있고 무엇을 쓸 수 없는지 따집니다.</t>
        </is>
      </c>
    </row>
    <row r="1147">
      <c r="A1147" s="10" t="n">
        <v>1146</v>
      </c>
      <c r="B1147" s="10" t="n">
        <v>88</v>
      </c>
      <c r="C1147" s="10">
        <f>INDEX('부작 목록'!$C$2:$C$96,B1147)</f>
        <v/>
      </c>
      <c r="D1147" s="10" t="inlineStr">
        <is>
          <t>G 시즌2 독립 취재</t>
        </is>
      </c>
      <c r="E1147" s="10" t="n">
        <v>41492</v>
      </c>
      <c r="F1147" s="10" t="n">
        <v>59</v>
      </c>
      <c r="G1147" s="10" t="inlineStr">
        <is>
          <t>2주 후, 알바로가 반론권 보장을 위해 베니알파스의 고깃집에서 토르모 본인과 그의 변호사를 만납니다. 토르모는 말발굽과 '행운의 별' 이야기로 시종일관 유쾌하게 버티지만, 알바로의 계산기 앞에서 이야기가 조금씩 엇나갑니다. 기사는 나가지만, 결말은 축배가 아니라 복권 판매소 앞에서의 짧은 장면입니다.</t>
        </is>
      </c>
    </row>
    <row r="1148">
      <c r="A1148" s="10" t="n">
        <v>1147</v>
      </c>
      <c r="B1148" s="10" t="n">
        <v>89</v>
      </c>
      <c r="C1148" s="10">
        <f>INDEX('부작 목록'!$C$2:$C$96,B1148)</f>
        <v/>
      </c>
      <c r="D1148" s="10" t="inlineStr">
        <is>
          <t>G 시즌2 독립 취재</t>
        </is>
      </c>
      <c r="E1148" s="10" t="n">
        <v>41553</v>
      </c>
      <c r="F1148" s="10" t="n">
        <v>46</v>
      </c>
      <c r="G1148" s="10" t="inlineStr">
        <is>
          <t>새로운 취재. 한 자치주 아동보호센터에서 일하는 사회교육사 아도라시온 가리고스가 하비에르를 통해 조심스럽게 연락해 옵니다. 그녀가 일하는 공립 보호시설의 십대 아이들이 밤마다 '무단 외출'을 반복하고, 문 앞에는 낯선 어른들의 차가 기다리는데, 시설은 침묵하고 있다는 것입니다. 알바로가 가장 먼저 묻는 것은 기사가 아니라 '오늘 밤 위험한 아이가 있는가'입니다.</t>
        </is>
      </c>
    </row>
    <row r="1149">
      <c r="A1149" s="10" t="n">
        <v>1148</v>
      </c>
      <c r="B1149" s="10" t="n">
        <v>89</v>
      </c>
      <c r="C1149" s="10">
        <f>INDEX('부작 목록'!$C$2:$C$96,B1149)</f>
        <v/>
      </c>
      <c r="D1149" s="10" t="inlineStr">
        <is>
          <t>G 시즌2 독립 취재</t>
        </is>
      </c>
      <c r="E1149" s="10" t="n">
        <v>41601</v>
      </c>
      <c r="F1149" s="10" t="n">
        <v>47</v>
      </c>
      <c r="G1149" s="10" t="inlineStr">
        <is>
          <t>일주일 후, 마드리드 편집국. 마르코스와 하비에르가 정보공개청구로 받은 자치주 전체 보호시설의 무단 외출 통계와 검찰 연례 보고서의 통보 건수를 비교합니다. 이어 아동 법심리 전문가 에울랄리아 푸이그베르트 박사가 착취의 징후와, 피해 아동을 보호하며 보도하는 원칙을 설명합니다. 편집국은 이 취재만의 규칙을 정합니다.</t>
        </is>
      </c>
    </row>
    <row r="1150">
      <c r="A1150" s="10" t="n">
        <v>1149</v>
      </c>
      <c r="B1150" s="10" t="n">
        <v>89</v>
      </c>
      <c r="C1150" s="10">
        <f>INDEX('부작 목록'!$C$2:$C$96,B1150)</f>
        <v/>
      </c>
      <c r="D1150" s="10" t="inlineStr">
        <is>
          <t>G 시즌2 독립 취재</t>
        </is>
      </c>
      <c r="E1150" s="10" t="n">
        <v>41650</v>
      </c>
      <c r="F1150" s="10" t="n">
        <v>51</v>
      </c>
      <c r="G1150" s="10" t="inlineStr">
        <is>
          <t>며칠 후, 알바로가 십여 년 전 같은 보호시설망의 다른 센터에서 자란 27세 여성 소라이다를 만납니다. 동의 절차와 규칙을 먼저 정하고, 그녀가 겪은 일이 아니라 '아무도 묻지 않았던' 제도의 침묵에 대해 이야기를 듣습니다. 이어 소년 담당 검사 이치아르 아바이투아가 보호 절차와 통보 의무를 설명합니다.</t>
        </is>
      </c>
    </row>
    <row r="1151">
      <c r="A1151" s="10" t="n">
        <v>1150</v>
      </c>
      <c r="B1151" s="10" t="n">
        <v>89</v>
      </c>
      <c r="C1151" s="10">
        <f>INDEX('부작 목록'!$C$2:$C$96,B1151)</f>
        <v/>
      </c>
      <c r="D1151" s="10" t="inlineStr">
        <is>
          <t>G 시즌2 독립 취재</t>
        </is>
      </c>
      <c r="E1151" s="10" t="n">
        <v>41703</v>
      </c>
      <c r="F1151" s="10" t="n">
        <v>48</v>
      </c>
      <c r="G1151" s="10" t="inlineStr">
        <is>
          <t>일주일 후, 취재가 위기를 맞습니다. 주정부가 아도라시온에게 '정보 유출'을 이유로 징계 절차를 시작하고, 증언을 약속했던 또 다른 교육사 파우스토가 물러섭니다. 한편 한 방송사가 보호시설 앞 소녀를 모자이크 처리해 내보내는 일이 벌어집니다. 알바로와 마르타, 하비에르는 시설 이름을 공개할지, 경찰 수사를 위해 무엇을 미뤄야 할지를 놓고 격론을 벌입니다.</t>
        </is>
      </c>
    </row>
    <row r="1152">
      <c r="A1152" s="10" t="n">
        <v>1151</v>
      </c>
      <c r="B1152" s="10" t="n">
        <v>89</v>
      </c>
      <c r="C1152" s="10">
        <f>INDEX('부작 목록'!$C$2:$C$96,B1152)</f>
        <v/>
      </c>
      <c r="D1152" s="10" t="inlineStr">
        <is>
          <t>G 시즌2 독립 취재</t>
        </is>
      </c>
      <c r="E1152" s="10" t="n">
        <v>41753</v>
      </c>
      <c r="F1152" s="10" t="n">
        <v>54</v>
      </c>
      <c r="G1152" s="10" t="inlineStr">
        <is>
          <t>열흘 후, 알바로가 주정부 아동국장 아르투로 테헤도르를 인터뷰하며 반론권을 보장합니다. 기사가 나간 뒤 지침은 철회되고 검찰은 조사에 착수하지만, 아도라시온의 징계 절차는 여전히 열려 있습니다. 결말은 축배가 아닌, 내부고발자 보호 기관 앞의 조용한 아침입니다.</t>
        </is>
      </c>
    </row>
    <row r="1153">
      <c r="A1153" s="10" t="n">
        <v>1152</v>
      </c>
      <c r="B1153" s="10" t="n">
        <v>90</v>
      </c>
      <c r="C1153" s="10">
        <f>INDEX('부작 목록'!$C$2:$C$96,B1153)</f>
        <v/>
      </c>
      <c r="D1153" s="10" t="inlineStr">
        <is>
          <t>G 시즌2 독립 취재</t>
        </is>
      </c>
      <c r="E1153" s="10" t="n">
        <v>41809</v>
      </c>
      <c r="F1153" s="10" t="n">
        <v>51</v>
      </c>
      <c r="G1153" s="10" t="inlineStr">
        <is>
          <t>새로운 취재. 무기 수출 감시 단체 '아탈라야 센터'의 오픈소스 분석가 이차소 수비아우레가 내전 중인 가상의 국가 티하라에서 촬영된 영상 한 편을 들고 편집국을 찾아옵니다. 박격포탄 꼬리날개에 찍힌 각인은 아라곤의 한 탄약 제조사를 가리키지만, 스페인 정부의 공식 수출 통계에 적힌 최종 사용자는 걸프 국가 카시마르 토후국입니다.</t>
        </is>
      </c>
    </row>
    <row r="1154">
      <c r="A1154" s="10" t="n">
        <v>1153</v>
      </c>
      <c r="B1154" s="10" t="n">
        <v>90</v>
      </c>
      <c r="C1154" s="10">
        <f>INDEX('부작 목록'!$C$2:$C$96,B1154)</f>
        <v/>
      </c>
      <c r="D1154" s="10" t="inlineStr">
        <is>
          <t>G 시즌2 독립 취재</t>
        </is>
      </c>
      <c r="E1154" s="10" t="n">
        <v>41862</v>
      </c>
      <c r="F1154" s="10" t="n">
        <v>57</v>
      </c>
      <c r="G1154" s="10" t="inlineStr">
        <is>
          <t>며칠 후, 알바로와 마르코스가 그림자와 건물, 위성 사진으로 영상의 촬영 장소와 날짜를 검증하고, 첫 영상을 찍은 티하라의 현지 기자 함자 다르위시와 화상으로 연결합니다. 그러나 이차소가 덧붙인 네 번째 영상이 수십 년 전 합법적으로 다른 나라에 팔린 탄약으로 드러나며, 취재팀은 과욕의 위험을 실감합니다.</t>
        </is>
      </c>
    </row>
    <row r="1155">
      <c r="A1155" s="10" t="n">
        <v>1154</v>
      </c>
      <c r="B1155" s="10" t="n">
        <v>90</v>
      </c>
      <c r="C1155" s="10">
        <f>INDEX('부작 목록'!$C$2:$C$96,B1155)</f>
        <v/>
      </c>
      <c r="D1155" s="10" t="inlineStr">
        <is>
          <t>G 시즌2 독립 취재</t>
        </is>
      </c>
      <c r="E1155" s="10" t="n">
        <v>41921</v>
      </c>
      <c r="F1155" s="10" t="n">
        <v>51</v>
      </c>
      <c r="G1155" s="10" t="inlineStr">
        <is>
          <t>일주일 후, 알바로가 수출 통제 위원회에 올라가는 서류를 준비하던 퇴직 공무원 세페리노 라스트라를 사라고사의 한 카페에서 만나 허가 절차가 실제로 어떻게 작동하는지 듣습니다. 같은 날 밤 카밀라는 EMJ의 재무제표에서 카시마르 현지 조립 공장 지분을 찾아내고, 완제품 대신 '부품과 키트'로 수출하는 합법적 우회로가 모습을 드러냅니다.</t>
        </is>
      </c>
    </row>
    <row r="1156">
      <c r="A1156" s="10" t="n">
        <v>1155</v>
      </c>
      <c r="B1156" s="10" t="n">
        <v>90</v>
      </c>
      <c r="C1156" s="10">
        <f>INDEX('부작 목록'!$C$2:$C$96,B1156)</f>
        <v/>
      </c>
      <c r="D1156" s="10" t="inlineStr">
        <is>
          <t>G 시즌2 독립 취재</t>
        </is>
      </c>
      <c r="E1156" s="10" t="n">
        <v>41974</v>
      </c>
      <c r="F1156" s="10" t="n">
        <v>58</v>
      </c>
      <c r="G1156" s="10" t="inlineStr">
        <is>
          <t>열흘 후, 알바로는 유엔 안보리 티하라 전문가 패널 위원 안네커 피서르와 통화해 패널이 같은 로트를 기록했다는 사실을 확인하지만, 보고서 공개 전까지 보도를 미뤄 달라는 요청을 받고 편집국은 고민에 빠집니다. 이어 알바로는 아라곤의 EMJ 본사에서 홍보이사 고르카 레보야르의 반론을 듣고, 공장 앞에서 노동자위원회 위원장 에울로히오 알콘첼의 목소리를 듣습니다.</t>
        </is>
      </c>
    </row>
    <row r="1157">
      <c r="A1157" s="10" t="n">
        <v>1156</v>
      </c>
      <c r="B1157" s="10" t="n">
        <v>90</v>
      </c>
      <c r="C1157" s="10">
        <f>INDEX('부작 목록'!$C$2:$C$96,B1157)</f>
        <v/>
      </c>
      <c r="D1157" s="10" t="inlineStr">
        <is>
          <t>G 시즌2 독립 취재</t>
        </is>
      </c>
      <c r="E1157" s="10" t="n">
        <v>42034</v>
      </c>
      <c r="F1157" s="10" t="n">
        <v>48</v>
      </c>
      <c r="G1157" s="10" t="inlineStr">
        <is>
          <t>3주 후, 유엔 전문가 패널 보고서가 공개된 다음 날 기사가 나가고, 알바로는 국무회의 후 열린 정부 대변인 에밀리아 에차니스의 기자회견에서 직접 질문을 던집니다. 정부는 '심사 중인 허가의 재검토'만 약속하고, 기사의 반향이 가라앉기도 전에 이차소에게서 새 영상이 도착합니다.</t>
        </is>
      </c>
    </row>
    <row r="1158">
      <c r="A1158" s="10" t="n">
        <v>1157</v>
      </c>
      <c r="B1158" s="10" t="n">
        <v>91</v>
      </c>
      <c r="C1158" s="10">
        <f>INDEX('부작 목록'!$C$2:$C$96,B1158)</f>
        <v/>
      </c>
      <c r="D1158" s="10" t="inlineStr">
        <is>
          <t>G 시즌2 독립 취재</t>
        </is>
      </c>
      <c r="E1158" s="10" t="n">
        <v>42084</v>
      </c>
      <c r="F1158" s="10" t="n">
        <v>50</v>
      </c>
      <c r="G1158" s="10" t="inlineStr">
        <is>
          <t>새로운 취재. 신문사의 익명 제보함에 '현역 군인'이라고만 밝힌 제보가 들어오고, 알바로는 가상의 주둔지 발데카스트로에서 20킬로미터 떨어진 주유소 카페에서 카보 프리메로(선임 상병) 솔레다드 마이레나를 만납니다. 그녀는 사격장에서 시험 삼아 쏜 방탄판이 막아야 할 탄을 막지 못했고, 지휘 계통을 따라 보고했지만 아무 일도 일어나지 않았다고 말합니다.</t>
        </is>
      </c>
    </row>
    <row r="1159">
      <c r="A1159" s="10" t="n">
        <v>1158</v>
      </c>
      <c r="B1159" s="10" t="n">
        <v>91</v>
      </c>
      <c r="C1159" s="10">
        <f>INDEX('부작 목록'!$C$2:$C$96,B1159)</f>
        <v/>
      </c>
      <c r="D1159" s="10" t="inlineStr">
        <is>
          <t>G 시즌2 독립 취재</t>
        </is>
      </c>
      <c r="E1159" s="10" t="n">
        <v>42136</v>
      </c>
      <c r="F1159" s="10" t="n">
        <v>50</v>
      </c>
      <c r="G1159" s="10" t="inlineStr">
        <is>
          <t>며칠 후, 알바로는 퇴역 준위이자 부사관 직업 협회 회장인 펠릭스 비야에스쿠사에게서 계급 체계와 호칭, 군인의 권리와 내부고발자 보호 제도를 배웁니다. 한편 하비에르와 카밀라는 공공조달 플랫폼에서 프로바노르 사의 긴급 수의계약을 찾아내고, 이 신생 업체의 '전략 고문'이 장비 요구 조건을 정하던 부서의 수장 출신 퇴역 준장 세베리아노 카스트리요라는 사실을 확인합니다.</t>
        </is>
      </c>
    </row>
    <row r="1160">
      <c r="A1160" t="n">
        <v>1159</v>
      </c>
      <c r="B1160" t="n">
        <v>91</v>
      </c>
      <c r="C1160">
        <f>INDEX('부작 목록'!$C$2:$C$96,B1160)</f>
        <v/>
      </c>
      <c r="D1160" t="inlineStr">
        <is>
          <t>G 시즌2 독립 취재</t>
        </is>
      </c>
      <c r="E1160" t="n">
        <v>42188</v>
      </c>
      <c r="F1160" t="n">
        <v>51</v>
      </c>
      <c r="G1160" t="inlineStr">
        <is>
          <t>2주 후, 마르타는 부대 창고의 방탄판을 몰래 넘겨받는 것은 군형법상 범죄가 될 수 있다며 솔레다드에게서 증거물을 받지 말라고 못 박습니다. 대신 알바로는 프로바노르가 같은 로트의 '잉여분'을 민간 경비업체에 판 사실을 알아내 합법적으로 두 장을 구입하고, 대학 탄도 실험실의 이스마엘 이리아르테 박사에게 시험을 맡깁니다.</t>
        </is>
      </c>
    </row>
    <row r="1161">
      <c r="A1161" t="n">
        <v>1160</v>
      </c>
      <c r="B1161" t="n">
        <v>91</v>
      </c>
      <c r="C1161">
        <f>INDEX('부작 목록'!$C$2:$C$96,B1161)</f>
        <v/>
      </c>
      <c r="D1161" t="inlineStr">
        <is>
          <t>G 시즌2 독립 취재</t>
        </is>
      </c>
      <c r="E1161" t="n">
        <v>42241</v>
      </c>
      <c r="F1161" t="n">
        <v>52</v>
      </c>
      <c r="G1161" t="inlineStr">
        <is>
          <t>열흘 후, 알바로가 국방부에 보낸 반론 질문지에 적힌 사격 시연 날짜 때문에 솔레다드의 신원이 드러나고, 그녀는 중대장 아리아가 대위에게 불려가 징계 사전 조사가 시작된다는 통보를 받습니다. 자책하는 알바로에게 솔레다드는 오히려 보도를 서두르라고 하고, 며칠 뒤 퇴역 준장 카스트리요는 마드리드의 한 호텔에서 인터뷰에 응하지만 알바로가 내민 날짜 하나에 대화를 급히 끝냅니다.</t>
        </is>
      </c>
    </row>
    <row r="1162">
      <c r="A1162" t="n">
        <v>1161</v>
      </c>
      <c r="B1162" t="n">
        <v>91</v>
      </c>
      <c r="C1162">
        <f>INDEX('부작 목록'!$C$2:$C$96,B1162)</f>
        <v/>
      </c>
      <c r="D1162" t="inlineStr">
        <is>
          <t>G 시즌2 독립 취재</t>
        </is>
      </c>
      <c r="E1162" t="n">
        <v>42295</v>
      </c>
      <c r="F1162" t="n">
        <v>51</v>
      </c>
      <c r="G1162" t="inlineStr">
        <is>
          <t>3주 후, 보도를 하루 앞두고 국방부 공보 책임자 발렌틴 소티요가 해당 로트의 '예방적 사용 중지'를 미리 알려 오고, 기사가 나간 뒤 카스트리요는 프로바노르 고문직에서 물러납니다. 한 달 뒤 발트해로 떠나는 중대의 환송식에서, 징계 절차가 끝나지 않아 파병 명단에서 빠진 솔레다드가 관중석에서 알바로와 함께 버스를 지켜봅니다.</t>
        </is>
      </c>
    </row>
    <row r="1163">
      <c r="A1163" t="n">
        <v>1162</v>
      </c>
      <c r="B1163" t="n">
        <v>92</v>
      </c>
      <c r="C1163">
        <f>INDEX('부작 목록'!$C$2:$C$96,B1163)</f>
        <v/>
      </c>
      <c r="D1163" t="inlineStr">
        <is>
          <t>G 시즌2 독립 취재</t>
        </is>
      </c>
      <c r="E1163" t="n">
        <v>42348</v>
      </c>
      <c r="F1163" t="n">
        <v>49</v>
      </c>
      <c r="G1163" t="inlineStr">
        <is>
          <t>새로운 취재. 알바로는 독자 편지 한 통을 따라 지방 도시 발데아라로 가서, 백 년 역사의 축구 클럽 '클루브 데포르티보 발데아라'의 홈구장 엘 아레날 관중석에 앉습니다. 2년 전 클럽을 단돈 1유로에 사들인 정체불명의 외국 펀드, 그리고 경기장 부지를 아파트 단지로 바꾸려 한다는 소문에 대해, 50년 차 회원 푸리 카라스코 할머니와 서포터즈 '그라다 노르테'의 리더 다니가 서로 전혀 다른 반응을 보입니다.</t>
        </is>
      </c>
    </row>
    <row r="1164">
      <c r="A1164" t="n">
        <v>1163</v>
      </c>
      <c r="B1164" t="n">
        <v>92</v>
      </c>
      <c r="C1164">
        <f>INDEX('부작 목록'!$C$2:$C$96,B1164)</f>
        <v/>
      </c>
      <c r="D1164" t="inlineStr">
        <is>
          <t>G 시즌2 독립 취재</t>
        </is>
      </c>
      <c r="E1164" t="n">
        <v>42399</v>
      </c>
      <c r="F1164" t="n">
        <v>47</v>
      </c>
      <c r="G1164" t="inlineStr">
        <is>
          <t>하비에르와 카밀라, 마르코스가 마드리드 편집국에서 발데아라 클럽의 소유 구조와 이적 데이터를 해부합니다. 1유로 매각 뒤에 숨은 룩셈부르크·델라웨어 법인의 사슬, 경기장 부지를 담보로 한 연 12% 고리 대출, 그리고 한 아르헨티나 에이전트에게 쏠린 수수료가 드러나지만, 핵심 증인인 전 재무이사 루스는 실명 증언을 거부합니다.</t>
        </is>
      </c>
    </row>
    <row r="1165">
      <c r="A1165" t="n">
        <v>1164</v>
      </c>
      <c r="B1165" t="n">
        <v>92</v>
      </c>
      <c r="C1165">
        <f>INDEX('부작 목록'!$C$2:$C$96,B1165)</f>
        <v/>
      </c>
      <c r="D1165" t="inlineStr">
        <is>
          <t>G 시즌2 독립 취재</t>
        </is>
      </c>
      <c r="E1165" t="n">
        <v>42448</v>
      </c>
      <c r="F1165" t="n">
        <v>48</v>
      </c>
      <c r="G1165" t="inlineStr">
        <is>
          <t>알바로가 시청의 공문서 등록부와 시의회 회의록을 파고들며, 매각 석 달 전에 접수된 도시계획 협약의 흔적을 확인합니다. 도시계획 담당 시의원 아란스와 정면으로 마주한 뒤, 문제의 에이전트 막시 갈반을 마르베야의 호텔 바에서 만나 "클럽은 핑계, 진짜 사업은 벽돌"이라는 의외의 솔직한 말을 듣습니다.</t>
        </is>
      </c>
    </row>
    <row r="1166">
      <c r="A1166" t="n">
        <v>1165</v>
      </c>
      <c r="B1166" t="n">
        <v>92</v>
      </c>
      <c r="C1166">
        <f>INDEX('부작 목록'!$C$2:$C$96,B1166)</f>
        <v/>
      </c>
      <c r="D1166" t="inlineStr">
        <is>
          <t>G 시즌2 독립 취재</t>
        </is>
      </c>
      <c r="E1166" t="n">
        <v>42498</v>
      </c>
      <c r="F1166" t="n">
        <v>47</v>
      </c>
      <c r="G1166" t="inlineStr">
        <is>
          <t>마르코스가 그라다 노르테의 원정 버스와 티켓이 브렌무어 계열사의 '팬 활동 후원금'으로 지불되었다는 송장을 찾아내면서, 알바로는 가장 열정적인 팬들이 동시에 침묵의 대가를 받았다는 윤리적 딜레마에 빠집니다. 마르타와 함께 기사의 법적 표현을 검토하고 펀드 측에 반론권을 요청하는 사이, 다니가 직접 찾아와 보도하지 말아 달라고 애원합니다.</t>
        </is>
      </c>
    </row>
    <row r="1167">
      <c r="A1167" t="n">
        <v>1166</v>
      </c>
      <c r="B1167" t="n">
        <v>92</v>
      </c>
      <c r="C1167">
        <f>INDEX('부작 목록'!$C$2:$C$96,B1167)</f>
        <v/>
      </c>
      <c r="D1167" t="inlineStr">
        <is>
          <t>G 시즌2 독립 취재</t>
        </is>
      </c>
      <c r="E1167" t="n">
        <v>42547</v>
      </c>
      <c r="F1167" t="n">
        <v>47</v>
      </c>
      <c r="G1167" t="inlineStr">
        <is>
          <t>기사가 나간 뒤, 그라다 노르테는 총회 결정에 따라 후원금 반환을 발표하고 다니가 직접 사과문을 읽습니다. 시의회는 도시계획 변경 절차를 중단하고 검찰은 협약에 대한 예비 조사에 착수하지만, 클럽은 시즌 마지막 홈경기에서 결국 강등이 확정됩니다. 알바로는 경기장을 떠나지 않는 관중들 사이에서 푸리 할머니의 마지막 말을 기록합니다.</t>
        </is>
      </c>
    </row>
    <row r="1168">
      <c r="A1168" t="n">
        <v>1167</v>
      </c>
      <c r="B1168" t="n">
        <v>93</v>
      </c>
      <c r="C1168">
        <f>INDEX('부작 목록'!$C$2:$C$96,B1168)</f>
        <v/>
      </c>
      <c r="D1168" t="inlineStr">
        <is>
          <t>G 시즌2 독립 취재</t>
        </is>
      </c>
      <c r="E1168" t="n">
        <v>42596</v>
      </c>
      <c r="F1168" t="n">
        <v>60</v>
      </c>
      <c r="G1168" t="inlineStr">
        <is>
          <t>일상 에피소드. 주말 오후, 알바로와 카밀라, 하비에르, 그리고 카밀라의 오빠 안드레스가 함께 축구장을 찾습니다. 스페인 경기장이 처음인 안드레스는 응원 문화에 금세 빠져들고, 네 사람은 골과 판정 하나하나에 함께 소리 지르며 오후를 보냅니다.</t>
        </is>
      </c>
    </row>
    <row r="1169">
      <c r="A1169" t="n">
        <v>1168</v>
      </c>
      <c r="B1169" t="n">
        <v>94</v>
      </c>
      <c r="C1169">
        <f>INDEX('부작 목록'!$C$2:$C$96,B1169)</f>
        <v/>
      </c>
      <c r="D1169" t="inlineStr">
        <is>
          <t>G 시즌2 독립 취재</t>
        </is>
      </c>
      <c r="E1169" t="n">
        <v>42658</v>
      </c>
      <c r="F1169" t="n">
        <v>48</v>
      </c>
      <c r="G1169" t="inlineStr">
        <is>
          <t>새로운 취재. 하비에르의 열여섯 살 조카 아이타나가 체육 시간에 심장이 두근거려 쓰러지고, 응급실에서 그녀가 수백만 팔로워 인플루언서 클로틸데 만세보가 "광고 아님, 내 경험"이라며 추천한 '칼미아 포커스' 젤리를 몇 주째 먹어 왔다는 사실이 드러납니다. 알바로는 하비에르와 함께 병원을 찾아, 저금을 다 털어 넣고 해지도 안 되는 정기구독에 묶인 아이타나의 이야기를 십대의 말투 그대로 듣습니다.</t>
        </is>
      </c>
    </row>
    <row r="1170">
      <c r="A1170" t="n">
        <v>1169</v>
      </c>
      <c r="B1170" t="n">
        <v>94</v>
      </c>
      <c r="C1170">
        <f>INDEX('부작 목록'!$C$2:$C$96,B1170)</f>
        <v/>
      </c>
      <c r="D1170" t="inlineStr">
        <is>
          <t>G 시즌2 독립 취재</t>
        </is>
      </c>
      <c r="E1170" t="n">
        <v>42708</v>
      </c>
      <c r="F1170" t="n">
        <v>47</v>
      </c>
      <c r="G1170" t="inlineStr">
        <is>
          <t>알바로는 편집장과 함께 하비에르를 공식적으로 이 기사에서 배제하고, 마르코스와 카밀라가 데이터를 맡습니다. 인플루언서 40명의 게시물 수백 건을 분석하자 광고 표시는 극히 일부뿐이고 모두가 같은 대본을 읽고 있음이 드러나며, 대학 식품분석 연구소의 레쿠오나 교수는 젤리 속 카페인은 과다하고 광고된 '천연 성분'은 거의 없다는 결과를 내놓습니다.</t>
        </is>
      </c>
    </row>
    <row r="1171">
      <c r="A1171" t="n">
        <v>1170</v>
      </c>
      <c r="B1171" t="n">
        <v>94</v>
      </c>
      <c r="C1171">
        <f>INDEX('부작 목록'!$C$2:$C$96,B1171)</f>
        <v/>
      </c>
      <c r="D1171" t="inlineStr">
        <is>
          <t>G 시즌2 독립 취재</t>
        </is>
      </c>
      <c r="E1171" t="n">
        <v>42757</v>
      </c>
      <c r="F1171" t="n">
        <v>46</v>
      </c>
      <c r="G1171" t="inlineStr">
        <is>
          <t>알바로는 '사라이피트'라는 계정을 운영하는 열아홉 살 마이크로 인플루언서 사라이 프리에토와 접촉해, 풀포 탤런트가 보낸 대본과 "#광고 태그는 붙이지 마, 가짜 같아 보여"라는 지시, 위약금 조항이 담긴 계약서를 확인합니다. 이어 마르타와 함께 은밀한 광고 금지, 건강 효능 표시 규정, 14일 철회권과 해지 불가 구독 문제 등 소비자법의 쟁점을 하나하나 짚습니다.</t>
        </is>
      </c>
    </row>
    <row r="1172">
      <c r="A1172" t="n">
        <v>1171</v>
      </c>
      <c r="B1172" t="n">
        <v>94</v>
      </c>
      <c r="C1172">
        <f>INDEX('부작 목록'!$C$2:$C$96,B1172)</f>
        <v/>
      </c>
      <c r="D1172" t="inlineStr">
        <is>
          <t>G 시즌2 독립 취재</t>
        </is>
      </c>
      <c r="E1172" t="n">
        <v>42805</v>
      </c>
      <c r="F1172" t="n">
        <v>52</v>
      </c>
      <c r="G1172" t="inlineStr">
        <is>
          <t>반론권을 요청하자 풀포 탤런트의 변호사가 내용증명을 보내고 클로틸데는 영상을 대거 삭제한 채 "혐오에 지쳤다"는 스토리를 올립니다. 게다가 클로틸데의 팬들이 유출자로 엉뚱한 소녀를 지목해 신상털기를 시작하자, 알바로는 사라이의 익명성과 기사 공개 시점 사이에서 고민하고, 결국 변호사를 대동한 클로틸데와 직접 인터뷰합니다.</t>
        </is>
      </c>
    </row>
    <row r="1173">
      <c r="A1173" t="n">
        <v>1172</v>
      </c>
      <c r="B1173" t="n">
        <v>94</v>
      </c>
      <c r="C1173">
        <f>INDEX('부작 목록'!$C$2:$C$96,B1173)</f>
        <v/>
      </c>
      <c r="D1173" t="inlineStr">
        <is>
          <t>G 시즌2 독립 취재</t>
        </is>
      </c>
      <c r="E1173" t="n">
        <v>42859</v>
      </c>
      <c r="F1173" t="n">
        <v>47</v>
      </c>
      <c r="G1173" t="inlineStr">
        <is>
          <t>기사가 나가자 소비자청이 업체와 에이전시를 상대로 제재 절차에 착수하고, 누트리벨리아는 제품을 회수하며 아이타나는 소비자 상담소를 통해 환불을 받습니다. 클로틸데는 메모장 캡처 형식의 매끈한 사과문을 올리지만, 알바로와 하비에르가 지켜보는 가운데 아이타나는 기사에 이름을 싣는 대신 같은 반 친구들을 위해 필터도 할인 코드도 없는 자신만의 영상을 찍기로 합니다.</t>
        </is>
      </c>
    </row>
    <row r="1174">
      <c r="A1174" t="n">
        <v>1173</v>
      </c>
      <c r="B1174" t="n">
        <v>95</v>
      </c>
      <c r="C1174">
        <f>INDEX('부작 목록'!$C$2:$C$96,B1174)</f>
        <v/>
      </c>
      <c r="D1174" t="inlineStr">
        <is>
          <t>G 시즌2 독립 취재</t>
        </is>
      </c>
      <c r="E1174" t="n">
        <v>42908</v>
      </c>
      <c r="F1174" t="n">
        <v>51</v>
      </c>
      <c r="G1174" t="inlineStr">
        <is>
          <t>새로운 취재. 알바로는 바예카스에 사는 83세 아수세나 할머니가 자기도 모르게 전력회사 '루멘 에네르히아'로 계약이 바뀌어 요금 폭탄을 맞았다는 사연을 듣고, 방문판매 하청업체 출신의 카나리아 청년 헤나로를 만나 노인을 노린 서명 위조 영업의 실체를 듣습니다. 그런데 신문사로 돌아오자, 그날 아침 신문 3면 전면광고의 주인공이 바로 루멘입니다.</t>
        </is>
      </c>
    </row>
    <row r="1175">
      <c r="A1175" t="n">
        <v>1174</v>
      </c>
      <c r="B1175" t="n">
        <v>95</v>
      </c>
      <c r="C1175">
        <f>INDEX('부작 목록'!$C$2:$C$96,B1175)</f>
        <v/>
      </c>
      <c r="D1175" t="inlineStr">
        <is>
          <t>G 시즌2 독립 취재</t>
        </is>
      </c>
      <c r="E1175" t="n">
        <v>42961</v>
      </c>
      <c r="F1175" t="n">
        <v>49</v>
      </c>
      <c r="G1175" t="inlineStr">
        <is>
          <t>일주일 후, 알바로는 소비자보호사무소 민원 자료와 내부 메신저 기록으로 기사를 다지고 루멘에 반론 질문서를 보냅니다. 다음 날, 루멘 홍보이사 세실리아의 정중한 전화가 오고, 곧이어 그룹 사장 그레고리오 멘다사와 광고 담당 이사 벨렌이 편집국장실에 나타나 '보도 연기'를 설득합니다. 알바로는 논리로 맞섭니다.</t>
        </is>
      </c>
    </row>
    <row r="1176">
      <c r="A1176" t="n">
        <v>1175</v>
      </c>
      <c r="B1176" t="n">
        <v>95</v>
      </c>
      <c r="C1176">
        <f>INDEX('부작 목록'!$C$2:$C$96,B1176)</f>
        <v/>
      </c>
      <c r="D1176" t="inlineStr">
        <is>
          <t>G 시즌2 독립 취재</t>
        </is>
      </c>
      <c r="E1176" t="n">
        <v>43012</v>
      </c>
      <c r="F1176" t="n">
        <v>49</v>
      </c>
      <c r="G1176" t="inlineStr">
        <is>
          <t>열흘 후, 아침 7시. 알바로는 웹사이트에 실린 자기 기사가 회사명이 빠진 제목, 잘린 피해자 사례, 삭제된 내부 메시지로 '다듬어진' 것을 발견합니다. 그날 밤 마감 데스크를 맡은 사람은 하비에르였고, 오랜 친구 사이에 처음으로 날 선 싸움이 벌어집니다. 집에서는 카밀라가 신문사의 재무 구조를 짚으며 알바로에게 냉정한 질문을 던집니다.</t>
        </is>
      </c>
    </row>
    <row r="1177">
      <c r="A1177" t="n">
        <v>1176</v>
      </c>
      <c r="B1177" t="n">
        <v>95</v>
      </c>
      <c r="C1177">
        <f>INDEX('부작 목록'!$C$2:$C$96,B1177)</f>
        <v/>
      </c>
      <c r="D1177" t="inlineStr">
        <is>
          <t>G 시즌2 독립 취재</t>
        </is>
      </c>
      <c r="E1177" t="n">
        <v>43063</v>
      </c>
      <c r="F1177" t="n">
        <v>52</v>
      </c>
      <c r="G1177" t="inlineStr">
        <is>
          <t>이틀 후, 마르타는 법적으로 기사에 아무 문제가 없었다는 검토 의견서를 내놓아, 삭제가 법률이 아니라 광고 때문이었음을 분명히 합니다. 그날 밤 하비에르가 광고국과 사장 사이의 내부 이메일을 들고 알바로의 집을 찾아와 사과하고, 두 사람은 편집위원회(코미테 데 레닥시온)에 안건을 올립니다. 기자 총회에서는 해고를 두려워하는 동료들과 격렬한 윤리 토론이 벌어집니다.</t>
        </is>
      </c>
    </row>
    <row r="1178">
      <c r="A1178" t="n">
        <v>1177</v>
      </c>
      <c r="B1178" t="n">
        <v>95</v>
      </c>
      <c r="C1178">
        <f>INDEX('부작 목록'!$C$2:$C$96,B1178)</f>
        <v/>
      </c>
      <c r="D1178" t="inlineStr">
        <is>
          <t>G 시즌2 독립 취재</t>
        </is>
      </c>
      <c r="E1178" t="n">
        <v>43117</v>
      </c>
      <c r="F1178" t="n">
        <v>57</v>
      </c>
      <c r="G1178" t="inlineStr">
        <is>
          <t>다음 주, 편집국장은 사장과 마지막 담판을 벌인 끝에 투명성 공지를 붙여 기사 전문을 2부로 싣기로 결정합니다. 루멘은 광고를 철회하고 소비자 당국이 조사에 착수하지만, 2주 뒤 편집국장은 '이사회 자문역'으로 밀려나 짐을 쌉니다. 그리고 한 달 뒤, 신문 7면에 루멘 광고가 다시 실립니다.</t>
        </is>
      </c>
    </row>
  </sheetData>
  <autoFilter ref="A1:G98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14.9" customHeight="1" s="11">
      <c r="A1" s="18" t="inlineStr">
        <is>
          <t>알바로 이야기 첨부 문서(6e765f55-…5.docx) 부작·화 구분표</t>
        </is>
      </c>
    </row>
    <row r="2" ht="15" customHeight="1" s="11">
      <c r="A2" s="20" t="n"/>
    </row>
    <row r="3" ht="15" customHeight="1" s="11">
      <c r="A3" s="18" t="inlineStr">
        <is>
          <t>구분 기준</t>
        </is>
      </c>
    </row>
    <row r="4" ht="14.9" customHeight="1" s="11">
      <c r="A4" s="20" t="inlineStr">
        <is>
          <t>- 화: 문서에서 장면마다 붙은 한국어 상황 설명 문단 1개 = 1화 (총 1177화).</t>
        </is>
      </c>
    </row>
    <row r="5" ht="14.9" customHeight="1" s="11">
      <c r="A5" s="20" t="inlineStr">
        <is>
          <t>- 부작: 상황 설명의 "새로운 작전/취재/세션", "신규 아크", 사건 마무리 문구와 사건 주제가 바뀌는 지점으로 묶음 (총 95부작).</t>
        </is>
      </c>
    </row>
    <row r="6" ht="14.9" customHeight="1" s="11">
      <c r="A6" s="20" t="inlineStr">
        <is>
          <t>- 파트: 부작을 크게 묶은 5개 분류 (A 일상 회화, B 카를로스 사건집, C EU 로비, D 엘 아르키텍토 추적, E 빅토르 안전가옥 세션).</t>
        </is>
      </c>
    </row>
    <row r="7" ht="14.9" customHeight="1" s="11">
      <c r="A7" s="20" t="inlineStr">
        <is>
          <t>- 부작 제목·핵심 내용은 상황 설명을 읽고 직접 붙인 것이며, 문서 원문에 있는 제목이 아닙니다.</t>
        </is>
      </c>
    </row>
    <row r="8" ht="14.9" customHeight="1" s="11">
      <c r="A8" s="20" t="inlineStr">
        <is>
          <t>- 부작 경계(시작 화/끝 화)는 파란색 입력값입니다. 고치면 화 수·대화 줄 수 등은 화 목록과 연동되지만, 화 목록의 부작 번호는 자동 갱신되지 않습니다.</t>
        </is>
      </c>
    </row>
    <row r="9" ht="15" customHeight="1" s="11">
      <c r="A9" s="20" t="n"/>
    </row>
    <row r="10" ht="15" customHeight="1" s="11">
      <c r="A10" s="18" t="inlineStr">
        <is>
          <t>한계</t>
        </is>
      </c>
    </row>
    <row r="11" ht="14.9" customHeight="1" s="11">
      <c r="A11" s="20" t="inlineStr">
        <is>
          <t>- 화 목록의 상황 설명은 원문 발췌이며, 원문 줄바꿈 때문에 한글 사이에 공백이 끼어 있는 곳이 있습니다.</t>
        </is>
      </c>
    </row>
    <row r="12" ht="14.9" customHeight="1" s="11">
      <c r="A12" s="20" t="inlineStr">
        <is>
          <t>- 대화 줄 수는 상황 설명 다음부터 다음 상황 설명 전까지의 문단 수라서 근사값입니다(줄바꿈된 대사는 여러 줄로 셈).</t>
        </is>
      </c>
    </row>
    <row r="13" ht="14.9" customHeight="1" s="11">
      <c r="A13" s="20" t="inlineStr">
        <is>
          <t>- 일부 화는 상황 설명이 한두 문장뿐이라 같은 장면이 둘로 나뉘었을 수 있습니다.</t>
        </is>
      </c>
    </row>
    <row r="14" ht="14.9" customHeight="1" s="11">
      <c r="A14" s="20" t="inlineStr">
        <is>
          <t>- "저장소 해설 폴더"는 장면 수가 일치하는 저장소 폴더(S2-…)를 표시한 것입니다. 120~443화 구간과 대응됩니다.</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2026-10-16T13:19:31Z</dcterms:created>
  <dcterms:modified xmlns:dcterms="http://purl.org/dc/terms/" xmlns:xsi="http://www.w3.org/2001/XMLSchema-instance" xsi:type="dcterms:W3CDTF">2026-10-17T11:40:54Z</dcterms:modified>
  <cp:revision>0</cp:revision>
</cp:coreProperties>
</file>