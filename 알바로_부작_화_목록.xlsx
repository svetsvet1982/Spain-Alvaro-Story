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부작 목록" sheetId="1" state="visible" r:id="rId1"/>
    <sheet xmlns:r="http://schemas.openxmlformats.org/officeDocument/2006/relationships" name="화 목록" sheetId="2" state="visible" r:id="rId2"/>
    <sheet xmlns:r="http://schemas.openxmlformats.org/officeDocument/2006/relationships" name="설명" sheetId="3" state="visible" r:id="rId3"/>
  </sheets>
  <definedNames>
    <definedName name="_xlnm._FilterDatabase" localSheetId="0" hidden="1">'부작 목록'!$A$1:$I$66</definedName>
    <definedName name="_xlnm._FilterDatabase" localSheetId="1" hidden="1">'화 목록'!$A$1:$G$981</definedName>
  </definedNames>
  <calcPr calcId="124519" fullCalcOnLoad="1" refMode="A1" iterate="0" iterateCount="100" iterateDelta="0.0001"/>
</workbook>
</file>

<file path=xl/styles.xml><?xml version="1.0" encoding="utf-8"?>
<styleSheet xmlns="http://schemas.openxmlformats.org/spreadsheetml/2006/main">
  <numFmts count="0"/>
  <fonts count="11">
    <font>
      <name val="Calibri"/>
      <charset val="1"/>
      <family val="2"/>
      <color theme="1"/>
      <sz val="11"/>
    </font>
    <font>
      <name val="Arial"/>
      <family val="0"/>
      <sz val="10"/>
    </font>
    <font>
      <name val="Arial"/>
      <family val="0"/>
      <sz val="10"/>
    </font>
    <font>
      <name val="Arial"/>
      <family val="0"/>
      <sz val="10"/>
    </font>
    <font>
      <name val="WenQuanYi Zen Hei"/>
      <family val="2"/>
      <b val="1"/>
      <color rgb="FFFFFFFF"/>
      <sz val="11"/>
    </font>
    <font>
      <name val="Arial"/>
      <charset val="1"/>
      <family val="0"/>
      <b val="1"/>
      <color rgb="FFFFFFFF"/>
      <sz val="11"/>
    </font>
    <font>
      <name val="Arial"/>
      <charset val="1"/>
      <family val="0"/>
      <sz val="11"/>
    </font>
    <font>
      <name val="WenQuanYi Zen Hei"/>
      <family val="2"/>
      <sz val="11"/>
    </font>
    <font>
      <name val="Arial"/>
      <charset val="1"/>
      <family val="0"/>
      <color rgb="FF0000FF"/>
      <sz val="11"/>
    </font>
    <font>
      <name val="WenQuanYi Zen Hei"/>
      <family val="2"/>
      <b val="1"/>
      <sz val="11"/>
    </font>
    <font>
      <name val="Arial"/>
      <charset val="1"/>
      <family val="0"/>
      <b val="1"/>
      <sz val="11"/>
    </font>
  </fonts>
  <fills count="3">
    <fill>
      <patternFill/>
    </fill>
    <fill>
      <patternFill patternType="gray125"/>
    </fill>
    <fill>
      <patternFill patternType="solid">
        <fgColor rgb="FF1F3864"/>
        <bgColor rgb="FF333333"/>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1">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6" fillId="0" borderId="1" applyAlignment="1" pivotButton="0" quotePrefix="0" xfId="0">
      <alignment horizontal="center" vertical="top"/>
    </xf>
    <xf numFmtId="0" fontId="6" fillId="0" borderId="1" applyAlignment="1" pivotButton="0" quotePrefix="0" xfId="0">
      <alignment horizontal="left" vertical="top"/>
    </xf>
    <xf numFmtId="0" fontId="7" fillId="0" borderId="1" applyAlignment="1" pivotButton="0" quotePrefix="0" xfId="0">
      <alignment horizontal="left" vertical="top" wrapText="1"/>
    </xf>
    <xf numFmtId="0" fontId="8" fillId="0" borderId="1" applyAlignment="1" pivotButton="0" quotePrefix="0" xfId="0">
      <alignment horizontal="center" vertical="top"/>
    </xf>
    <xf numFmtId="0" fontId="6" fillId="0" borderId="1" applyAlignment="1" pivotButton="0" quotePrefix="0" xfId="0">
      <alignment horizontal="left" vertical="top" wrapText="1"/>
    </xf>
    <xf numFmtId="0" fontId="9" fillId="0" borderId="0" applyAlignment="1" pivotButton="0" quotePrefix="0" xfId="0">
      <alignment horizontal="general" vertical="bottom"/>
    </xf>
    <xf numFmtId="0" fontId="4" fillId="2" borderId="1" applyAlignment="1" pivotButton="0" quotePrefix="0" xfId="0">
      <alignment horizontal="center" vertical="center"/>
    </xf>
    <xf numFmtId="0" fontId="6"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6" fillId="0" borderId="1" applyAlignment="1" pivotButton="0" quotePrefix="0" xfId="0">
      <alignment horizontal="center" vertical="top"/>
    </xf>
    <xf numFmtId="0" fontId="6" fillId="0" borderId="1" applyAlignment="1" pivotButton="0" quotePrefix="0" xfId="0">
      <alignment horizontal="left" vertical="top"/>
    </xf>
    <xf numFmtId="0" fontId="7" fillId="0" borderId="1" applyAlignment="1" pivotButton="0" quotePrefix="0" xfId="0">
      <alignment horizontal="left" vertical="top" wrapText="1"/>
    </xf>
    <xf numFmtId="0" fontId="8" fillId="0" borderId="1" applyAlignment="1" pivotButton="0" quotePrefix="0" xfId="0">
      <alignment horizontal="center" vertical="top"/>
    </xf>
    <xf numFmtId="0" fontId="6" fillId="0" borderId="1" applyAlignment="1" pivotButton="0" quotePrefix="0" xfId="0">
      <alignment horizontal="left" vertical="top" wrapText="1"/>
    </xf>
    <xf numFmtId="0" fontId="9" fillId="0" borderId="0" applyAlignment="1" pivotButton="0" quotePrefix="0" xfId="0">
      <alignment horizontal="general" vertical="bottom"/>
    </xf>
    <xf numFmtId="0" fontId="4" fillId="2" borderId="1" applyAlignment="1" pivotButton="0" quotePrefix="0" xfId="0">
      <alignment horizontal="center" vertical="center"/>
    </xf>
    <xf numFmtId="0" fontId="6"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I67"/>
  <sheetViews>
    <sheetView showFormulas="0" showGridLines="1" showRowColHeaders="1" showZeros="1" rightToLeft="0" tabSelected="1" showOutlineSymbols="1" defaultGridColor="1"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baseColWidth="8" defaultColWidth="8.6796875" defaultRowHeight="15" zeroHeight="0" outlineLevelRow="0"/>
  <cols>
    <col width="9" customWidth="1" style="10" min="1" max="1"/>
    <col width="22" customWidth="1" style="10" min="2" max="2"/>
    <col width="36" customWidth="1" style="10" min="3" max="3"/>
    <col width="8" customWidth="1" style="10" min="4" max="6"/>
    <col width="12" customWidth="1" style="10" min="7" max="7"/>
    <col width="70" customWidth="1" style="10" min="8" max="8"/>
    <col width="22" customWidth="1" style="10" min="9" max="9"/>
  </cols>
  <sheetData>
    <row r="1" ht="31.5" customHeight="1" s="11">
      <c r="A1" s="12" t="inlineStr">
        <is>
          <t>부작 번호</t>
        </is>
      </c>
      <c r="B1" s="12" t="inlineStr">
        <is>
          <t>파트</t>
        </is>
      </c>
      <c r="C1" s="12" t="inlineStr">
        <is>
          <t>부작 제목</t>
        </is>
      </c>
      <c r="D1" s="12" t="inlineStr">
        <is>
          <t>시작 화</t>
        </is>
      </c>
      <c r="E1" s="12" t="inlineStr">
        <is>
          <t>끝 화</t>
        </is>
      </c>
      <c r="F1" s="12" t="inlineStr">
        <is>
          <t>화 수</t>
        </is>
      </c>
      <c r="G1" s="12" t="inlineStr">
        <is>
          <t>대화 줄 수(근사)</t>
        </is>
      </c>
      <c r="H1" s="12" t="inlineStr">
        <is>
          <t>핵심 내용</t>
        </is>
      </c>
      <c r="I1" s="12" t="inlineStr">
        <is>
          <t>저장소 해설 폴더</t>
        </is>
      </c>
    </row>
    <row r="2" ht="28.35" customHeight="1" s="11">
      <c r="A2" s="13" t="n">
        <v>1</v>
      </c>
      <c r="B2" s="14" t="inlineStr">
        <is>
          <t>A 일상 회화</t>
        </is>
      </c>
      <c r="C2" s="15" t="inlineStr">
        <is>
          <t>식당 수다와 『리처』 토론</t>
        </is>
      </c>
      <c r="D2" s="16" t="n">
        <v>1</v>
      </c>
      <c r="E2" s="16" t="n">
        <v>7</v>
      </c>
      <c r="F2" s="13">
        <f>COUNTIF('화 목록'!$B$2:$B$981,A2)</f>
        <v/>
      </c>
      <c r="G2" s="13">
        <f>SUMIF('화 목록'!$B$2:$B$981,A2,'화 목록'!$F$2:$F$981)</f>
        <v/>
      </c>
      <c r="H2" s="15" t="inlineStr">
        <is>
          <t>마드리드 식당·카페에서 하비에르와 알바로가 책·드라마·기사를 두고 나누는 40대 기자 친구의 일상 대화</t>
        </is>
      </c>
      <c r="I2" s="14" t="n"/>
    </row>
    <row r="3" ht="28.35" customHeight="1" s="11">
      <c r="A3" s="13" t="n">
        <v>2</v>
      </c>
      <c r="B3" s="14" t="inlineStr">
        <is>
          <t>A 일상 회화</t>
        </is>
      </c>
      <c r="C3" s="15" t="inlineStr">
        <is>
          <t>해안 불법 개발 탐사보도</t>
        </is>
      </c>
      <c r="D3" s="16" t="n">
        <v>8</v>
      </c>
      <c r="E3" s="16" t="n">
        <v>13</v>
      </c>
      <c r="F3" s="13">
        <f>COUNTIF('화 목록'!$B$2:$B$981,A3)</f>
        <v/>
      </c>
      <c r="G3" s="13">
        <f>SUMIF('화 목록'!$B$2:$B$981,A3,'화 목록'!$F$2:$F$981)</f>
        <v/>
      </c>
      <c r="H3" s="15" t="inlineStr">
        <is>
          <t>불법 토지 개발 취재 전략, 제보자 인터뷰, 협박 전화, 국장실 논쟁, 기사 발행</t>
        </is>
      </c>
      <c r="I3" s="14" t="n"/>
    </row>
    <row r="4" ht="15" customHeight="1" s="11">
      <c r="A4" s="13" t="n">
        <v>3</v>
      </c>
      <c r="B4" s="14" t="inlineStr">
        <is>
          <t>A 일상 회화</t>
        </is>
      </c>
      <c r="C4" s="15" t="inlineStr">
        <is>
          <t>신문 기사 읽기 대화</t>
        </is>
      </c>
      <c r="D4" s="16" t="n">
        <v>14</v>
      </c>
      <c r="E4" s="16" t="n">
        <v>25</v>
      </c>
      <c r="F4" s="13">
        <f>COUNTIF('화 목록'!$B$2:$B$981,A4)</f>
        <v/>
      </c>
      <c r="G4" s="13">
        <f>SUMIF('화 목록'!$B$2:$B$981,A4,'화 목록'!$F$2:$F$981)</f>
        <v/>
      </c>
      <c r="H4" s="15" t="inlineStr">
        <is>
          <t>엘 파이스·WSJ·엘 문도 기사를 읽으며 나누는 국제 정세·사회 이슈 토론</t>
        </is>
      </c>
      <c r="I4" s="14" t="n"/>
    </row>
    <row r="5" ht="28.35" customHeight="1" s="11">
      <c r="A5" s="13" t="n">
        <v>4</v>
      </c>
      <c r="B5" s="14" t="inlineStr">
        <is>
          <t>B 카를로스 사건집</t>
        </is>
      </c>
      <c r="C5" s="15" t="inlineStr">
        <is>
          <t>카디스 무기 밀매 잠입</t>
        </is>
      </c>
      <c r="D5" s="16" t="n">
        <v>26</v>
      </c>
      <c r="E5" s="16" t="n">
        <v>52</v>
      </c>
      <c r="F5" s="13">
        <f>COUNTIF('화 목록'!$B$2:$B$981,A5)</f>
        <v/>
      </c>
      <c r="G5" s="13">
        <f>SUMIF('화 목록'!$B$2:$B$981,A5,'화 목록'!$F$2:$F$981)</f>
        <v/>
      </c>
      <c r="H5" s="17" t="inlineStr">
        <is>
          <t>CNI 카를로스와 재회, 위장 신분 디에고로 파비안 조직에 잠입, 카르타헤나·베네수엘라(루에다), 하비에르 제거 계획 저지</t>
        </is>
      </c>
      <c r="I5" s="14" t="n"/>
    </row>
    <row r="6" ht="15" customHeight="1" s="11">
      <c r="A6" s="13" t="n">
        <v>5</v>
      </c>
      <c r="B6" s="14" t="inlineStr">
        <is>
          <t>B 카를로스 사건집</t>
        </is>
      </c>
      <c r="C6" s="15" t="inlineStr">
        <is>
          <t>마드리드 경매장과 치무 황금 칼</t>
        </is>
      </c>
      <c r="D6" s="16" t="n">
        <v>53</v>
      </c>
      <c r="E6" s="16" t="n">
        <v>61</v>
      </c>
      <c r="F6" s="13">
        <f>COUNTIF('화 목록'!$B$2:$B$981,A6)</f>
        <v/>
      </c>
      <c r="G6" s="13">
        <f>SUMIF('화 목록'!$B$2:$B$981,A6,'화 목록'!$F$2:$F$981)</f>
        <v/>
      </c>
      <c r="H6" s="15" t="inlineStr">
        <is>
          <t>위장 신분 다니엘로 유물 밀반출 조직에 잠입, 경매 당일 급습</t>
        </is>
      </c>
      <c r="I6" s="14" t="n"/>
    </row>
    <row r="7" ht="15" customHeight="1" s="11">
      <c r="A7" s="13" t="n">
        <v>6</v>
      </c>
      <c r="B7" s="14" t="inlineStr">
        <is>
          <t>B 카를로스 사건집</t>
        </is>
      </c>
      <c r="C7" s="15" t="inlineStr">
        <is>
          <t>스페인-페루 유물 반환 협상</t>
        </is>
      </c>
      <c r="D7" s="16" t="n">
        <v>62</v>
      </c>
      <c r="E7" s="16" t="n">
        <v>66</v>
      </c>
      <c r="F7" s="13">
        <f>COUNTIF('화 목록'!$B$2:$B$981,A7)</f>
        <v/>
      </c>
      <c r="G7" s="13">
        <f>SUMIF('화 목록'!$B$2:$B$981,A7,'화 목록'!$F$2:$F$981)</f>
        <v/>
      </c>
      <c r="H7" s="15" t="inlineStr">
        <is>
          <t>치무 칼 반환 이후 포괄적 반환 협상, 키푸 쟁점, 최종 서명</t>
        </is>
      </c>
      <c r="I7" s="14" t="n"/>
    </row>
    <row r="8" ht="28.35" customHeight="1" s="11">
      <c r="A8" s="13" t="n">
        <v>7</v>
      </c>
      <c r="B8" s="14" t="inlineStr">
        <is>
          <t>B 카를로스 사건집</t>
        </is>
      </c>
      <c r="C8" s="15" t="inlineStr">
        <is>
          <t>대마 합법화와 베르데갈 캐피털</t>
        </is>
      </c>
      <c r="D8" s="16" t="n">
        <v>67</v>
      </c>
      <c r="E8" s="16" t="n">
        <v>95</v>
      </c>
      <c r="F8" s="13">
        <f>COUNTIF('화 목록'!$B$2:$B$981,A8)</f>
        <v/>
      </c>
      <c r="G8" s="13">
        <f>SUMIF('화 목록'!$B$2:$B$981,A8,'화 목록'!$F$2:$F$981)</f>
        <v/>
      </c>
      <c r="H8" s="15" t="inlineStr">
        <is>
          <t>정치인-투자펀드 금전 연결고리, 마르코 아길라르 신분 잠입, 카스타뇨·아리사 조직 와해</t>
        </is>
      </c>
      <c r="I8" s="14" t="n"/>
    </row>
    <row r="9" ht="15" customHeight="1" s="11">
      <c r="A9" s="13" t="n">
        <v>8</v>
      </c>
      <c r="B9" s="14" t="inlineStr">
        <is>
          <t>B 카를로스 사건집</t>
        </is>
      </c>
      <c r="C9" s="15" t="inlineStr">
        <is>
          <t>라몬 재판과 자금 추적</t>
        </is>
      </c>
      <c r="D9" s="16" t="n">
        <v>96</v>
      </c>
      <c r="E9" s="16" t="n">
        <v>115</v>
      </c>
      <c r="F9" s="13">
        <f>COUNTIF('화 목록'!$B$2:$B$981,A9)</f>
        <v/>
      </c>
      <c r="G9" s="13">
        <f>SUMIF('화 목록'!$B$2:$B$981,A9,'화 목록'!$F$2:$F$981)</f>
        <v/>
      </c>
      <c r="H9" s="15" t="inlineStr">
        <is>
          <t>정치자금 세탁 추적, 청문회·재판, 증인 수아소 사망, 폭발 사건</t>
        </is>
      </c>
      <c r="I9" s="14" t="inlineStr">
        <is>
          <t>S2-라몬재판-자금추적</t>
        </is>
      </c>
    </row>
    <row r="10" ht="15" customHeight="1" s="11">
      <c r="A10" s="13" t="n">
        <v>9</v>
      </c>
      <c r="B10" s="14" t="inlineStr">
        <is>
          <t>B 카를로스 사건집</t>
        </is>
      </c>
      <c r="C10" s="15" t="inlineStr">
        <is>
          <t>명품 위조 조직</t>
        </is>
      </c>
      <c r="D10" s="16" t="n">
        <v>116</v>
      </c>
      <c r="E10" s="16" t="n">
        <v>122</v>
      </c>
      <c r="F10" s="13">
        <f>COUNTIF('화 목록'!$B$2:$B$981,A10)</f>
        <v/>
      </c>
      <c r="G10" s="13">
        <f>SUMIF('화 목록'!$B$2:$B$981,A10,'화 목록'!$F$2:$F$981)</f>
        <v/>
      </c>
      <c r="H10" s="15" t="inlineStr">
        <is>
          <t>톰포드·스페인 명품 위조품 유통망 잠입과 생산 작업장 급습</t>
        </is>
      </c>
      <c r="I10" s="14" t="n"/>
    </row>
    <row r="11" ht="15" customHeight="1" s="11">
      <c r="A11" s="13" t="n">
        <v>10</v>
      </c>
      <c r="B11" s="14" t="inlineStr">
        <is>
          <t>B 카를로스 사건집</t>
        </is>
      </c>
      <c r="C11" s="15" t="inlineStr">
        <is>
          <t>의료관광 클리닉</t>
        </is>
      </c>
      <c r="D11" s="16" t="n">
        <v>123</v>
      </c>
      <c r="E11" s="16" t="n">
        <v>131</v>
      </c>
      <c r="F11" s="13">
        <f>COUNTIF('화 목록'!$B$2:$B$981,A11)</f>
        <v/>
      </c>
      <c r="G11" s="13">
        <f>SUMIF('화 목록'!$B$2:$B$981,A11,'화 목록'!$F$2:$F$981)</f>
        <v/>
      </c>
      <c r="H11" s="15" t="inlineStr">
        <is>
          <t>가짜 백신·미허가 시술 클리닉 잠입, 시료 분석, 실소유주 추적</t>
        </is>
      </c>
      <c r="I11" s="14" t="inlineStr">
        <is>
          <t>S2-의료관광</t>
        </is>
      </c>
    </row>
    <row r="12" ht="15" customHeight="1" s="11">
      <c r="A12" s="13" t="n">
        <v>11</v>
      </c>
      <c r="B12" s="14" t="inlineStr">
        <is>
          <t>B 카를로스 사건집</t>
        </is>
      </c>
      <c r="C12" s="15" t="inlineStr">
        <is>
          <t>위기 대응 긴급자금 횡령</t>
        </is>
      </c>
      <c r="D12" s="16" t="n">
        <v>132</v>
      </c>
      <c r="E12" s="16" t="n">
        <v>138</v>
      </c>
      <c r="F12" s="13">
        <f>COUNTIF('화 목록'!$B$2:$B$981,A12)</f>
        <v/>
      </c>
      <c r="G12" s="13">
        <f>SUMIF('화 목록'!$B$2:$B$981,A12,'화 목록'!$F$2:$F$981)</f>
        <v/>
      </c>
      <c r="H12" s="15" t="inlineStr">
        <is>
          <t>가상 자치도시 푸에르토 알토의 긴급자금 횡령 취재</t>
        </is>
      </c>
      <c r="I12" s="14" t="n"/>
    </row>
    <row r="13" ht="15" customHeight="1" s="11">
      <c r="A13" s="13" t="n">
        <v>12</v>
      </c>
      <c r="B13" s="14" t="inlineStr">
        <is>
          <t>B 카를로스 사건집</t>
        </is>
      </c>
      <c r="C13" s="15" t="inlineStr">
        <is>
          <t>북극 신항로 이중용도 밀수</t>
        </is>
      </c>
      <c r="D13" s="16" t="n">
        <v>139</v>
      </c>
      <c r="E13" s="16" t="n">
        <v>146</v>
      </c>
      <c r="F13" s="13">
        <f>COUNTIF('화 목록'!$B$2:$B$981,A13)</f>
        <v/>
      </c>
      <c r="G13" s="13">
        <f>SUMIF('화 목록'!$B$2:$B$981,A13,'화 목록'!$F$2:$F$981)</f>
        <v/>
      </c>
      <c r="H13" s="15" t="inlineStr">
        <is>
          <t>노르티아 로히스티카 잠입, 화물 명세서 확보, 선적일 급습</t>
        </is>
      </c>
      <c r="I13" s="14" t="inlineStr">
        <is>
          <t>S2-북극항로</t>
        </is>
      </c>
    </row>
    <row r="14" ht="15" customHeight="1" s="11">
      <c r="A14" s="13" t="n">
        <v>13</v>
      </c>
      <c r="B14" s="14" t="inlineStr">
        <is>
          <t>B 카를로스 사건집</t>
        </is>
      </c>
      <c r="C14" s="17" t="inlineStr">
        <is>
          <t>AI 컴패니언 앱 사기</t>
        </is>
      </c>
      <c r="D14" s="16" t="n">
        <v>147</v>
      </c>
      <c r="E14" s="16" t="n">
        <v>153</v>
      </c>
      <c r="F14" s="13">
        <f>COUNTIF('화 목록'!$B$2:$B$981,A14)</f>
        <v/>
      </c>
      <c r="G14" s="13">
        <f>SUMIF('화 목록'!$B$2:$B$981,A14,'화 목록'!$F$2:$F$981)</f>
        <v/>
      </c>
      <c r="H14" s="17" t="inlineStr">
        <is>
          <t>AI 동반자 앱을 이용한 정서적 포섭 사기와 소비자보호 당국 개입</t>
        </is>
      </c>
      <c r="I14" s="14" t="n"/>
    </row>
    <row r="15" ht="15" customHeight="1" s="11">
      <c r="A15" s="13" t="n">
        <v>14</v>
      </c>
      <c r="B15" s="14" t="inlineStr">
        <is>
          <t>B 카를로스 사건집</t>
        </is>
      </c>
      <c r="C15" s="15" t="inlineStr">
        <is>
          <t>반티아 재난 은폐 검증</t>
        </is>
      </c>
      <c r="D15" s="16" t="n">
        <v>154</v>
      </c>
      <c r="E15" s="16" t="n">
        <v>159</v>
      </c>
      <c r="F15" s="13">
        <f>COUNTIF('화 목록'!$B$2:$B$981,A15)</f>
        <v/>
      </c>
      <c r="G15" s="13">
        <f>SUMIF('화 목록'!$B$2:$B$981,A15,'화 목록'!$F$2:$F$981)</f>
        <v/>
      </c>
      <c r="H15" s="15" t="inlineStr">
        <is>
          <t>위성사진·영상으로 가상국 반티아의 빙하 붕괴 피해 은폐를 검증하는 보도</t>
        </is>
      </c>
      <c r="I15" s="14" t="n"/>
    </row>
    <row r="16" ht="15" customHeight="1" s="11">
      <c r="A16" s="13" t="n">
        <v>15</v>
      </c>
      <c r="B16" s="14" t="inlineStr">
        <is>
          <t>B 카를로스 사건집</t>
        </is>
      </c>
      <c r="C16" s="15" t="inlineStr">
        <is>
          <t>야마이라 재건 리베이트</t>
        </is>
      </c>
      <c r="D16" s="16" t="n">
        <v>160</v>
      </c>
      <c r="E16" s="16" t="n">
        <v>165</v>
      </c>
      <c r="F16" s="13">
        <f>COUNTIF('화 목록'!$B$2:$B$981,A16)</f>
        <v/>
      </c>
      <c r="G16" s="13">
        <f>SUMIF('화 목록'!$B$2:$B$981,A16,'화 목록'!$F$2:$F$981)</f>
        <v/>
      </c>
      <c r="H16" s="15" t="inlineStr">
        <is>
          <t>재건 붐 리베이트·자금세탁, 루에다 세계관 확장</t>
        </is>
      </c>
      <c r="I16" s="14" t="n"/>
    </row>
    <row r="17" ht="15" customHeight="1" s="11">
      <c r="A17" s="13" t="n">
        <v>16</v>
      </c>
      <c r="B17" s="14" t="inlineStr">
        <is>
          <t>B 카를로스 사건집</t>
        </is>
      </c>
      <c r="C17" s="15" t="inlineStr">
        <is>
          <t>아이슬란드 어업 쿼터 재협상(1)</t>
        </is>
      </c>
      <c r="D17" s="16" t="n">
        <v>166</v>
      </c>
      <c r="E17" s="16" t="n">
        <v>168</v>
      </c>
      <c r="F17" s="13">
        <f>COUNTIF('화 목록'!$B$2:$B$981,A17)</f>
        <v/>
      </c>
      <c r="G17" s="13">
        <f>SUMIF('화 목록'!$B$2:$B$981,A17,'화 목록'!$F$2:$F$981)</f>
        <v/>
      </c>
      <c r="H17" s="15" t="inlineStr">
        <is>
          <t>스페인-아이슬란드 어획 쿼터 협상 취재</t>
        </is>
      </c>
      <c r="I17" s="14" t="n"/>
    </row>
    <row r="18" ht="15" customHeight="1" s="11">
      <c r="A18" s="13" t="n">
        <v>17</v>
      </c>
      <c r="B18" s="14" t="inlineStr">
        <is>
          <t>B 카를로스 사건집</t>
        </is>
      </c>
      <c r="C18" s="15" t="inlineStr">
        <is>
          <t>가짜 자선단체 기부금 횡령(1)</t>
        </is>
      </c>
      <c r="D18" s="16" t="n">
        <v>169</v>
      </c>
      <c r="E18" s="16" t="n">
        <v>172</v>
      </c>
      <c r="F18" s="13">
        <f>COUNTIF('화 목록'!$B$2:$B$981,A18)</f>
        <v/>
      </c>
      <c r="G18" s="13">
        <f>SUMIF('화 목록'!$B$2:$B$981,A18,'화 목록'!$F$2:$F$981)</f>
        <v/>
      </c>
      <c r="H18" s="15" t="inlineStr">
        <is>
          <t>어린이 의료지원 명목 자선단체의 기부금 횡령 취재</t>
        </is>
      </c>
      <c r="I18" s="14" t="n"/>
    </row>
    <row r="19" ht="15" customHeight="1" s="11">
      <c r="A19" s="13" t="n">
        <v>18</v>
      </c>
      <c r="B19" s="14" t="inlineStr">
        <is>
          <t>B 카를로스 사건집</t>
        </is>
      </c>
      <c r="C19" s="15" t="inlineStr">
        <is>
          <t>푸에르토 수르 이주 긴급자금</t>
        </is>
      </c>
      <c r="D19" s="16" t="n">
        <v>173</v>
      </c>
      <c r="E19" s="16" t="n">
        <v>179</v>
      </c>
      <c r="F19" s="13">
        <f>COUNTIF('화 목록'!$B$2:$B$981,A19)</f>
        <v/>
      </c>
      <c r="G19" s="13">
        <f>SUMIF('화 목록'!$B$2:$B$981,A19,'화 목록'!$F$2:$F$981)</f>
        <v/>
      </c>
      <c r="H19" s="15" t="inlineStr">
        <is>
          <t>이주 위기 대응 긴급자금의 수상한 집행, 물류업체 위장, 체포와 보도</t>
        </is>
      </c>
      <c r="I19" s="14" t="n"/>
    </row>
    <row r="20" ht="28.35" customHeight="1" s="11">
      <c r="A20" s="13" t="n">
        <v>19</v>
      </c>
      <c r="B20" s="14" t="inlineStr">
        <is>
          <t>B 카를로스 사건집</t>
        </is>
      </c>
      <c r="C20" s="15" t="inlineStr">
        <is>
          <t>북극 신항로 해운기업 조사</t>
        </is>
      </c>
      <c r="D20" s="16" t="n">
        <v>180</v>
      </c>
      <c r="E20" s="16" t="n">
        <v>189</v>
      </c>
      <c r="F20" s="13">
        <f>COUNTIF('화 목록'!$B$2:$B$981,A20)</f>
        <v/>
      </c>
      <c r="G20" s="13">
        <f>SUMIF('화 목록'!$B$2:$B$981,A20,'화 목록'!$F$2:$F$981)</f>
        <v/>
      </c>
      <c r="H20" s="15" t="inlineStr">
        <is>
          <t>가상 해운기업 노르티아 나비에라 조사, 재수출 경로 추적, 알헤시라스 항구 압류</t>
        </is>
      </c>
      <c r="I20" s="14" t="n"/>
    </row>
    <row r="21" ht="15" customHeight="1" s="11">
      <c r="A21" s="13" t="n">
        <v>20</v>
      </c>
      <c r="B21" s="14" t="inlineStr">
        <is>
          <t>B 카를로스 사건집</t>
        </is>
      </c>
      <c r="C21" s="15" t="inlineStr">
        <is>
          <t>이모 로사와 AI 동반자 앱</t>
        </is>
      </c>
      <c r="D21" s="16" t="n">
        <v>190</v>
      </c>
      <c r="E21" s="16" t="n">
        <v>196</v>
      </c>
      <c r="F21" s="13">
        <f>COUNTIF('화 목록'!$B$2:$B$981,A21)</f>
        <v/>
      </c>
      <c r="G21" s="13">
        <f>SUMIF('화 목록'!$B$2:$B$981,A21,'화 목록'!$F$2:$F$981)</f>
        <v/>
      </c>
      <c r="H21" s="15" t="inlineStr">
        <is>
          <t>가족이 피해를 입은 AI 동반자 앱 사건, 가짜 프로필 취재, 보도</t>
        </is>
      </c>
      <c r="I21" s="14" t="n"/>
    </row>
    <row r="22" ht="15" customHeight="1" s="11">
      <c r="A22" s="13" t="n">
        <v>21</v>
      </c>
      <c r="B22" s="14" t="inlineStr">
        <is>
          <t>B 카를로스 사건집</t>
        </is>
      </c>
      <c r="C22" s="15" t="inlineStr">
        <is>
          <t>몬타냐 델 노르테 산사태 은폐</t>
        </is>
      </c>
      <c r="D22" s="16" t="n">
        <v>197</v>
      </c>
      <c r="E22" s="16" t="n">
        <v>203</v>
      </c>
      <c r="F22" s="13">
        <f>COUNTIF('화 목록'!$B$2:$B$981,A22)</f>
        <v/>
      </c>
      <c r="G22" s="13">
        <f>SUMIF('화 목록'!$B$2:$B$981,A22,'화 목록'!$F$2:$F$981)</f>
        <v/>
      </c>
      <c r="H22" s="15" t="inlineStr">
        <is>
          <t>가상 산악국가의 재해 규모 축소·은폐 검증과 국제 반향</t>
        </is>
      </c>
      <c r="I22" s="14" t="n"/>
    </row>
    <row r="23" ht="28.35" customHeight="1" s="11">
      <c r="A23" s="13" t="n">
        <v>22</v>
      </c>
      <c r="B23" s="14" t="inlineStr">
        <is>
          <t>B 카를로스 사건집</t>
        </is>
      </c>
      <c r="C23" s="15" t="inlineStr">
        <is>
          <t>카바나스 재건 사업과 컨설턴트 위장</t>
        </is>
      </c>
      <c r="D23" s="16" t="n">
        <v>204</v>
      </c>
      <c r="E23" s="16" t="n">
        <v>213</v>
      </c>
      <c r="F23" s="13">
        <f>COUNTIF('화 목록'!$B$2:$B$981,A23)</f>
        <v/>
      </c>
      <c r="G23" s="13">
        <f>SUMIF('화 목록'!$B$2:$B$981,A23,'화 목록'!$F$2:$F$981)</f>
        <v/>
      </c>
      <c r="H23" s="15" t="inlineStr">
        <is>
          <t>루에다 잔당 자금이 흘러든 재건 사업, 커미션 지급 추적, 현지 반부패팀 공조</t>
        </is>
      </c>
      <c r="I23" s="14" t="n"/>
    </row>
    <row r="24" ht="15" customHeight="1" s="11">
      <c r="A24" s="13" t="n">
        <v>23</v>
      </c>
      <c r="B24" s="14" t="inlineStr">
        <is>
          <t>B 카를로스 사건집</t>
        </is>
      </c>
      <c r="C24" s="15" t="inlineStr">
        <is>
          <t>아이슬란드 어획 쿼터 협상(2)</t>
        </is>
      </c>
      <c r="D24" s="16" t="n">
        <v>214</v>
      </c>
      <c r="E24" s="16" t="n">
        <v>220</v>
      </c>
      <c r="F24" s="13">
        <f>COUNTIF('화 목록'!$B$2:$B$981,A24)</f>
        <v/>
      </c>
      <c r="G24" s="13">
        <f>SUMIF('화 목록'!$B$2:$B$981,A24,'화 목록'!$F$2:$F$981)</f>
        <v/>
      </c>
      <c r="H24" s="15" t="inlineStr">
        <is>
          <t>비고에서 열린 협상 세션과 협정 서명</t>
        </is>
      </c>
      <c r="I24" s="14" t="n"/>
    </row>
    <row r="25" ht="15" customHeight="1" s="11">
      <c r="A25" s="13" t="n">
        <v>24</v>
      </c>
      <c r="B25" s="14" t="inlineStr">
        <is>
          <t>B 카를로스 사건집</t>
        </is>
      </c>
      <c r="C25" s="15" t="inlineStr">
        <is>
          <t>에스페란사 글로벌 기부금 횡령</t>
        </is>
      </c>
      <c r="D25" s="16" t="n">
        <v>221</v>
      </c>
      <c r="E25" s="16" t="n">
        <v>228</v>
      </c>
      <c r="F25" s="13">
        <f>COUNTIF('화 목록'!$B$2:$B$981,A25)</f>
        <v/>
      </c>
      <c r="G25" s="13">
        <f>SUMIF('화 목록'!$B$2:$B$981,A25,'화 목록'!$F$2:$F$981)</f>
        <v/>
      </c>
      <c r="H25" s="15" t="inlineStr">
        <is>
          <t>국제 원조 자선단체 횡령 의혹, 자선 갈라 잠입, 법원 명령 집행</t>
        </is>
      </c>
      <c r="I25" s="14" t="n"/>
    </row>
    <row r="26" ht="15" customHeight="1" s="11">
      <c r="A26" s="13" t="n">
        <v>25</v>
      </c>
      <c r="B26" s="14" t="inlineStr">
        <is>
          <t>B 카를로스 사건집</t>
        </is>
      </c>
      <c r="C26" s="15" t="inlineStr">
        <is>
          <t>원전 설계도 유출(페냐 알타)</t>
        </is>
      </c>
      <c r="D26" s="16" t="n">
        <v>229</v>
      </c>
      <c r="E26" s="16" t="n">
        <v>244</v>
      </c>
      <c r="F26" s="13">
        <f>COUNTIF('화 목록'!$B$2:$B$981,A26)</f>
        <v/>
      </c>
      <c r="G26" s="13">
        <f>SUMIF('화 목록'!$B$2:$B$981,A26,'화 목록'!$F$2:$F$981)</f>
        <v/>
      </c>
      <c r="H26" s="15" t="inlineStr">
        <is>
          <t>국가안보급 사건, 보안 감사 위장, CNI 접선 현장 급습, 보도 불가 확인</t>
        </is>
      </c>
      <c r="I26" s="14" t="n"/>
    </row>
    <row r="27" ht="15" customHeight="1" s="11">
      <c r="A27" s="13" t="n">
        <v>26</v>
      </c>
      <c r="B27" s="14" t="inlineStr">
        <is>
          <t>B 카를로스 사건집</t>
        </is>
      </c>
      <c r="C27" s="15" t="inlineStr">
        <is>
          <t>몬테알토 와이너리 원산지 위조</t>
        </is>
      </c>
      <c r="D27" s="16" t="n">
        <v>245</v>
      </c>
      <c r="E27" s="16" t="n">
        <v>250</v>
      </c>
      <c r="F27" s="13">
        <f>COUNTIF('화 목록'!$B$2:$B$981,A27)</f>
        <v/>
      </c>
      <c r="G27" s="13">
        <f>SUMIF('화 목록'!$B$2:$B$981,A27,'화 목록'!$F$2:$F$981)</f>
        <v/>
      </c>
      <c r="H27" s="15" t="inlineStr">
        <is>
          <t>저가 포도주를 고급 D.O. 인증으로 속인 사건과 규제위원회 조사</t>
        </is>
      </c>
      <c r="I27" s="14" t="n"/>
    </row>
    <row r="28" ht="15" customHeight="1" s="11">
      <c r="A28" s="13" t="n">
        <v>27</v>
      </c>
      <c r="B28" s="14" t="inlineStr">
        <is>
          <t>B 카를로스 사건집</t>
        </is>
      </c>
      <c r="C28" s="15" t="inlineStr">
        <is>
          <t>역외 페이퍼컴퍼니 탈세 네트워크</t>
        </is>
      </c>
      <c r="D28" s="16" t="n">
        <v>251</v>
      </c>
      <c r="E28" s="16" t="n">
        <v>265</v>
      </c>
      <c r="F28" s="13">
        <f>COUNTIF('화 목록'!$B$2:$B$981,A28)</f>
        <v/>
      </c>
      <c r="G28" s="13">
        <f>SUMIF('화 목록'!$B$2:$B$981,A28,'화 목록'!$F$2:$F$981)</f>
        <v/>
      </c>
      <c r="H28" s="15" t="inlineStr">
        <is>
          <t>알레한드로 푸익 신분으로 페란 사무실 잠입, 제네바 은행 정보, 압수수색</t>
        </is>
      </c>
      <c r="I28" s="14" t="n"/>
    </row>
    <row r="29" ht="28.35" customHeight="1" s="11">
      <c r="A29" s="13" t="n">
        <v>28</v>
      </c>
      <c r="B29" s="14" t="inlineStr">
        <is>
          <t>B 카를로스 사건집</t>
        </is>
      </c>
      <c r="C29" s="15" t="inlineStr">
        <is>
          <t>이바라 전 장관 협박과 후속 보도</t>
        </is>
      </c>
      <c r="D29" s="16" t="n">
        <v>266</v>
      </c>
      <c r="E29" s="16" t="n">
        <v>291</v>
      </c>
      <c r="F29" s="13">
        <f>COUNTIF('화 목록'!$B$2:$B$981,A29)</f>
        <v/>
      </c>
      <c r="G29" s="13">
        <f>SUMIF('화 목록'!$B$2:$B$981,A29,'화 목록'!$F$2:$F$981)</f>
        <v/>
      </c>
      <c r="H29" s="15" t="inlineStr">
        <is>
          <t>특종 이후 협박 전화, 리히텐슈타인 신탁, 제보자 펠리시아노, 스위스 공조, 판결</t>
        </is>
      </c>
      <c r="I29" s="14" t="n"/>
    </row>
    <row r="30" ht="28.35" customHeight="1" s="11">
      <c r="A30" s="13" t="n">
        <v>29</v>
      </c>
      <c r="B30" s="14" t="inlineStr">
        <is>
          <t>B 카를로스 사건집</t>
        </is>
      </c>
      <c r="C30" s="15" t="inlineStr">
        <is>
          <t>가짜 주권 클라우드</t>
        </is>
      </c>
      <c r="D30" s="16" t="n">
        <v>292</v>
      </c>
      <c r="E30" s="16" t="n">
        <v>317</v>
      </c>
      <c r="F30" s="13">
        <f>COUNTIF('화 목록'!$B$2:$B$981,A30)</f>
        <v/>
      </c>
      <c r="G30" s="13">
        <f>SUMIF('화 목록'!$B$2:$B$981,A30,'화 목록'!$F$2:$F$981)</f>
        <v/>
      </c>
      <c r="H30" s="17" t="inlineStr">
        <is>
          <t>EU 역내 저장을 내세운 클라우드 기업 잠입, 누베 이베리카 급습, 3국 공조 수사</t>
        </is>
      </c>
      <c r="I30" s="14" t="n"/>
    </row>
    <row r="31" ht="15" customHeight="1" s="11">
      <c r="A31" s="13" t="n">
        <v>30</v>
      </c>
      <c r="B31" s="14" t="inlineStr">
        <is>
          <t>B 카를로스 사건집</t>
        </is>
      </c>
      <c r="C31" s="15" t="inlineStr">
        <is>
          <t>농장 이주노동자 강제노동</t>
        </is>
      </c>
      <c r="D31" s="16" t="n">
        <v>318</v>
      </c>
      <c r="E31" s="16" t="n">
        <v>344</v>
      </c>
      <c r="F31" s="13">
        <f>COUNTIF('화 목록'!$B$2:$B$981,A31)</f>
        <v/>
      </c>
      <c r="G31" s="13">
        <f>SUMIF('화 목록'!$B$2:$B$981,A31,'화 목록'!$F$2:$F$981)</f>
        <v/>
      </c>
      <c r="H31" s="15" t="inlineStr">
        <is>
          <t>마놀로 이바라 신분으로 농장에 잠입, 부상자 병원 이송, 급습, 재판</t>
        </is>
      </c>
      <c r="I31" s="14" t="n"/>
    </row>
    <row r="32" ht="15" customHeight="1" s="11">
      <c r="A32" s="13" t="n">
        <v>31</v>
      </c>
      <c r="B32" s="14" t="inlineStr">
        <is>
          <t>B 카를로스 사건집</t>
        </is>
      </c>
      <c r="C32" s="15" t="inlineStr">
        <is>
          <t>콜롬비아-스페인 마약 조직 잠입</t>
        </is>
      </c>
      <c r="D32" s="16" t="n">
        <v>345</v>
      </c>
      <c r="E32" s="16" t="n">
        <v>376</v>
      </c>
      <c r="F32" s="13">
        <f>COUNTIF('화 목록'!$B$2:$B$981,A32)</f>
        <v/>
      </c>
      <c r="G32" s="13">
        <f>SUMIF('화 목록'!$B$2:$B$981,A32,'화 목록'!$F$2:$F$981)</f>
        <v/>
      </c>
      <c r="H32" s="15" t="inlineStr">
        <is>
          <t>리고베르토 조직 잠입, 카밀라와의 협력, 탈출, 재판과 판결</t>
        </is>
      </c>
      <c r="I32" s="14" t="inlineStr">
        <is>
          <t>S2-마약조직</t>
        </is>
      </c>
    </row>
    <row r="33" ht="28.35" customHeight="1" s="11">
      <c r="A33" s="13" t="n">
        <v>32</v>
      </c>
      <c r="B33" s="14" t="inlineStr">
        <is>
          <t>C EU 로비</t>
        </is>
      </c>
      <c r="C33" s="17" t="inlineStr">
        <is>
          <t>EU 브뤼셀 로비 네트워크</t>
        </is>
      </c>
      <c r="D33" s="16" t="n">
        <v>377</v>
      </c>
      <c r="E33" s="16" t="n">
        <v>460</v>
      </c>
      <c r="F33" s="13">
        <f>COUNTIF('화 목록'!$B$2:$B$981,A33)</f>
        <v/>
      </c>
      <c r="G33" s="13">
        <f>SUMIF('화 목록'!$B$2:$B$981,A33,'화 목록'!$F$2:$F$981)</f>
        <v/>
      </c>
      <c r="H33" s="15" t="inlineStr">
        <is>
          <t>카밀라 위장 접근, 로셀요 체포, 재판·후일담, 제보자 마르턴, 제네바 잠입, 아일랜드·니스 추적, 독일 확대 예고</t>
        </is>
      </c>
      <c r="I33" s="14" t="inlineStr">
        <is>
          <t>S2-EU로비</t>
        </is>
      </c>
    </row>
    <row r="34" ht="15" customHeight="1" s="11">
      <c r="A34" s="13" t="n">
        <v>33</v>
      </c>
      <c r="B34" s="14" t="inlineStr">
        <is>
          <t>D 엘 아르키텍토 추적</t>
        </is>
      </c>
      <c r="C34" s="15" t="inlineStr">
        <is>
          <t>스페인 중앙은행 공작</t>
        </is>
      </c>
      <c r="D34" s="16" t="n">
        <v>461</v>
      </c>
      <c r="E34" s="16" t="n">
        <v>484</v>
      </c>
      <c r="F34" s="13">
        <f>COUNTIF('화 목록'!$B$2:$B$981,A34)</f>
        <v/>
      </c>
      <c r="G34" s="13">
        <f>SUMIF('화 목록'!$B$2:$B$981,A34,'화 목록'!$F$2:$F$981)</f>
        <v/>
      </c>
      <c r="H34" s="15" t="inlineStr">
        <is>
          <t>알바로 단독 작전, 토마스 브라보 신분으로 은행 잠입, 이사회 투표일 대응</t>
        </is>
      </c>
      <c r="I34" s="14" t="n"/>
    </row>
    <row r="35" ht="15" customHeight="1" s="11">
      <c r="A35" s="13" t="n">
        <v>34</v>
      </c>
      <c r="B35" s="14" t="inlineStr">
        <is>
          <t>D 엘 아르키텍토 추적</t>
        </is>
      </c>
      <c r="C35" s="15" t="inlineStr">
        <is>
          <t>로셀요의 만찬 회유</t>
        </is>
      </c>
      <c r="D35" s="16" t="n">
        <v>485</v>
      </c>
      <c r="E35" s="16" t="n">
        <v>494</v>
      </c>
      <c r="F35" s="13">
        <f>COUNTIF('화 목록'!$B$2:$B$981,A35)</f>
        <v/>
      </c>
      <c r="G35" s="13">
        <f>SUMIF('화 목록'!$B$2:$B$981,A35,'화 목록'!$F$2:$F$981)</f>
        <v/>
      </c>
      <c r="H35" s="15" t="inlineStr">
        <is>
          <t>로셀요가 직접 전화해 만찬 제안, 회유·협박, 보안 강화</t>
        </is>
      </c>
      <c r="I35" s="14" t="n"/>
    </row>
    <row r="36" ht="15" customHeight="1" s="11">
      <c r="A36" s="13" t="n">
        <v>35</v>
      </c>
      <c r="B36" s="14" t="inlineStr">
        <is>
          <t>D 엘 아르키텍토 추적</t>
        </is>
      </c>
      <c r="C36" s="15" t="inlineStr">
        <is>
          <t>사프란 원산지 사기</t>
        </is>
      </c>
      <c r="D36" s="16" t="n">
        <v>495</v>
      </c>
      <c r="E36" s="16" t="n">
        <v>503</v>
      </c>
      <c r="F36" s="13">
        <f>COUNTIF('화 목록'!$B$2:$B$981,A36)</f>
        <v/>
      </c>
      <c r="G36" s="13">
        <f>SUMIF('화 목록'!$B$2:$B$981,A36,'화 목록'!$F$2:$F$981)</f>
        <v/>
      </c>
      <c r="H36" s="15" t="inlineStr">
        <is>
          <t>라만차 사프란 위조 유통업체 취재와 보도</t>
        </is>
      </c>
      <c r="I36" s="14" t="n"/>
    </row>
    <row r="37" ht="15" customHeight="1" s="11">
      <c r="A37" s="13" t="n">
        <v>36</v>
      </c>
      <c r="B37" s="14" t="inlineStr">
        <is>
          <t>D 엘 아르키텍토 추적</t>
        </is>
      </c>
      <c r="C37" s="15" t="inlineStr">
        <is>
          <t>루카와의 재회</t>
        </is>
      </c>
      <c r="D37" s="16" t="n">
        <v>504</v>
      </c>
      <c r="E37" s="16" t="n">
        <v>508</v>
      </c>
      <c r="F37" s="13">
        <f>COUNTIF('화 목록'!$B$2:$B$981,A37)</f>
        <v/>
      </c>
      <c r="G37" s="13">
        <f>SUMIF('화 목록'!$B$2:$B$981,A37,'화 목록'!$F$2:$F$981)</f>
        <v/>
      </c>
      <c r="H37" s="15" t="inlineStr">
        <is>
          <t>사건 없는 우정 에피소드</t>
        </is>
      </c>
      <c r="I37" s="14" t="n"/>
    </row>
    <row r="38" ht="15" customHeight="1" s="11">
      <c r="A38" s="13" t="n">
        <v>37</v>
      </c>
      <c r="B38" s="14" t="inlineStr">
        <is>
          <t>D 엘 아르키텍토 추적</t>
        </is>
      </c>
      <c r="C38" s="15" t="inlineStr">
        <is>
          <t>무기 밀매와 자금세탁 설계자 로셀요</t>
        </is>
      </c>
      <c r="D38" s="16" t="n">
        <v>509</v>
      </c>
      <c r="E38" s="16" t="n">
        <v>522</v>
      </c>
      <c r="F38" s="13">
        <f>COUNTIF('화 목록'!$B$2:$B$981,A38)</f>
        <v/>
      </c>
      <c r="G38" s="13">
        <f>SUMIF('화 목록'!$B$2:$B$981,A38,'화 목록'!$F$2:$F$981)</f>
        <v/>
      </c>
      <c r="H38" s="15" t="inlineStr">
        <is>
          <t>브루노 베테르그렌 신분 잠입, 발렌시아·카르타헤나 항구 급습</t>
        </is>
      </c>
      <c r="I38" s="14" t="n"/>
    </row>
    <row r="39" ht="15" customHeight="1" s="11">
      <c r="A39" s="13" t="n">
        <v>38</v>
      </c>
      <c r="B39" s="14" t="inlineStr">
        <is>
          <t>D 엘 아르키텍토 추적</t>
        </is>
      </c>
      <c r="C39" s="15" t="inlineStr">
        <is>
          <t>칸타브리아 저택 취재와 출판 계약</t>
        </is>
      </c>
      <c r="D39" s="16" t="n">
        <v>523</v>
      </c>
      <c r="E39" s="16" t="n">
        <v>548</v>
      </c>
      <c r="F39" s="13">
        <f>COUNTIF('화 목록'!$B$2:$B$981,A39)</f>
        <v/>
      </c>
      <c r="G39" s="13">
        <f>SUMIF('화 목록'!$B$2:$B$981,A39,'화 목록'!$F$2:$F$981)</f>
        <v/>
      </c>
      <c r="H39" s="15" t="inlineStr">
        <is>
          <t>로셀요 연결 부동산 단독 취재, 도밍고·안셀모, 출판 계약</t>
        </is>
      </c>
      <c r="I39" s="14" t="n"/>
    </row>
    <row r="40" ht="15" customHeight="1" s="11">
      <c r="A40" s="13" t="n">
        <v>39</v>
      </c>
      <c r="B40" s="14" t="inlineStr">
        <is>
          <t>E 빅토르 안전가옥 세션</t>
        </is>
      </c>
      <c r="C40" s="15" t="inlineStr">
        <is>
          <t>빅토르의 접선과 망명</t>
        </is>
      </c>
      <c r="D40" s="16" t="n">
        <v>549</v>
      </c>
      <c r="E40" s="16" t="n">
        <v>558</v>
      </c>
      <c r="F40" s="13">
        <f>COUNTIF('화 목록'!$B$2:$B$981,A40)</f>
        <v/>
      </c>
      <c r="G40" s="13">
        <f>SUMIF('화 목록'!$B$2:$B$981,A40,'화 목록'!$F$2:$F$981)</f>
        <v/>
      </c>
      <c r="H40" s="15" t="inlineStr">
        <is>
          <t>해외 정보기관 요원 빅토르의 암호화 메시지, 정황 검증, CNI 보호</t>
        </is>
      </c>
      <c r="I40" s="14" t="n"/>
    </row>
    <row r="41" ht="28.35" customHeight="1" s="11">
      <c r="A41" s="13" t="n">
        <v>40</v>
      </c>
      <c r="B41" s="14" t="inlineStr">
        <is>
          <t>E 빅토르 안전가옥 세션</t>
        </is>
      </c>
      <c r="C41" s="15" t="inlineStr">
        <is>
          <t>신빙성 검증: 임플란트와 산타클로스 작전</t>
        </is>
      </c>
      <c r="D41" s="16" t="n">
        <v>559</v>
      </c>
      <c r="E41" s="16" t="n">
        <v>585</v>
      </c>
      <c r="F41" s="13">
        <f>COUNTIF('화 목록'!$B$2:$B$981,A41)</f>
        <v/>
      </c>
      <c r="G41" s="13">
        <f>SUMIF('화 목록'!$B$2:$B$981,A41,'화 목록'!$F$2:$F$981)</f>
        <v/>
      </c>
      <c r="H41" s="15" t="inlineStr">
        <is>
          <t>종결 작전부터 검증, 하드웨어 임플란트, 산타클로스 작전</t>
        </is>
      </c>
      <c r="I41" s="14" t="n"/>
    </row>
    <row r="42" ht="15" customHeight="1" s="11">
      <c r="A42" s="13" t="n">
        <v>41</v>
      </c>
      <c r="B42" s="14" t="inlineStr">
        <is>
          <t>E 빅토르 안전가옥 세션</t>
        </is>
      </c>
      <c r="C42" s="15" t="inlineStr">
        <is>
          <t>아담과 이브 작전</t>
        </is>
      </c>
      <c r="D42" s="16" t="n">
        <v>586</v>
      </c>
      <c r="E42" s="16" t="n">
        <v>596</v>
      </c>
      <c r="F42" s="13">
        <f>COUNTIF('화 목록'!$B$2:$B$981,A42)</f>
        <v/>
      </c>
      <c r="G42" s="13">
        <f>SUMIF('화 목록'!$B$2:$B$981,A42,'화 목록'!$F$2:$F$981)</f>
        <v/>
      </c>
      <c r="H42" s="15" t="inlineStr">
        <is>
          <t>위장 신원 구축, 요원 훈련과 이탈 과정</t>
        </is>
      </c>
      <c r="I42" s="14" t="n"/>
    </row>
    <row r="43" ht="15" customHeight="1" s="11">
      <c r="A43" s="13" t="n">
        <v>42</v>
      </c>
      <c r="B43" s="14" t="inlineStr">
        <is>
          <t>E 빅토르 안전가옥 세션</t>
        </is>
      </c>
      <c r="C43" s="15" t="inlineStr">
        <is>
          <t>알시온 작전: 로셀요의 기원</t>
        </is>
      </c>
      <c r="D43" s="16" t="n">
        <v>597</v>
      </c>
      <c r="E43" s="16" t="n">
        <v>613</v>
      </c>
      <c r="F43" s="13">
        <f>COUNTIF('화 목록'!$B$2:$B$981,A43)</f>
        <v/>
      </c>
      <c r="G43" s="13">
        <f>SUMIF('화 목록'!$B$2:$B$981,A43,'화 목록'!$F$2:$F$981)</f>
        <v/>
      </c>
      <c r="H43" s="15" t="inlineStr">
        <is>
          <t>로셀요의 기원과 후보 6명의 운명</t>
        </is>
      </c>
      <c r="I43" s="14" t="n"/>
    </row>
    <row r="44" ht="15" customHeight="1" s="11">
      <c r="A44" s="13" t="n">
        <v>43</v>
      </c>
      <c r="B44" s="14" t="inlineStr">
        <is>
          <t>E 빅토르 안전가옥 세션</t>
        </is>
      </c>
      <c r="C44" s="15" t="inlineStr">
        <is>
          <t>엘 아르키텍토 프로그램</t>
        </is>
      </c>
      <c r="D44" s="16" t="n">
        <v>614</v>
      </c>
      <c r="E44" s="16" t="n">
        <v>652</v>
      </c>
      <c r="F44" s="13">
        <f>COUNTIF('화 목록'!$B$2:$B$981,A44)</f>
        <v/>
      </c>
      <c r="G44" s="13">
        <f>SUMIF('화 목록'!$B$2:$B$981,A44,'화 목록'!$F$2:$F$981)</f>
        <v/>
      </c>
      <c r="H44" s="15" t="inlineStr">
        <is>
          <t>후계자 양성 프로그램의 구조와 실패, 로셀요 인물 분석</t>
        </is>
      </c>
      <c r="I44" s="14" t="n"/>
    </row>
    <row r="45" ht="28.35" customHeight="1" s="11">
      <c r="A45" s="13" t="n">
        <v>44</v>
      </c>
      <c r="B45" s="14" t="inlineStr">
        <is>
          <t>E 빅토르 안전가옥 세션</t>
        </is>
      </c>
      <c r="C45" s="15" t="inlineStr">
        <is>
          <t>크리스탈·코리엔테 수르·영원의 도서관</t>
        </is>
      </c>
      <c r="D45" s="16" t="n">
        <v>653</v>
      </c>
      <c r="E45" s="16" t="n">
        <v>656</v>
      </c>
      <c r="F45" s="13">
        <f>COUNTIF('화 목록'!$B$2:$B$981,A45)</f>
        <v/>
      </c>
      <c r="G45" s="13">
        <f>SUMIF('화 목록'!$B$2:$B$981,A45,'화 목록'!$F$2:$F$981)</f>
        <v/>
      </c>
      <c r="H45" s="15" t="inlineStr">
        <is>
          <t>활성 작전과 빅토르의 옛 기관이 직접 설계한 작전들</t>
        </is>
      </c>
      <c r="I45" s="14" t="n"/>
    </row>
    <row r="46" ht="15" customHeight="1" s="11">
      <c r="A46" s="13" t="n">
        <v>45</v>
      </c>
      <c r="B46" s="14" t="inlineStr">
        <is>
          <t>E 빅토르 안전가옥 세션</t>
        </is>
      </c>
      <c r="C46" s="15" t="inlineStr">
        <is>
          <t>로셀요의 두 번째 만찬과 면회 시범</t>
        </is>
      </c>
      <c r="D46" s="16" t="n">
        <v>657</v>
      </c>
      <c r="E46" s="16" t="n">
        <v>660</v>
      </c>
      <c r="F46" s="13">
        <f>COUNTIF('화 목록'!$B$2:$B$981,A46)</f>
        <v/>
      </c>
      <c r="G46" s="13">
        <f>SUMIF('화 목록'!$B$2:$B$981,A46,'화 목록'!$F$2:$F$981)</f>
        <v/>
      </c>
      <c r="H46" s="15" t="inlineStr">
        <is>
          <t>로셀요 재접촉 만찬, 검거 후 면회 가정 장면</t>
        </is>
      </c>
      <c r="I46" s="14" t="n"/>
    </row>
    <row r="47" ht="15" customHeight="1" s="11">
      <c r="A47" s="13" t="n">
        <v>46</v>
      </c>
      <c r="B47" s="14" t="inlineStr">
        <is>
          <t>E 빅토르 안전가옥 세션</t>
        </is>
      </c>
      <c r="C47" s="15" t="inlineStr">
        <is>
          <t>둠루프 작전</t>
        </is>
      </c>
      <c r="D47" s="16" t="n">
        <v>661</v>
      </c>
      <c r="E47" s="16" t="n">
        <v>670</v>
      </c>
      <c r="F47" s="13">
        <f>COUNTIF('화 목록'!$B$2:$B$981,A47)</f>
        <v/>
      </c>
      <c r="G47" s="13">
        <f>SUMIF('화 목록'!$B$2:$B$981,A47,'화 목록'!$F$2:$F$981)</f>
        <v/>
      </c>
      <c r="H47" s="15" t="inlineStr">
        <is>
          <t>금융시장 공황 유발 작전과 은행 감독 대응</t>
        </is>
      </c>
      <c r="I47" s="14" t="n"/>
    </row>
    <row r="48" ht="15" customHeight="1" s="11">
      <c r="A48" s="13" t="n">
        <v>47</v>
      </c>
      <c r="B48" s="14" t="inlineStr">
        <is>
          <t>E 빅토르 안전가옥 세션</t>
        </is>
      </c>
      <c r="C48" s="15" t="inlineStr">
        <is>
          <t>미네르바 작전</t>
        </is>
      </c>
      <c r="D48" s="16" t="n">
        <v>671</v>
      </c>
      <c r="E48" s="16" t="n">
        <v>672</v>
      </c>
      <c r="F48" s="13">
        <f>COUNTIF('화 목록'!$B$2:$B$981,A48)</f>
        <v/>
      </c>
      <c r="G48" s="13">
        <f>SUMIF('화 목록'!$B$2:$B$981,A48,'화 목록'!$F$2:$F$981)</f>
        <v/>
      </c>
      <c r="H48" s="15" t="inlineStr">
        <is>
          <t>대학·국방연구소 장기 침투 첩보 프로그램</t>
        </is>
      </c>
      <c r="I48" s="14" t="n"/>
    </row>
    <row r="49" ht="15" customHeight="1" s="11">
      <c r="A49" s="13" t="n">
        <v>48</v>
      </c>
      <c r="B49" s="14" t="inlineStr">
        <is>
          <t>E 빅토르 안전가옥 세션</t>
        </is>
      </c>
      <c r="C49" s="15" t="inlineStr">
        <is>
          <t>북방의 교향곡</t>
        </is>
      </c>
      <c r="D49" s="16" t="n">
        <v>673</v>
      </c>
      <c r="E49" s="16" t="n">
        <v>678</v>
      </c>
      <c r="F49" s="13">
        <f>COUNTIF('화 목록'!$B$2:$B$981,A49)</f>
        <v/>
      </c>
      <c r="G49" s="13">
        <f>SUMIF('화 목록'!$B$2:$B$981,A49,'화 목록'!$F$2:$F$981)</f>
        <v/>
      </c>
      <c r="H49" s="15" t="inlineStr">
        <is>
          <t>의회 표결 시점 봇 계정 물결의 정체와 대응</t>
        </is>
      </c>
      <c r="I49" s="14" t="n"/>
    </row>
    <row r="50" ht="15" customHeight="1" s="11">
      <c r="A50" s="13" t="n">
        <v>49</v>
      </c>
      <c r="B50" s="14" t="inlineStr">
        <is>
          <t>E 빅토르 안전가옥 세션</t>
        </is>
      </c>
      <c r="C50" s="15" t="inlineStr">
        <is>
          <t>바벨탑 작전</t>
        </is>
      </c>
      <c r="D50" s="16" t="n">
        <v>679</v>
      </c>
      <c r="E50" s="16" t="n">
        <v>688</v>
      </c>
      <c r="F50" s="13">
        <f>COUNTIF('화 목록'!$B$2:$B$981,A50)</f>
        <v/>
      </c>
      <c r="G50" s="13">
        <f>SUMIF('화 목록'!$B$2:$B$981,A50,'화 목록'!$F$2:$F$981)</f>
        <v/>
      </c>
      <c r="H50" s="15" t="inlineStr">
        <is>
          <t>북방의 교향곡의 유럽 각국 언어 확장판, 폴란드·발트해</t>
        </is>
      </c>
      <c r="I50" s="14" t="n"/>
    </row>
    <row r="51" ht="15" customHeight="1" s="11">
      <c r="A51" s="13" t="n">
        <v>50</v>
      </c>
      <c r="B51" s="14" t="inlineStr">
        <is>
          <t>E 빅토르 안전가옥 세션</t>
        </is>
      </c>
      <c r="C51" s="15" t="inlineStr">
        <is>
          <t>마레아 작전</t>
        </is>
      </c>
      <c r="D51" s="16" t="n">
        <v>689</v>
      </c>
      <c r="E51" s="16" t="n">
        <v>699</v>
      </c>
      <c r="F51" s="13">
        <f>COUNTIF('화 목록'!$B$2:$B$981,A51)</f>
        <v/>
      </c>
      <c r="G51" s="13">
        <f>SUMIF('화 목록'!$B$2:$B$981,A51,'화 목록'!$F$2:$F$981)</f>
        <v/>
      </c>
      <c r="H51" s="15" t="inlineStr">
        <is>
          <t>선거를 겨냥한 인프라 활용 작전과 조기경보 시스템, 의회 표결일 대응</t>
        </is>
      </c>
      <c r="I51" s="14" t="n"/>
    </row>
    <row r="52" ht="15" customHeight="1" s="11">
      <c r="A52" s="13" t="n">
        <v>51</v>
      </c>
      <c r="B52" s="14" t="inlineStr">
        <is>
          <t>E 빅토르 안전가옥 세션</t>
        </is>
      </c>
      <c r="C52" s="15" t="inlineStr">
        <is>
          <t>돈키호테 작전</t>
        </is>
      </c>
      <c r="D52" s="16" t="n">
        <v>700</v>
      </c>
      <c r="E52" s="16" t="n">
        <v>709</v>
      </c>
      <c r="F52" s="13">
        <f>COUNTIF('화 목록'!$B$2:$B$981,A52)</f>
        <v/>
      </c>
      <c r="G52" s="13">
        <f>SUMIF('화 목록'!$B$2:$B$981,A52,'화 목록'!$F$2:$F$981)</f>
        <v/>
      </c>
      <c r="H52" s="15" t="inlineStr">
        <is>
          <t>알바로의 추적들이 의도된 기만이었다는 폭로</t>
        </is>
      </c>
      <c r="I52" s="14" t="n"/>
    </row>
    <row r="53" ht="15" customHeight="1" s="11">
      <c r="A53" s="13" t="n">
        <v>52</v>
      </c>
      <c r="B53" s="14" t="inlineStr">
        <is>
          <t>E 빅토르 안전가옥 세션</t>
        </is>
      </c>
      <c r="C53" s="15" t="inlineStr">
        <is>
          <t>자칼 작전</t>
        </is>
      </c>
      <c r="D53" s="16" t="n">
        <v>710</v>
      </c>
      <c r="E53" s="16" t="n">
        <v>720</v>
      </c>
      <c r="F53" s="13">
        <f>COUNTIF('화 목록'!$B$2:$B$981,A53)</f>
        <v/>
      </c>
      <c r="G53" s="13">
        <f>SUMIF('화 목록'!$B$2:$B$981,A53,'화 목록'!$F$2:$F$981)</f>
        <v/>
      </c>
      <c r="H53" s="15" t="inlineStr">
        <is>
          <t>제거 전담팀, 라 세르피엔테, 미행과 역정찰</t>
        </is>
      </c>
      <c r="I53" s="14" t="n"/>
    </row>
    <row r="54" ht="15" customHeight="1" s="11">
      <c r="A54" s="13" t="n">
        <v>53</v>
      </c>
      <c r="B54" s="14" t="inlineStr">
        <is>
          <t>E 빅토르 안전가옥 세션</t>
        </is>
      </c>
      <c r="C54" s="15" t="inlineStr">
        <is>
          <t>파로 작전</t>
        </is>
      </c>
      <c r="D54" s="16" t="n">
        <v>721</v>
      </c>
      <c r="E54" s="16" t="n">
        <v>734</v>
      </c>
      <c r="F54" s="13">
        <f>COUNTIF('화 목록'!$B$2:$B$981,A54)</f>
        <v/>
      </c>
      <c r="G54" s="13">
        <f>SUMIF('화 목록'!$B$2:$B$981,A54,'화 목록'!$F$2:$F$981)</f>
        <v/>
      </c>
      <c r="H54" s="15" t="inlineStr">
        <is>
          <t>문서로만 존재하는 재생에너지 인프라 장악 계획 저지</t>
        </is>
      </c>
      <c r="I54" s="14" t="n"/>
    </row>
    <row r="55" ht="15" customHeight="1" s="11">
      <c r="A55" s="13" t="n">
        <v>54</v>
      </c>
      <c r="B55" s="14" t="inlineStr">
        <is>
          <t>E 빅토르 안전가옥 세션</t>
        </is>
      </c>
      <c r="C55" s="15" t="inlineStr">
        <is>
          <t>불꽃 작전</t>
        </is>
      </c>
      <c r="D55" s="16" t="n">
        <v>735</v>
      </c>
      <c r="E55" s="16" t="n">
        <v>748</v>
      </c>
      <c r="F55" s="13">
        <f>COUNTIF('화 목록'!$B$2:$B$981,A55)</f>
        <v/>
      </c>
      <c r="G55" s="13">
        <f>SUMIF('화 목록'!$B$2:$B$981,A55,'화 목록'!$F$2:$F$981)</f>
        <v/>
      </c>
      <c r="H55" s="15" t="inlineStr">
        <is>
          <t>증거·증인 소각 프로토콜 발동과 협력자 보호</t>
        </is>
      </c>
      <c r="I55" s="14" t="n"/>
    </row>
    <row r="56" ht="15" customHeight="1" s="11">
      <c r="A56" s="13" t="n">
        <v>55</v>
      </c>
      <c r="B56" s="14" t="inlineStr">
        <is>
          <t>E 빅토르 안전가옥 세션</t>
        </is>
      </c>
      <c r="C56" s="15" t="inlineStr">
        <is>
          <t>온라인 투자사기 리딩방</t>
        </is>
      </c>
      <c r="D56" s="16" t="n">
        <v>749</v>
      </c>
      <c r="E56" s="16" t="n">
        <v>773</v>
      </c>
      <c r="F56" s="13">
        <f>COUNTIF('화 목록'!$B$2:$B$981,A56)</f>
        <v/>
      </c>
      <c r="G56" s="13">
        <f>SUMIF('화 목록'!$B$2:$B$981,A56,'화 목록'!$F$2:$F$981)</f>
        <v/>
      </c>
      <c r="H56" s="15" t="inlineStr">
        <is>
          <t>텔레그램 리딩방 사기, 필리핀 클리닉, 국제 재판, 피해자 지원기금</t>
        </is>
      </c>
      <c r="I56" s="14" t="n"/>
    </row>
    <row r="57" ht="15" customHeight="1" s="11">
      <c r="A57" s="13" t="n">
        <v>56</v>
      </c>
      <c r="B57" s="14" t="inlineStr">
        <is>
          <t>E 빅토르 안전가옥 세션</t>
        </is>
      </c>
      <c r="C57" s="15" t="inlineStr">
        <is>
          <t>제약회사 임상시험 조작</t>
        </is>
      </c>
      <c r="D57" s="16" t="n">
        <v>774</v>
      </c>
      <c r="E57" s="16" t="n">
        <v>798</v>
      </c>
      <c r="F57" s="13">
        <f>COUNTIF('화 목록'!$B$2:$B$981,A57)</f>
        <v/>
      </c>
      <c r="G57" s="13">
        <f>SUMIF('화 목록'!$B$2:$B$981,A57,'화 목록'!$F$2:$F$981)</f>
        <v/>
      </c>
      <c r="H57" s="15" t="inlineStr">
        <is>
          <t>자금세탁 제약회사의 데이터 조작, 환자 피해, 재판</t>
        </is>
      </c>
      <c r="I57" s="14" t="n"/>
    </row>
    <row r="58" ht="15" customHeight="1" s="11">
      <c r="A58" s="13" t="n">
        <v>57</v>
      </c>
      <c r="B58" s="14" t="inlineStr">
        <is>
          <t>E 빅토르 안전가옥 세션</t>
        </is>
      </c>
      <c r="C58" s="15" t="inlineStr">
        <is>
          <t>예술품 위조 공방</t>
        </is>
      </c>
      <c r="D58" s="16" t="n">
        <v>799</v>
      </c>
      <c r="E58" s="16" t="n">
        <v>820</v>
      </c>
      <c r="F58" s="13">
        <f>COUNTIF('화 목록'!$B$2:$B$981,A58)</f>
        <v/>
      </c>
      <c r="G58" s="13">
        <f>SUMIF('화 목록'!$B$2:$B$981,A58,'화 목록'!$F$2:$F$981)</f>
        <v/>
      </c>
      <c r="H58" s="15" t="inlineStr">
        <is>
          <t>론다 인근 위조 공방 급습, 에밀리오 면회와 재판</t>
        </is>
      </c>
      <c r="I58" s="14" t="n"/>
    </row>
    <row r="59" ht="15" customHeight="1" s="11">
      <c r="A59" s="13" t="n">
        <v>58</v>
      </c>
      <c r="B59" s="14" t="inlineStr">
        <is>
          <t>E 빅토르 안전가옥 세션</t>
        </is>
      </c>
      <c r="C59" s="15" t="inlineStr">
        <is>
          <t>푸른 열차 작전</t>
        </is>
      </c>
      <c r="D59" s="16" t="n">
        <v>821</v>
      </c>
      <c r="E59" s="16" t="n">
        <v>840</v>
      </c>
      <c r="F59" s="13">
        <f>COUNTIF('화 목록'!$B$2:$B$981,A59)</f>
        <v/>
      </c>
      <c r="G59" s="13">
        <f>SUMIF('화 목록'!$B$2:$B$981,A59,'화 목록'!$F$2:$F$981)</f>
        <v/>
      </c>
      <c r="H59" s="15" t="inlineStr">
        <is>
          <t>로셀요 이동 패턴 추적, 밀라노역 목격, 감시 사이클</t>
        </is>
      </c>
      <c r="I59" s="14" t="n"/>
    </row>
    <row r="60" ht="15" customHeight="1" s="11">
      <c r="A60" s="13" t="n">
        <v>59</v>
      </c>
      <c r="B60" s="14" t="inlineStr">
        <is>
          <t>E 빅토르 안전가옥 세션</t>
        </is>
      </c>
      <c r="C60" s="15" t="inlineStr">
        <is>
          <t>묘지 작전</t>
        </is>
      </c>
      <c r="D60" s="16" t="n">
        <v>841</v>
      </c>
      <c r="E60" s="16" t="n">
        <v>860</v>
      </c>
      <c r="F60" s="13">
        <f>COUNTIF('화 목록'!$B$2:$B$981,A60)</f>
        <v/>
      </c>
      <c r="G60" s="13">
        <f>SUMIF('화 목록'!$B$2:$B$981,A60,'화 목록'!$F$2:$F$981)</f>
        <v/>
      </c>
      <c r="H60" s="15" t="inlineStr">
        <is>
          <t>니스·제네바·루체른·칸타브리아 단서 재조사, 저택 금고 개봉</t>
        </is>
      </c>
      <c r="I60" s="14" t="n"/>
    </row>
    <row r="61" ht="15" customHeight="1" s="11">
      <c r="A61" s="13" t="n">
        <v>60</v>
      </c>
      <c r="B61" s="14" t="inlineStr">
        <is>
          <t>E 빅토르 안전가옥 세션</t>
        </is>
      </c>
      <c r="C61" s="15" t="inlineStr">
        <is>
          <t>바위 작전</t>
        </is>
      </c>
      <c r="D61" s="16" t="n">
        <v>861</v>
      </c>
      <c r="E61" s="16" t="n">
        <v>885</v>
      </c>
      <c r="F61" s="13">
        <f>COUNTIF('화 목록'!$B$2:$B$981,A61)</f>
        <v/>
      </c>
      <c r="G61" s="13">
        <f>SUMIF('화 목록'!$B$2:$B$981,A61,'화 목록'!$F$2:$F$981)</f>
        <v/>
      </c>
      <c r="H61" s="15" t="inlineStr">
        <is>
          <t>루체른 인근 고정 거점 탐색, 교사 슈미트, 드론 정찰</t>
        </is>
      </c>
      <c r="I61" s="14" t="n"/>
    </row>
    <row r="62" ht="15" customHeight="1" s="11">
      <c r="A62" s="13" t="n">
        <v>61</v>
      </c>
      <c r="B62" s="14" t="inlineStr">
        <is>
          <t>E 빅토르 안전가옥 세션</t>
        </is>
      </c>
      <c r="C62" s="15" t="inlineStr">
        <is>
          <t>북극성 작전</t>
        </is>
      </c>
      <c r="D62" s="16" t="n">
        <v>886</v>
      </c>
      <c r="E62" s="16" t="n">
        <v>908</v>
      </c>
      <c r="F62" s="13">
        <f>COUNTIF('화 목록'!$B$2:$B$981,A62)</f>
        <v/>
      </c>
      <c r="G62" s="13">
        <f>SUMIF('화 목록'!$B$2:$B$981,A62,'화 목록'!$F$2:$F$981)</f>
        <v/>
      </c>
      <c r="H62" s="15" t="inlineStr">
        <is>
          <t>검거 시점·방법 확정, 스위스·이탈리아 협조, 훈련</t>
        </is>
      </c>
      <c r="I62" s="14" t="n"/>
    </row>
    <row r="63" ht="15" customHeight="1" s="11">
      <c r="A63" s="13" t="n">
        <v>62</v>
      </c>
      <c r="B63" s="14" t="inlineStr">
        <is>
          <t>E 빅토르 안전가옥 세션</t>
        </is>
      </c>
      <c r="C63" s="15" t="inlineStr">
        <is>
          <t>성채 작전: 로셀요 검거</t>
        </is>
      </c>
      <c r="D63" s="16" t="n">
        <v>909</v>
      </c>
      <c r="E63" s="16" t="n">
        <v>946</v>
      </c>
      <c r="F63" s="13">
        <f>COUNTIF('화 목록'!$B$2:$B$981,A63)</f>
        <v/>
      </c>
      <c r="G63" s="13">
        <f>SUMIF('화 목록'!$B$2:$B$981,A63,'화 목록'!$F$2:$F$981)</f>
        <v/>
      </c>
      <c r="H63" s="15" t="inlineStr">
        <is>
          <t>밀라노 포위 작전, 첫 실행 보류, 재실행 끝에 검거</t>
        </is>
      </c>
      <c r="I63" s="14" t="n"/>
    </row>
    <row r="64" ht="15" customHeight="1" s="11">
      <c r="A64" s="13" t="n">
        <v>63</v>
      </c>
      <c r="B64" s="14" t="inlineStr">
        <is>
          <t>E 빅토르 안전가옥 세션</t>
        </is>
      </c>
      <c r="C64" s="15" t="inlineStr">
        <is>
          <t>검거 이후</t>
        </is>
      </c>
      <c r="D64" s="16" t="n">
        <v>947</v>
      </c>
      <c r="E64" s="16" t="n">
        <v>963</v>
      </c>
      <c r="F64" s="13">
        <f>COUNTIF('화 목록'!$B$2:$B$981,A64)</f>
        <v/>
      </c>
      <c r="G64" s="13">
        <f>SUMIF('화 목록'!$B$2:$B$981,A64,'화 목록'!$F$2:$F$981)</f>
        <v/>
      </c>
      <c r="H64" s="15" t="inlineStr">
        <is>
          <t>취리히 구금시설 면담, 협조 조건, 재판과 판결, 빅토르의 새 삶</t>
        </is>
      </c>
      <c r="I64" s="14" t="n"/>
    </row>
    <row r="65" ht="15" customHeight="1" s="11">
      <c r="A65" s="13" t="n">
        <v>64</v>
      </c>
      <c r="B65" s="14" t="inlineStr">
        <is>
          <t>E 빅토르 안전가옥 세션</t>
        </is>
      </c>
      <c r="C65" s="15" t="inlineStr">
        <is>
          <t>에필로그</t>
        </is>
      </c>
      <c r="D65" s="16" t="n">
        <v>964</v>
      </c>
      <c r="E65" s="16" t="n">
        <v>975</v>
      </c>
      <c r="F65" s="13">
        <f>COUNTIF('화 목록'!$B$2:$B$981,A65)</f>
        <v/>
      </c>
      <c r="G65" s="13">
        <f>SUMIF('화 목록'!$B$2:$B$981,A65,'화 목록'!$F$2:$F$981)</f>
        <v/>
      </c>
      <c r="H65" s="15" t="inlineStr">
        <is>
          <t>최종 기사, 알바로와 카밀라의 미래, 보상기금, 시리즈 회고</t>
        </is>
      </c>
      <c r="I65" s="14" t="n"/>
    </row>
    <row r="66" ht="15" customHeight="1" s="11">
      <c r="A66" s="13" t="n">
        <v>65</v>
      </c>
      <c r="B66" s="14" t="inlineStr">
        <is>
          <t>E 빅토르 안전가옥 세션</t>
        </is>
      </c>
      <c r="C66" s="15" t="inlineStr">
        <is>
          <t>면회 시리즈</t>
        </is>
      </c>
      <c r="D66" s="16" t="n">
        <v>976</v>
      </c>
      <c r="E66" s="16" t="n">
        <v>980</v>
      </c>
      <c r="F66" s="13">
        <f>COUNTIF('화 목록'!$B$2:$B$981,A66)</f>
        <v/>
      </c>
      <c r="G66" s="13">
        <f>SUMIF('화 목록'!$B$2:$B$981,A66,'화 목록'!$F$2:$F$981)</f>
        <v/>
      </c>
      <c r="H66" s="15" t="inlineStr">
        <is>
          <t>수감된 로셀요를 정기 면회하며 신문 기사를 화제로 나누는 대화</t>
        </is>
      </c>
      <c r="I66" s="14" t="n"/>
    </row>
    <row r="67" ht="15" customHeight="1" s="11">
      <c r="C67" s="18" t="inlineStr">
        <is>
          <t>합계</t>
        </is>
      </c>
      <c r="F67" s="18">
        <f>SUM(F2:F66)</f>
        <v/>
      </c>
      <c r="G67" s="18">
        <f>SUM(G2:G66)</f>
        <v/>
      </c>
    </row>
  </sheetData>
  <autoFilter ref="A1:I66"/>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G981"/>
  <sheetViews>
    <sheetView showFormulas="0" showGridLines="1" showRowColHeaders="1" showZeros="1" rightToLeft="0" tabSelected="0" showOutlineSymbols="1" defaultGridColor="1"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baseColWidth="8" defaultColWidth="8.6796875" defaultRowHeight="15" zeroHeight="0" outlineLevelRow="0"/>
  <cols>
    <col width="8" customWidth="1" style="10" min="1" max="1"/>
    <col width="9" customWidth="1" style="10" min="2" max="2"/>
    <col width="34" customWidth="1" style="10" min="3" max="3"/>
    <col width="22" customWidth="1" style="10" min="4" max="4"/>
    <col width="12" customWidth="1" style="10" min="5" max="6"/>
    <col width="110" customWidth="1" style="10" min="7" max="7"/>
  </cols>
  <sheetData>
    <row r="1" ht="15" customHeight="1" s="11">
      <c r="A1" s="19" t="inlineStr">
        <is>
          <t>화 번호</t>
        </is>
      </c>
      <c r="B1" s="19" t="inlineStr">
        <is>
          <t>부작 번호</t>
        </is>
      </c>
      <c r="C1" s="19" t="inlineStr">
        <is>
          <t>부작 제목</t>
        </is>
      </c>
      <c r="D1" s="19" t="inlineStr">
        <is>
          <t>파트</t>
        </is>
      </c>
      <c r="E1" s="19" t="inlineStr">
        <is>
          <t>문서 내 문단 위치</t>
        </is>
      </c>
      <c r="F1" s="19" t="inlineStr">
        <is>
          <t>대화 줄 수(근사)</t>
        </is>
      </c>
      <c r="G1" s="19" t="inlineStr">
        <is>
          <t>상황 설명(원문 발췌)</t>
        </is>
      </c>
    </row>
    <row r="2" ht="28.35" customHeight="1" s="11">
      <c r="A2" s="13" t="n">
        <v>1</v>
      </c>
      <c r="B2" s="13" t="n">
        <v>1</v>
      </c>
      <c r="C2" s="14">
        <f>INDEX('부작 목록'!$C$2:$C$66,B2)</f>
        <v/>
      </c>
      <c r="D2" s="14" t="inlineStr">
        <is>
          <t>A 일상 회화</t>
        </is>
      </c>
      <c r="E2" s="13" t="n">
        <v>0</v>
      </c>
      <c r="F2" s="13" t="n">
        <v>55</v>
      </c>
      <c r="G2" s="15" t="inlineStr">
        <is>
          <t>마드리드 중심가, 토요일 점심시간의 활기찬 식당입니다. 40대 마드리드 토박이 기자 친구인 하 비에르(Javier)와 알바로(Álvaro)가 테라스 좌석에 앉아 맥주(Caña)를 곁들인 식사를 하며 나누는 대화입니다.</t>
        </is>
      </c>
    </row>
    <row r="3" ht="28.35" customHeight="1" s="11">
      <c r="A3" s="13" t="n">
        <v>2</v>
      </c>
      <c r="B3" s="13" t="n">
        <v>1</v>
      </c>
      <c r="C3" s="14">
        <f>INDEX('부작 목록'!$C$2:$C$66,B3)</f>
        <v/>
      </c>
      <c r="D3" s="14" t="inlineStr">
        <is>
          <t>A 일상 회화</t>
        </is>
      </c>
      <c r="E3" s="13" t="n">
        <v>59</v>
      </c>
      <c r="F3" s="13" t="n">
        <v>26</v>
      </c>
      <c r="G3" s="15" t="inlineStr">
        <is>
          <t>일주일 후, 다시 마드리드 시내의 같은 식당에서 만난 하비에르와 알바로의 대화입니다. 이번에 는 지난 한 주간의 구체적인 업무 성과와 개인적인 일들에 대해 조금 더 깊은 대화를 나눕니다.</t>
        </is>
      </c>
    </row>
    <row r="4" ht="41.75" customHeight="1" s="11">
      <c r="A4" s="13" t="n">
        <v>3</v>
      </c>
      <c r="B4" s="13" t="n">
        <v>1</v>
      </c>
      <c r="C4" s="14">
        <f>INDEX('부작 목록'!$C$2:$C$66,B4)</f>
        <v/>
      </c>
      <c r="D4" s="14" t="inlineStr">
        <is>
          <t>A 일상 회화</t>
        </is>
      </c>
      <c r="E4" s="13" t="n">
        <v>88</v>
      </c>
      <c r="F4" s="13" t="n">
        <v>46</v>
      </c>
      <c r="G4" s="15" t="inlineStr">
        <is>
          <t>이 대화문은 리 차일드(Lee Child)의 소설 『Zona Peligrosa(영제: Killing Floor)』를 읽은 두 명의 40대 기자, 하비에르와 알바로가 그 내용과 문학적 장치에 대해 깊이 있게 토론하는 상황입니 다. 요청하신 대로 접속법, 대과거, 조건법 등을 집중적으로 배치했습니다.</t>
        </is>
      </c>
    </row>
    <row r="5" ht="41.75" customHeight="1" s="11">
      <c r="A5" s="13" t="n">
        <v>4</v>
      </c>
      <c r="B5" s="13" t="n">
        <v>1</v>
      </c>
      <c r="C5" s="14">
        <f>INDEX('부작 목록'!$C$2:$C$66,B5)</f>
        <v/>
      </c>
      <c r="D5" s="14" t="inlineStr">
        <is>
          <t>A 일상 회화</t>
        </is>
      </c>
      <c r="E5" s="13" t="n">
        <v>139</v>
      </c>
      <c r="F5" s="13" t="n">
        <v>28</v>
      </c>
      <c r="G5" s="15" t="inlineStr">
        <is>
          <t>이번에는 아마존 프라임의 드라마 『리처(Reacher)』 시즌 1을 본 후, 하비에르와 알바로가 그 각색의 완성도와 원작과의 차이점에 대해 대화를 나누는 상황입니다. 드라마에 대한 비평인 만 큼, 앞선 대화보다 더 복잡한 가정과 분석이 포함되어 있습니다.</t>
        </is>
      </c>
    </row>
    <row r="6" ht="41.75" customHeight="1" s="11">
      <c r="A6" s="13" t="n">
        <v>5</v>
      </c>
      <c r="B6" s="13" t="n">
        <v>1</v>
      </c>
      <c r="C6" s="14">
        <f>INDEX('부작 목록'!$C$2:$C$66,B6)</f>
        <v/>
      </c>
      <c r="D6" s="14" t="inlineStr">
        <is>
          <t>A 일상 회화</t>
        </is>
      </c>
      <c r="E6" s="13" t="n">
        <v>171</v>
      </c>
      <c r="F6" s="13" t="n">
        <v>23</v>
      </c>
      <c r="G6" s="15" t="inlineStr">
        <is>
          <t>하비에르와 알바로가 이번에는 드라마 『리처(Reacher)』 시즌 3를 시청한 후, 한층 더 비평적인 시각으로 나누는 대화입니다. 시즌을 거듭하며 익숙해진 팬들로서, 원작의 정체성과 시리즈의 방향성에 대해 보다 깊은 분석을 담았습니다.</t>
        </is>
      </c>
    </row>
    <row r="7" ht="28.35" customHeight="1" s="11">
      <c r="A7" s="13" t="n">
        <v>6</v>
      </c>
      <c r="B7" s="13" t="n">
        <v>1</v>
      </c>
      <c r="C7" s="14">
        <f>INDEX('부작 목록'!$C$2:$C$66,B7)</f>
        <v/>
      </c>
      <c r="D7" s="14" t="inlineStr">
        <is>
          <t>A 일상 회화</t>
        </is>
      </c>
      <c r="E7" s="13" t="n">
        <v>197</v>
      </c>
      <c r="F7" s="13" t="n">
        <v>21</v>
      </c>
      <c r="G7" s="15" t="inlineStr">
        <is>
          <t>시즌 3의 강렬하고도 씁쓸한 엔딩 장면, 그리고 그 여운을 극대화했던 Mondo Cozmo의 음악 에 대해 하비에르와 알바로가 깊은 감상을 나누는 대화문입니다.</t>
        </is>
      </c>
    </row>
    <row r="8" ht="41.75" customHeight="1" s="11">
      <c r="A8" s="13" t="n">
        <v>7</v>
      </c>
      <c r="B8" s="13" t="n">
        <v>1</v>
      </c>
      <c r="C8" s="14">
        <f>INDEX('부작 목록'!$C$2:$C$66,B8)</f>
        <v/>
      </c>
      <c r="D8" s="14" t="inlineStr">
        <is>
          <t>A 일상 회화</t>
        </is>
      </c>
      <c r="E8" s="13" t="n">
        <v>221</v>
      </c>
      <c r="F8" s="13" t="n">
        <v>22</v>
      </c>
      <c r="G8" s="15" t="inlineStr">
        <is>
          <t>지난주 각자 취재한 기사(하비에르는 경제 분야, 알바로는 정치/사회 분야)에 대해 마드리드의 한 식당에서 식사를 하며 서로의 취재 과정과 결과를 비판적으로 공유하는 상황입니다. 이번 대 화문은 전문적인 견해를 나누는 만큼 접속법과 조건법이 밀도 있게 사용되었습니다.</t>
        </is>
      </c>
    </row>
    <row r="9" ht="41.75" customHeight="1" s="11">
      <c r="A9" s="13" t="n">
        <v>8</v>
      </c>
      <c r="B9" s="13" t="n">
        <v>2</v>
      </c>
      <c r="C9" s="14">
        <f>INDEX('부작 목록'!$C$2:$C$66,B9)</f>
        <v/>
      </c>
      <c r="D9" s="14" t="inlineStr">
        <is>
          <t>A 일상 회화</t>
        </is>
      </c>
      <c r="E9" s="13" t="n">
        <v>247</v>
      </c>
      <c r="F9" s="13" t="n">
        <v>18</v>
      </c>
      <c r="G9" s="15" t="inlineStr">
        <is>
          <t>다음 주부터 시작될 '해안 지역의 불법 토지 개발 및 환경 파괴'라는 묵직한 탐사보도 주제를 놓고, 두 기자가 구체적인 취재 전략과 위험 요소를 논의하는 상황입니다. 이번 대화문에서는 미래에 대한 계획과 가정(가정법/조건법), 그리고 상대방의 의견을 이끌어내는 접속법이 집중적 으로 사용되었습니다.</t>
        </is>
      </c>
    </row>
    <row r="10" ht="41.75" customHeight="1" s="11">
      <c r="A10" s="13" t="n">
        <v>9</v>
      </c>
      <c r="B10" s="13" t="n">
        <v>2</v>
      </c>
      <c r="C10" s="14">
        <f>INDEX('부작 목록'!$C$2:$C$66,B10)</f>
        <v/>
      </c>
      <c r="D10" s="14" t="inlineStr">
        <is>
          <t>A 일상 회화</t>
        </is>
      </c>
      <c r="E10" s="13" t="n">
        <v>268</v>
      </c>
      <c r="F10" s="13" t="n">
        <v>18</v>
      </c>
      <c r="G10" s="15" t="inlineStr">
        <is>
          <t>알바로(Álvaro)가 불법 건축과 환경 파괴의 중심에 있는 익명의 제보자(혹은 내부 고발자)를 만 나 인터뷰하는 상황입니다. 긴장감이 감도는 취재 현장의 분위기를 살려, 접속법을 이용한 신뢰 확보와 조건법을 통한 가설적 상황 제시를 중심으로 구성했습니다.</t>
        </is>
      </c>
    </row>
    <row r="11" ht="41.75" customHeight="1" s="11">
      <c r="A11" s="13" t="n">
        <v>10</v>
      </c>
      <c r="B11" s="13" t="n">
        <v>2</v>
      </c>
      <c r="C11" s="14">
        <f>INDEX('부작 목록'!$C$2:$C$66,B11)</f>
        <v/>
      </c>
      <c r="D11" s="14" t="inlineStr">
        <is>
          <t>A 일상 회화</t>
        </is>
      </c>
      <c r="E11" s="13" t="n">
        <v>290</v>
      </c>
      <c r="F11" s="13" t="n">
        <v>15</v>
      </c>
      <c r="G11" s="15" t="inlineStr">
        <is>
          <t>알바로(Álvaro)가 데스크(상사)에게 취재한 내용과 확보한 증거물을 보고하며, 향후 보도 방향과 법적 리스크에 대해 논의하는 긴장감 넘치는 상황입니다. 상사와의 대화이므로 격식 있는 어조 와 접속법을 활용한 정중한 제안, 그리고 객관적 분석을 위한 직설법이 조화를 이룹니다.</t>
        </is>
      </c>
    </row>
    <row r="12" ht="28.35" customHeight="1" s="11">
      <c r="A12" s="13" t="n">
        <v>11</v>
      </c>
      <c r="B12" s="13" t="n">
        <v>2</v>
      </c>
      <c r="C12" s="14">
        <f>INDEX('부작 목록'!$C$2:$C$66,B12)</f>
        <v/>
      </c>
      <c r="D12" s="14" t="inlineStr">
        <is>
          <t>A 일상 회화</t>
        </is>
      </c>
      <c r="E12" s="13" t="n">
        <v>308</v>
      </c>
      <c r="F12" s="13" t="n">
        <v>14</v>
      </c>
      <c r="G12" s="15" t="inlineStr">
        <is>
          <t>알바로가 퇴근길 혹은 집에 돌아왔을 때, 보도 준비 중인 불법 토지 개발 건을 중단하라는 익명 의 협박 전화를 받는 상황입니다. 상대방은 알바로의 신상과 취재 내용을 상세히 알고 있다는 점을 강조하며 심리적 압박을 가합니다.</t>
        </is>
      </c>
    </row>
    <row r="13" ht="28.35" customHeight="1" s="11">
      <c r="A13" s="13" t="n">
        <v>12</v>
      </c>
      <c r="B13" s="13" t="n">
        <v>2</v>
      </c>
      <c r="C13" s="14">
        <f>INDEX('부작 목록'!$C$2:$C$66,B13)</f>
        <v/>
      </c>
      <c r="D13" s="14" t="inlineStr">
        <is>
          <t>A 일상 회화</t>
        </is>
      </c>
      <c r="E13" s="13" t="n">
        <v>325</v>
      </c>
      <c r="F13" s="13" t="n">
        <v>24</v>
      </c>
      <c r="G13" s="15" t="inlineStr">
        <is>
          <t>이 상황은 협박 전화 이후, 알바로가 국장실에서 안전 문제와 보도 가치를 두고 벌이는 치열한 논쟁, 그리고 결국 진실을 위해 기사를 송고하기로 합의하는 긴박한 순간입니다.</t>
        </is>
      </c>
    </row>
    <row r="14" ht="28.35" customHeight="1" s="11">
      <c r="A14" s="13" t="n">
        <v>13</v>
      </c>
      <c r="B14" s="13" t="n">
        <v>2</v>
      </c>
      <c r="C14" s="14">
        <f>INDEX('부작 목록'!$C$2:$C$66,B14)</f>
        <v/>
      </c>
      <c r="D14" s="14" t="inlineStr">
        <is>
          <t>A 일상 회화</t>
        </is>
      </c>
      <c r="E14" s="13" t="n">
        <v>352</v>
      </c>
      <c r="F14" s="13" t="n">
        <v>24</v>
      </c>
      <c r="G14" s="15" t="inlineStr">
        <is>
          <t>기사가 발행된 후, 마드리드의 한 카페에서 알바로와 하비에르가 긴장감이 가신 자리에서 차분 히 커피를 마시며 이번 탐사보도의 파장과 개인적인 소회를 나누는 상황입니다.</t>
        </is>
      </c>
    </row>
    <row r="15" ht="41.75" customHeight="1" s="11">
      <c r="A15" s="13" t="n">
        <v>14</v>
      </c>
      <c r="B15" s="13" t="n">
        <v>3</v>
      </c>
      <c r="C15" s="14">
        <f>INDEX('부작 목록'!$C$2:$C$66,B15)</f>
        <v/>
      </c>
      <c r="D15" s="14" t="inlineStr">
        <is>
          <t>A 일상 회화</t>
        </is>
      </c>
      <c r="E15" s="13" t="n">
        <v>379</v>
      </c>
      <c r="F15" s="13" t="n">
        <v>17</v>
      </c>
      <c r="G15" s="15" t="inlineStr">
        <is>
          <t>마드리드의 한 카페에서 하비에르와 알바로가 엘 파이스(El País)의 기사를 읽고 국제 정세에 대 해 나누는 대화입니다. 미국의 대이란 압박과 호르무즈 해협의 긴장 상황이라는 무거운 주제를 놓고, 두 기자의 냉철한 분석과 전망을 담았습니다.</t>
        </is>
      </c>
    </row>
    <row r="16" ht="41.75" customHeight="1" s="11">
      <c r="A16" s="13" t="n">
        <v>15</v>
      </c>
      <c r="B16" s="13" t="n">
        <v>3</v>
      </c>
      <c r="C16" s="14">
        <f>INDEX('부작 목록'!$C$2:$C$66,B16)</f>
        <v/>
      </c>
      <c r="D16" s="14" t="inlineStr">
        <is>
          <t>A 일상 회화</t>
        </is>
      </c>
      <c r="E16" s="13" t="n">
        <v>399</v>
      </c>
      <c r="F16" s="13" t="n">
        <v>18</v>
      </c>
      <c r="G16" s="15" t="inlineStr">
        <is>
          <t>엘 파이스(El País)의 독자 투고란(La Opinión del Lector)에 실린 마린 르펜, 바라베스(Barrabés) 사건, 나토, 페이호의 부상자(내부 갈등)에 관한 복합적인 정치 칼럼을 읽고, 하비에르와 알바로 가 마드리드 시내의 한 카페에서 비판적인 시각으로 나누는 대화입니다.</t>
        </is>
      </c>
    </row>
    <row r="17" ht="41.75" customHeight="1" s="11">
      <c r="A17" s="13" t="n">
        <v>16</v>
      </c>
      <c r="B17" s="13" t="n">
        <v>3</v>
      </c>
      <c r="C17" s="14">
        <f>INDEX('부작 목록'!$C$2:$C$66,B17)</f>
        <v/>
      </c>
      <c r="D17" s="14" t="inlineStr">
        <is>
          <t>A 일상 회화</t>
        </is>
      </c>
      <c r="E17" s="13" t="n">
        <v>422</v>
      </c>
      <c r="F17" s="13" t="n">
        <v>15</v>
      </c>
      <c r="G17" s="15" t="inlineStr">
        <is>
          <t>하비에르와 알바로가 월스트리트 저널(WSJ)의 최근 보도 내용을 바탕으로, 우크라이나 전황의 변화와 푸틴의 대응에 대해 마드리드의 한 사무실에서 심각하게 의견을 나누는 모습입니다. 이 번엔 두 사람의 전문적인 분석과 국제 정치에 대한 깊은 우려가 대화에 묻어납니다.</t>
        </is>
      </c>
    </row>
    <row r="18" ht="41.75" customHeight="1" s="11">
      <c r="A18" s="13" t="n">
        <v>17</v>
      </c>
      <c r="B18" s="13" t="n">
        <v>3</v>
      </c>
      <c r="C18" s="14">
        <f>INDEX('부작 목록'!$C$2:$C$66,B18)</f>
        <v/>
      </c>
      <c r="D18" s="14" t="inlineStr">
        <is>
          <t>A 일상 회화</t>
        </is>
      </c>
      <c r="E18" s="13" t="n">
        <v>440</v>
      </c>
      <c r="F18" s="13" t="n">
        <v>15</v>
      </c>
      <c r="G18" s="15" t="inlineStr">
        <is>
          <t>하비에르와 알바로가 이번에는 무거운 정치 기사가 아닌, WSJ의 라이프스타일 섹션에 실린 '유 럽 여행의 고통(폭염, 인파, 고물가)'에 관한 기사를 읽으며 나누는 대화입니다. 기자로서의 시각 이 아닌, 주말을 앞둔 평범한 여행자들의 관점에서 가벼운 대화가 이어집니다.</t>
        </is>
      </c>
    </row>
    <row r="19" ht="41.75" customHeight="1" s="11">
      <c r="A19" s="13" t="n">
        <v>18</v>
      </c>
      <c r="B19" s="13" t="n">
        <v>3</v>
      </c>
      <c r="C19" s="14">
        <f>INDEX('부작 목록'!$C$2:$C$66,B19)</f>
        <v/>
      </c>
      <c r="D19" s="14" t="inlineStr">
        <is>
          <t>A 일상 회화</t>
        </is>
      </c>
      <c r="E19" s="13" t="n">
        <v>458</v>
      </c>
      <c r="F19" s="13" t="n">
        <v>14</v>
      </c>
      <c r="G19" s="15" t="inlineStr">
        <is>
          <t>베네수엘라의 지진 피해와 취약해진 의료 시스템, 그리고 그로 인해 외부 의사들에 의존할 수밖 에 없는 현 상황을 다룬 WSJ 기사를 접한 하비에르와 알바로의 대화입니다. 국제 사회의 인도 주의적 위기와 보건 정책의 난맥상을 짚어보는 대화가 이어집니다.</t>
        </is>
      </c>
    </row>
    <row r="20" ht="41.75" customHeight="1" s="11">
      <c r="A20" s="13" t="n">
        <v>19</v>
      </c>
      <c r="B20" s="13" t="n">
        <v>3</v>
      </c>
      <c r="C20" s="14">
        <f>INDEX('부작 목록'!$C$2:$C$66,B20)</f>
        <v/>
      </c>
      <c r="D20" s="14" t="inlineStr">
        <is>
          <t>A 일상 회화</t>
        </is>
      </c>
      <c r="E20" s="13" t="n">
        <v>474</v>
      </c>
      <c r="F20" s="13" t="n">
        <v>16</v>
      </c>
      <c r="G20" s="15" t="inlineStr">
        <is>
          <t>엘 문도(El Mundo)의 2026년 7월 12일 자 기사는 현재 스페인 정국을 뒤흔들고 있는 복합적인 정치 이슈들을 다루고 있습니다. 이번에는 하비에르와 알바로가 주말 아침, 마드리드의 한 조용 한 카페에서 커피를 마시며 이 기사들에 대해 비판적이고 심도 있는 대화를 나누는 상황입니다.</t>
        </is>
      </c>
    </row>
    <row r="21" ht="41.75" customHeight="1" s="11">
      <c r="A21" s="13" t="n">
        <v>20</v>
      </c>
      <c r="B21" s="13" t="n">
        <v>3</v>
      </c>
      <c r="C21" s="14">
        <f>INDEX('부작 목록'!$C$2:$C$66,B21)</f>
        <v/>
      </c>
      <c r="D21" s="14" t="inlineStr">
        <is>
          <t>A 일상 회화</t>
        </is>
      </c>
      <c r="E21" s="13" t="n">
        <v>492</v>
      </c>
      <c r="F21" s="13" t="n">
        <v>16</v>
      </c>
      <c r="G21" s="15" t="inlineStr">
        <is>
          <t>이번 엘 문도(El Mundo)의 크로니카(Crónica) 섹션 기사를 읽은 하비에르와 알바로는 사회의 어 두운 이면이나 인간적인 드라마를 다루는 탐사보도 기자로서, 기사의 주제에 대해 깊은 공감을 나누고 있습니다. 마드리드의 한 조용한 테라스에서, 업무의 긴장감을 잠시 내려놓은 두 사람의 대화입니다.</t>
        </is>
      </c>
    </row>
    <row r="22" ht="41.75" customHeight="1" s="11">
      <c r="A22" s="13" t="n">
        <v>21</v>
      </c>
      <c r="B22" s="13" t="n">
        <v>3</v>
      </c>
      <c r="C22" s="14">
        <f>INDEX('부작 목록'!$C$2:$C$66,B22)</f>
        <v/>
      </c>
      <c r="D22" s="14" t="inlineStr">
        <is>
          <t>A 일상 회화</t>
        </is>
      </c>
      <c r="E22" s="13" t="n">
        <v>511</v>
      </c>
      <c r="F22" s="13" t="n">
        <v>13</v>
      </c>
      <c r="G22" s="15" t="inlineStr">
        <is>
          <t>캘리포니아의 불법 대마초 시장과 그에 대한 단속, 그리고 개빈 뉴섬 주지사의 정책을 다룬 WSJ의 오피니언 기사를 보며, 하비에르와 알바로는 '법과 규제'가 의도와 다르게 부작용을 낳는 현상에 대해 마드리드의 한 카페에서 대화를 나눕니다.</t>
        </is>
      </c>
    </row>
    <row r="23" ht="41.75" customHeight="1" s="11">
      <c r="A23" s="13" t="n">
        <v>22</v>
      </c>
      <c r="B23" s="13" t="n">
        <v>3</v>
      </c>
      <c r="C23" s="14">
        <f>INDEX('부작 목록'!$C$2:$C$66,B23)</f>
        <v/>
      </c>
      <c r="D23" s="14" t="inlineStr">
        <is>
          <t>A 일상 회화</t>
        </is>
      </c>
      <c r="E23" s="13" t="n">
        <v>526</v>
      </c>
      <c r="F23" s="13" t="n">
        <v>13</v>
      </c>
      <c r="G23" s="17" t="inlineStr">
        <is>
          <t>WSJ에서 보도한 러시아 바그너 그룹의 아프리카 내 마약 거래 연루 의혹은 매우 충격적이고 복합적인 국제 정세 이슈입니다. 마드리드의 한 카페에서 하비에르와 알바로는 이 기사를 읽으 며, 과거 그들이 다루었던 러시아 사업 개발 및 탐사보도 경험을 떠올리며 깊은 우려를 표합니 다.</t>
        </is>
      </c>
    </row>
    <row r="24" ht="41.75" customHeight="1" s="11">
      <c r="A24" s="13" t="n">
        <v>23</v>
      </c>
      <c r="B24" s="13" t="n">
        <v>3</v>
      </c>
      <c r="C24" s="14">
        <f>INDEX('부작 목록'!$C$2:$C$66,B24)</f>
        <v/>
      </c>
      <c r="D24" s="14" t="inlineStr">
        <is>
          <t>A 일상 회화</t>
        </is>
      </c>
      <c r="E24" s="13" t="n">
        <v>542</v>
      </c>
      <c r="F24" s="13" t="n">
        <v>17</v>
      </c>
      <c r="G24" s="15" t="inlineStr">
        <is>
          <t>알바로와 하비에르가 점심을 먹고 카페를 나서며, 스마트폰에 뜬 외국어 학습 서비스 광고 (Makes You Fluent)를 보고 나누는 대화입니다. 알바로는 여전히 이탈리아어 학습에 열정을 쏟 고 있고, 하비에르는 기자의 시각으로 이런 광고들의 효과를 냉철하게 분석합니다.</t>
        </is>
      </c>
    </row>
    <row r="25" ht="41.75" customHeight="1" s="11">
      <c r="A25" s="13" t="n">
        <v>24</v>
      </c>
      <c r="B25" s="13" t="n">
        <v>3</v>
      </c>
      <c r="C25" s="14">
        <f>INDEX('부작 목록'!$C$2:$C$66,B25)</f>
        <v/>
      </c>
      <c r="D25" s="14" t="inlineStr">
        <is>
          <t>A 일상 회화</t>
        </is>
      </c>
      <c r="E25" s="13" t="n">
        <v>562</v>
      </c>
      <c r="F25" s="13" t="n">
        <v>10</v>
      </c>
      <c r="G25" s="15" t="inlineStr">
        <is>
          <t>하비에르와 알바로가 인공지능 분야의 거대 기업인 앤스로픽(Anthropic)과 오픈AI(OpenAI)가 직 면한 정치적 리스크를 다룬 WSJ의 테크 기사를 읽고 있습니다. 정보 기술과 정치의 결합은 두 기자가 최근 가장 깊이 있게 파고드는 주제 중 하나입니다. 마드리드의 한 사무실에서 두 사람 은 미래의 기술 권력이 정치에 미칠 영향력에 대해 토론합니다.</t>
        </is>
      </c>
    </row>
    <row r="26" ht="41.75" customHeight="1" s="11">
      <c r="A26" s="13" t="n">
        <v>25</v>
      </c>
      <c r="B26" s="13" t="n">
        <v>3</v>
      </c>
      <c r="C26" s="14">
        <f>INDEX('부작 목록'!$C$2:$C$66,B26)</f>
        <v/>
      </c>
      <c r="D26" s="14" t="inlineStr">
        <is>
          <t>A 일상 회화</t>
        </is>
      </c>
      <c r="E26" s="13" t="n">
        <v>575</v>
      </c>
      <c r="F26" s="13" t="n">
        <v>17</v>
      </c>
      <c r="G26" s="15" t="inlineStr">
        <is>
          <t>하비에르와 알바로가 이번에는 마드리드의 한 사무실에서 스페인 통신 대기업 텔레포니카 (Telefónica)의 독일 자회사 구조조정 뉴스를 접하고 대화를 나눕니다. 거대 기업의 인력 조정 소식은 기자로서 두 사람에게 노동 시장의 경직성과 기업 전략의 변화라는 무거운 화두를 던져 줍니다.</t>
        </is>
      </c>
    </row>
    <row r="27" ht="55.2" customHeight="1" s="11">
      <c r="A27" s="13" t="n">
        <v>26</v>
      </c>
      <c r="B27" s="13" t="n">
        <v>4</v>
      </c>
      <c r="C27" s="14">
        <f>INDEX('부작 목록'!$C$2:$C$66,B27)</f>
        <v/>
      </c>
      <c r="D27" s="14" t="inlineStr">
        <is>
          <t>B 카를로스 사건집</t>
        </is>
      </c>
      <c r="E27" s="13" t="n">
        <v>597</v>
      </c>
      <c r="F27" s="13" t="n">
        <v>50</v>
      </c>
      <c r="G27" s="15" t="inlineStr">
        <is>
          <t>알바로가 오랜만에 대학 시절 친구이자 현재 스페인 국가정보원(CNI)에서 근무하는 카를로스 (Carlos)와 우연히 마주치는 상황입니다. 카를로스는 스페인과 콜롬비아를 잇는 불법 무기 밀매 조직에 대한 정보를 얻기 위해, 신뢰할 수 있는 기자인 알바로에게 위장 잠입 취재를 부탁합니 다. 처음엔 망설이던 알바로는 며칠간의 고민 끝에 결국 이 위험한 제안을 받아들이기로 결심합 니다.</t>
        </is>
      </c>
    </row>
    <row r="28" ht="55.2" customHeight="1" s="11">
      <c r="A28" s="13" t="n">
        <v>27</v>
      </c>
      <c r="B28" s="13" t="n">
        <v>4</v>
      </c>
      <c r="C28" s="14">
        <f>INDEX('부작 목록'!$C$2:$C$66,B28)</f>
        <v/>
      </c>
      <c r="D28" s="14" t="inlineStr">
        <is>
          <t>B 카를로스 사건집</t>
        </is>
      </c>
      <c r="E28" s="13" t="n">
        <v>652</v>
      </c>
      <c r="F28" s="13" t="n">
        <v>27</v>
      </c>
      <c r="G28" s="15" t="inlineStr">
        <is>
          <t>카를로스의 준비를 거쳐 위장 신분 '디에고 바르가스(Diego Vargas)'가 된 알바로가, 카디스 항 구 근처의 허름한 술집에서 조직의 스페인 측 중간책인 마놀로(Manolo)를 처음으로 만나는 상 황입니다. 물류·수입업 사업가로 자신을 소개한 알바로는 신뢰를 얻기 위해 조심스럽게 대화를 이어가지만, 아직 초면인 만큼 마놀로는 구체적인 정보는 내주지 않고 알바로를 시험하려 합니 다.</t>
        </is>
      </c>
    </row>
    <row r="29" ht="54.45" customHeight="1" s="11">
      <c r="A29" s="13" t="n">
        <v>28</v>
      </c>
      <c r="B29" s="13" t="n">
        <v>4</v>
      </c>
      <c r="C29" s="14">
        <f>INDEX('부작 목록'!$C$2:$C$66,B29)</f>
        <v/>
      </c>
      <c r="D29" s="14" t="inlineStr">
        <is>
          <t>B 카를로스 사건집</t>
        </is>
      </c>
      <c r="E29" s="13" t="n">
        <v>682</v>
      </c>
      <c r="F29" s="13" t="n">
        <v>35</v>
      </c>
      <c r="G29" s="15" t="inlineStr">
        <is>
          <t>마놀로가 알바로(디에고)를 조직의 실질적인 책임자인 파비안(Fabián)—콜롬비아 출신으로 스페 인 쪽 사업을 총괄하는 인물—에게 소개하는 자리입니다. 카디스 외곽의 한 창고에서 이루어지 는 이 만남에서, 파비안은 디에고를 한층 더 신중하게 시험하면서도 신뢰를 얻은 대가로 그에게 첫 임무를 맡기며, 조직의 운영 방식을 조금씩 드러내기 시작합니다.</t>
        </is>
      </c>
    </row>
    <row r="30" ht="41.75" customHeight="1" s="11">
      <c r="A30" s="13" t="n">
        <v>29</v>
      </c>
      <c r="B30" s="13" t="n">
        <v>4</v>
      </c>
      <c r="C30" s="14">
        <f>INDEX('부작 목록'!$C$2:$C$66,B30)</f>
        <v/>
      </c>
      <c r="D30" s="14" t="inlineStr">
        <is>
          <t>B 카를로스 사건집</t>
        </is>
      </c>
      <c r="E30" s="13" t="n">
        <v>721</v>
      </c>
      <c r="F30" s="13" t="n">
        <v>17</v>
      </c>
      <c r="G30" s="15" t="inlineStr">
        <is>
          <t>일주일 후, 알바로(디에고)가 카디스 항구의 한 사무실에서 마놀로와 함께 첫 임무인 통관 서류 작업을 진행하는 상황입니다. 서류에 서명하고 도장을 찍는 와중에, 알바로는 조직의 운영 방식 에 대한 단서를 놓치지 않으려 애쓰면서도, 자신의 정체가 들통나지 않도록 극도로 조심합니다.</t>
        </is>
      </c>
    </row>
    <row r="31" ht="41.75" customHeight="1" s="11">
      <c r="A31" s="13" t="n">
        <v>30</v>
      </c>
      <c r="B31" s="13" t="n">
        <v>4</v>
      </c>
      <c r="C31" s="14">
        <f>INDEX('부작 목록'!$C$2:$C$66,B31)</f>
        <v/>
      </c>
      <c r="D31" s="14" t="inlineStr">
        <is>
          <t>B 카를로스 사건집</t>
        </is>
      </c>
      <c r="E31" s="13" t="n">
        <v>741</v>
      </c>
      <c r="F31" s="13" t="n">
        <v>31</v>
      </c>
      <c r="G31" s="15" t="inlineStr">
        <is>
          <t>며칠 후, 파비안이 갑작스레 디에고(알바로)를 창고로 불러들입니다. 조직 내부에서 그의 신원에 대한 의혹이 제기된 상황입니다. 파비안은 예리하고 집요한 질문으로 디에고의 이야기에서 허점 을 찾아내려 하고, 알바로는 침착함을 유지하며 이 위기를 넘기려 안간힘을 씁니다.</t>
        </is>
      </c>
    </row>
    <row r="32" ht="55.2" customHeight="1" s="11">
      <c r="A32" s="13" t="n">
        <v>31</v>
      </c>
      <c r="B32" s="13" t="n">
        <v>4</v>
      </c>
      <c r="C32" s="14">
        <f>INDEX('부작 목록'!$C$2:$C$66,B32)</f>
        <v/>
      </c>
      <c r="D32" s="14" t="inlineStr">
        <is>
          <t>B 카를로스 사건집</t>
        </is>
      </c>
      <c r="E32" s="13" t="n">
        <v>776</v>
      </c>
      <c r="F32" s="13" t="n">
        <v>95</v>
      </c>
      <c r="G32" s="15" t="inlineStr">
        <is>
          <t>심문이 끝난 직후, 뜻밖에도 파비안이 알바로(디에고)에게 저녁 식사를 제안합니다. 거절하면 오히려 의심을 살까 봐 알바로는 이를 받아들이고, 카디스 바닷가의 한 고급 레스토랑에서 파비안과 마주 앉습니다. 겉으로는 친목을 다지는 자리처럼 보이지만, 파비안은 와인 잔을 기울이며 훨씬 더 사적이고 은근한 방식으로 디에고를 계속 시험합니다. 술을 얼마나 마시는지 지켜보고, 앞서 했던 이야기를 슬쩍 다시 묻고, 있지도 않은 지인의 이름을 흘려 떠보기도 합니다. 그러면서도 뜻밖에 자신의 어린 시절과 과거를 조금씩 털어놓고, 화물 물량을 두 배로 늘리자는 제안까지 꺼냅니다.</t>
        </is>
      </c>
    </row>
    <row r="33" ht="55.2" customHeight="1" s="11">
      <c r="A33" s="13" t="n">
        <v>32</v>
      </c>
      <c r="B33" s="13" t="n">
        <v>4</v>
      </c>
      <c r="C33" s="14">
        <f>INDEX('부작 목록'!$C$2:$C$66,B33)</f>
        <v/>
      </c>
      <c r="D33" s="14" t="inlineStr">
        <is>
          <t>B 카를로스 사건집</t>
        </is>
      </c>
      <c r="E33" s="13" t="n">
        <v>873</v>
      </c>
      <c r="F33" s="13" t="n">
        <v>176</v>
      </c>
      <c r="G33" s="15" t="inlineStr">
        <is>
          <t>식사 마지막에 나온 식후주에는 파비안이 미리 약을 타 두었습니다. 식당을 나와 차 안에서 에르네스토와 통화를 마친 알바로는 시동도 걸지 못한 채 정신을 잃고, 눈을 떴을 때는 이미 낯선 창고 안, 의자에 묶인 채였습니다. 파비안과 마놀로가 여러 각도에서 집요하게 파고들며 그의 이야기 속 허점을 찾으려 하고, 기억이 끊긴 틈과 휴대폰 기록까지 파고듭니다. 알바로는 몽롱한 정신을 붙잡고 끝까지 침착함을 유지하며 이 길고 위험한 시험을 버텨냅니다.</t>
        </is>
      </c>
    </row>
    <row r="34" ht="41.75" customHeight="1" s="11">
      <c r="A34" s="13" t="n">
        <v>33</v>
      </c>
      <c r="B34" s="13" t="n">
        <v>4</v>
      </c>
      <c r="C34" s="14">
        <f>INDEX('부작 목록'!$C$2:$C$66,B34)</f>
        <v/>
      </c>
      <c r="D34" s="14" t="inlineStr">
        <is>
          <t>B 카를로스 사건집</t>
        </is>
      </c>
      <c r="E34" s="13" t="n">
        <v>1051</v>
      </c>
      <c r="F34" s="13" t="n">
        <v>161</v>
      </c>
      <c r="G34" s="15" t="inlineStr">
        <is>
          <t>몇 시간이 흐른 새벽 세 시 반. 약기운은 조금씩 가시지만 갈증과 두통, 몸의 떨림은 오히려 심해졌습니다. 파비안은 같은 질문을 순서만 바꿔 반복하며 모순을 찾고, 마놀로는 점점 거칠어집니다. 알바로는 단 한 번의 말실수가 곧 죽음이라는 것을 알면서도 끝까지 가짜 신분 '디에고'를 지켜냅니다.</t>
        </is>
      </c>
    </row>
    <row r="35" ht="41.75" customHeight="1" s="11">
      <c r="A35" s="13" t="n">
        <v>34</v>
      </c>
      <c r="B35" s="13" t="n">
        <v>4</v>
      </c>
      <c r="C35" s="14">
        <f>INDEX('부작 목록'!$C$2:$C$66,B35)</f>
        <v/>
      </c>
      <c r="D35" s="14" t="inlineStr">
        <is>
          <t>B 카를로스 사건집</t>
        </is>
      </c>
      <c r="E35" s="13" t="n">
        <v>1214</v>
      </c>
      <c r="F35" s="13" t="n">
        <v>45</v>
      </c>
      <c r="G35" s="15" t="inlineStr">
        <is>
          <t>다음 날 오전, 알바로는 안전 가옥 근처 카페에서 카를로스를 만나 전날 밤 있었던 일—파비안 이 와인에 약을 타고 별도의 창고에서 그를 위협적으로 심문했던 일—을 보고합니다. 카를로스 는 상황의 심각성에 놀라며 작전을 계속할지 여부를 놓고 알바로와 진지하게 논의합니다.</t>
        </is>
      </c>
    </row>
    <row r="36" ht="41.75" customHeight="1" s="11">
      <c r="A36" s="13" t="n">
        <v>35</v>
      </c>
      <c r="B36" s="13" t="n">
        <v>4</v>
      </c>
      <c r="C36" s="14">
        <f>INDEX('부작 목록'!$C$2:$C$66,B36)</f>
        <v/>
      </c>
      <c r="D36" s="14" t="inlineStr">
        <is>
          <t>B 카를로스 사건집</t>
        </is>
      </c>
      <c r="E36" s="13" t="n">
        <v>1263</v>
      </c>
      <c r="F36" s="13" t="n">
        <v>28</v>
      </c>
      <c r="G36" s="15" t="inlineStr">
        <is>
          <t>월요일 두 번째 작전을 앞두고, 알바로(디에고)가 파비안과 마놀로에게 며칠간 마드리드에 다녀 와야 한다고 알립니다. 표면적으로는 개인·사업상의 용무 때문이지만, 실은 카를로스와 하비에르 를 만나 상황을 공유하려는 목적입니다. 최근 심문 이후로 여전히 경계심을 늦추지 않는 파비안 은 이 요청에 신중하게 반응하며 몇 가지 조건을 내겁니다.</t>
        </is>
      </c>
    </row>
    <row r="37" ht="41.75" customHeight="1" s="11">
      <c r="A37" s="13" t="n">
        <v>36</v>
      </c>
      <c r="B37" s="13" t="n">
        <v>4</v>
      </c>
      <c r="C37" s="14">
        <f>INDEX('부작 목록'!$C$2:$C$66,B37)</f>
        <v/>
      </c>
      <c r="D37" s="14" t="inlineStr">
        <is>
          <t>B 카를로스 사건집</t>
        </is>
      </c>
      <c r="E37" s="13" t="n">
        <v>1295</v>
      </c>
      <c r="F37" s="13" t="n">
        <v>23</v>
      </c>
      <c r="G37" s="15" t="inlineStr">
        <is>
          <t>마드리드에 도착한 알바로는 공항에서부터 낯선 남자가 자신을 따라오고 있다는 것을 눈치챕니 다. 카를로스와 미리 정해둔 안전한 바에서 만난 그는 이 사실을 알리고, 두 사람은 감시를 따 돌릴 방법과 다음 작전에서 결정적 증거를 확보할 방법을 짧고 긴박하게 논의합니다.</t>
        </is>
      </c>
    </row>
    <row r="38" ht="28.35" customHeight="1" s="11">
      <c r="A38" s="13" t="n">
        <v>37</v>
      </c>
      <c r="B38" s="13" t="n">
        <v>4</v>
      </c>
      <c r="C38" s="14">
        <f>INDEX('부작 목록'!$C$2:$C$66,B38)</f>
        <v/>
      </c>
      <c r="D38" s="14" t="inlineStr">
        <is>
          <t>B 카를로스 사건집</t>
        </is>
      </c>
      <c r="E38" s="13" t="n">
        <v>1322</v>
      </c>
      <c r="F38" s="13" t="n">
        <v>10</v>
      </c>
      <c r="G38" s="15" t="inlineStr">
        <is>
          <t>목요일, 카디스 창고에서 두 번째 작전이 한창 진행되는 가운데, 마놀로가 잠시 자리를 비운 틈 을 타 알바로는 화물 목록이 적힌 서류를 몰래 촬영하고 핵심 수치를 암기합니다. 짧지만 결정 적인 순간입니다.</t>
        </is>
      </c>
    </row>
    <row r="39" ht="28.35" customHeight="1" s="11">
      <c r="A39" s="13" t="n">
        <v>38</v>
      </c>
      <c r="B39" s="13" t="n">
        <v>4</v>
      </c>
      <c r="C39" s="14">
        <f>INDEX('부작 목록'!$C$2:$C$66,B39)</f>
        <v/>
      </c>
      <c r="D39" s="14" t="inlineStr">
        <is>
          <t>B 카를로스 사건집</t>
        </is>
      </c>
      <c r="E39" s="13" t="n">
        <v>1335</v>
      </c>
      <c r="F39" s="13" t="n">
        <v>18</v>
      </c>
      <c r="G39" s="15" t="inlineStr">
        <is>
          <t>그날 밤, 안전한 숙소에 도착한 알바로가 카를로스에게 전화를 걸어 서류에서 확인한 화물 목록 과 수량을 상세히 전달합니다. 몇 주간의 위험한 잠입 끝에 마침내 손에 넣은 결정적 증거입니 다.</t>
        </is>
      </c>
    </row>
    <row r="40" ht="41.75" customHeight="1" s="11">
      <c r="A40" s="13" t="n">
        <v>39</v>
      </c>
      <c r="B40" s="13" t="n">
        <v>4</v>
      </c>
      <c r="C40" s="14">
        <f>INDEX('부작 목록'!$C$2:$C$66,B40)</f>
        <v/>
      </c>
      <c r="D40" s="14" t="inlineStr">
        <is>
          <t>B 카를로스 사건집</t>
        </is>
      </c>
      <c r="E40" s="13" t="n">
        <v>1356</v>
      </c>
      <c r="F40" s="13" t="n">
        <v>28</v>
      </c>
      <c r="G40" s="15" t="inlineStr">
        <is>
          <t>두 번째 작전이 성공적으로 끝난 후, 파비안이 알바로(디에고)에게 뜻밖의 제안을 합니다: 다음 주 콜롬비아 카르타헤나로 함께 출장을 가자는 것입니다. 조직의 핵심부에 한 걸음 더 다가설 기회이자 동시에 훨씬 더 큰 위험을 의미하는 상황에서, 알바로는 잠시 고민한 끝에 이를 수락 합니다.</t>
        </is>
      </c>
    </row>
    <row r="41" ht="41.75" customHeight="1" s="11">
      <c r="A41" s="13" t="n">
        <v>40</v>
      </c>
      <c r="B41" s="13" t="n">
        <v>4</v>
      </c>
      <c r="C41" s="14">
        <f>INDEX('부작 목록'!$C$2:$C$66,B41)</f>
        <v/>
      </c>
      <c r="D41" s="14" t="inlineStr">
        <is>
          <t>B 카를로스 사건집</t>
        </is>
      </c>
      <c r="E41" s="13" t="n">
        <v>1387</v>
      </c>
      <c r="F41" s="13" t="n">
        <v>29</v>
      </c>
      <c r="G41" s="15" t="inlineStr">
        <is>
          <t>출장을 앞두고, 알바로는 카를로스를 만나 파비안과 함께 콜롬비아로 떠난다는 소식을 전합니 다. 스페인 국경을 벗어나는 만큼 위험이 한층 커진 상황이라, 두 사람은 현지에서의 안전 대책 과 비상시 대응 방안을 신중하게 논의합니다.</t>
        </is>
      </c>
    </row>
    <row r="42" ht="55.2" customHeight="1" s="11">
      <c r="A42" s="13" t="n">
        <v>41</v>
      </c>
      <c r="B42" s="13" t="n">
        <v>4</v>
      </c>
      <c r="C42" s="14">
        <f>INDEX('부작 목록'!$C$2:$C$66,B42)</f>
        <v/>
      </c>
      <c r="D42" s="14" t="inlineStr">
        <is>
          <t>B 카를로스 사건집</t>
        </is>
      </c>
      <c r="E42" s="13" t="n">
        <v>1421</v>
      </c>
      <c r="F42" s="13" t="n">
        <v>56</v>
      </c>
      <c r="G42" s="15" t="inlineStr">
        <is>
          <t>카르타헤나 외곽의 한 대저택. 파비안과 디에고(알바로)가 도착한 자리에는 뜻밖의 손님들이 기 다리고 있었습니다: 스페인 정보기관 출신의 라몬 이바라(Ramón Ibarra)와 미국 쪽 기관 소속의 도일(Doyle)—둘 다 조직으로부터 은밀히 돈을 받고 수사망을 피하도록 도와주는 부패한 인물들 입니다. 알바로는 이 충격적인 사실 앞에서 침착함을 유지하며 최대한 많은 정보를 머릿속에 담 아두려 애씁니다.</t>
        </is>
      </c>
    </row>
    <row r="43" ht="41.75" customHeight="1" s="11">
      <c r="A43" s="13" t="n">
        <v>42</v>
      </c>
      <c r="B43" s="13" t="n">
        <v>4</v>
      </c>
      <c r="C43" s="14">
        <f>INDEX('부작 목록'!$C$2:$C$66,B43)</f>
        <v/>
      </c>
      <c r="D43" s="14" t="inlineStr">
        <is>
          <t>B 카를로스 사건집</t>
        </is>
      </c>
      <c r="E43" s="13" t="n">
        <v>1481</v>
      </c>
      <c r="F43" s="13" t="n">
        <v>34</v>
      </c>
      <c r="G43" s="15" t="inlineStr">
        <is>
          <t>다음 날, 파비안이 알바로(디에고)를 따로 불러 이번 화물의 세부 사항을 공개합니다: 정확한 경 로, 최종 목적지, 그리고 이 무기들이 실제로 누구에게 어떤 목적으로 팔리는지까지. 이어 파비 안은 알바로에게 충성을 맹세하도록 요구하고, 마지막으로 서류에 서명하게 합니다—그 서명이 실제로 어떤 의미를 갖는지도 함께 알려줍니다.</t>
        </is>
      </c>
    </row>
    <row r="44" ht="41.75" customHeight="1" s="11">
      <c r="A44" s="13" t="n">
        <v>43</v>
      </c>
      <c r="B44" s="13" t="n">
        <v>4</v>
      </c>
      <c r="C44" s="14">
        <f>INDEX('부작 목록'!$C$2:$C$66,B44)</f>
        <v/>
      </c>
      <c r="D44" s="14" t="inlineStr">
        <is>
          <t>B 카를로스 사건집</t>
        </is>
      </c>
      <c r="E44" s="13" t="n">
        <v>1519</v>
      </c>
      <c r="F44" s="13" t="n">
        <v>40</v>
      </c>
      <c r="G44" s="15" t="inlineStr">
        <is>
          <t>점심 식사 자리에 파비안, 알바로(디에고), 라몬, 도일, 그리고 콜롬비아 쪽 인맥인 윌슨까지 모 두 모입니다. 대화 도중 윌슨이 우연히 하비에르라는 스페인 기자의 이름을 꺼내면서, 알바로에 게는 청천벽력 같은 대화가 이어집니다. 이어 도일이 자신의 구체적인 역할을 설명하고, 라몬은 파비안에게 조직 내 잠입 시도에 대한 소문을 전하며 경고합니다.</t>
        </is>
      </c>
    </row>
    <row r="45" ht="41.75" customHeight="1" s="11">
      <c r="A45" s="13" t="n">
        <v>44</v>
      </c>
      <c r="B45" s="13" t="n">
        <v>4</v>
      </c>
      <c r="C45" s="14">
        <f>INDEX('부작 목록'!$C$2:$C$66,B45)</f>
        <v/>
      </c>
      <c r="D45" s="14" t="inlineStr">
        <is>
          <t>B 카를로스 사건집</t>
        </is>
      </c>
      <c r="E45" s="13" t="n">
        <v>1563</v>
      </c>
      <c r="F45" s="13" t="n">
        <v>34</v>
      </c>
      <c r="G45" s="15" t="inlineStr">
        <is>
          <t>점심 식사 후, 커피와 함께 한층 여유로워진 분위기 속에서 알바로는 자리에 있는 사람들과 가 벼운 일상 대화를 나눕니다. 겉으로는 그저 친목을 다지는 대화처럼 보이지만, 사실 그는 각자 의 고향, 가족, 취미, 생활 습관 같은 사소한 정보들을 하나하나 머릿속에 새겨두며 나중에 카를 로스에게 전달할 프로필을 만들고 있습니다.</t>
        </is>
      </c>
    </row>
    <row r="46" ht="41.75" customHeight="1" s="11">
      <c r="A46" s="13" t="n">
        <v>45</v>
      </c>
      <c r="B46" s="13" t="n">
        <v>4</v>
      </c>
      <c r="C46" s="14">
        <f>INDEX('부작 목록'!$C$2:$C$66,B46)</f>
        <v/>
      </c>
      <c r="D46" s="14" t="inlineStr">
        <is>
          <t>B 카를로스 사건집</t>
        </is>
      </c>
      <c r="E46" s="13" t="n">
        <v>1602</v>
      </c>
      <c r="F46" s="13" t="n">
        <v>36</v>
      </c>
      <c r="G46" s="15" t="inlineStr">
        <is>
          <t>그날 밤, 알바로는 라몬과 도일이라는 이름이 가명일 가능성이 크다고 판단합니다. 실명은 알아 낼 수 없었지만, 카를로스가 신원을 특정할 수 있도록 최대한 상세한 인상착의와 특징, 그리고 스몰토크 중에 얻은 개인 정보를 기억해내 전화로 전달합니다.</t>
        </is>
      </c>
    </row>
    <row r="47" ht="41.75" customHeight="1" s="11">
      <c r="A47" s="13" t="n">
        <v>46</v>
      </c>
      <c r="B47" s="13" t="n">
        <v>4</v>
      </c>
      <c r="C47" s="14">
        <f>INDEX('부작 목록'!$C$2:$C$66,B47)</f>
        <v/>
      </c>
      <c r="D47" s="14" t="inlineStr">
        <is>
          <t>B 카를로스 사건집</t>
        </is>
      </c>
      <c r="E47" s="13" t="n">
        <v>1642</v>
      </c>
      <c r="F47" s="13" t="n">
        <v>30</v>
      </c>
      <c r="G47" s="15" t="inlineStr">
        <is>
          <t>카르타헤나에서의 일정이 거의 끝나갈 무렵, 파비안이 갑작스레 베네수엘라로 함께 가자고 제안 합니다. 사전 계획에 없던 급작스러운 이동이라 카를로스에게 알릴 시간조차 없이, 알바로는 순 간적으로 결정을 내려야 하는 상황에 놓입니다.</t>
        </is>
      </c>
    </row>
    <row r="48" ht="41.75" customHeight="1" s="11">
      <c r="A48" s="13" t="n">
        <v>47</v>
      </c>
      <c r="B48" s="13" t="n">
        <v>4</v>
      </c>
      <c r="C48" s="14">
        <f>INDEX('부작 목록'!$C$2:$C$66,B48)</f>
        <v/>
      </c>
      <c r="D48" s="14" t="inlineStr">
        <is>
          <t>B 카를로스 사건집</t>
        </is>
      </c>
      <c r="E48" s="13" t="n">
        <v>1676</v>
      </c>
      <c r="F48" s="13" t="n">
        <v>93</v>
      </c>
      <c r="G48" s="15" t="inlineStr">
        <is>
          <t>공항에 도착한 파비안과 디에고(알바로)를 구매 조직 측 기사 페드로(Pedro)가 마중 나옵니다. 차로 이동해 외곽의 거처에 도착한 두 사람은 구매 조직의 수장인 코만단테 루에다 (Comandante Rueda)와 인사를 나누고, 이후 근처 식당으로 자리를 옮겨 식사를 하며 다음 거래 의 품목, 규모, 납기에 대해 논의합니다.</t>
        </is>
      </c>
    </row>
    <row r="49" ht="41.75" customHeight="1" s="11">
      <c r="A49" s="13" t="n">
        <v>48</v>
      </c>
      <c r="B49" s="13" t="n">
        <v>4</v>
      </c>
      <c r="C49" s="14">
        <f>INDEX('부작 목록'!$C$2:$C$66,B49)</f>
        <v/>
      </c>
      <c r="D49" s="14" t="inlineStr">
        <is>
          <t>B 카를로스 사건집</t>
        </is>
      </c>
      <c r="E49" s="13" t="n">
        <v>1775</v>
      </c>
      <c r="F49" s="13" t="n">
        <v>36</v>
      </c>
      <c r="G49" s="15" t="inlineStr">
        <is>
          <t>코만단테 루에다의 거처로 돌아온 그날 밤, 잠시 혼자가 된 틈을 타 알바로는 마침내 카를로스 에게 연락합니다. 사전 통보 없이 베네수엘라까지 오게 된 경위와 새 거래 조건, 그리고 다음번 엔 직접 인수 현장까지 와야 한다는 위험한 요구까지 모두 전달합니다.</t>
        </is>
      </c>
    </row>
    <row r="50" ht="55.2" customHeight="1" s="11">
      <c r="A50" s="13" t="n">
        <v>49</v>
      </c>
      <c r="B50" s="13" t="n">
        <v>4</v>
      </c>
      <c r="C50" s="14">
        <f>INDEX('부작 목록'!$C$2:$C$66,B50)</f>
        <v/>
      </c>
      <c r="D50" s="14" t="inlineStr">
        <is>
          <t>B 카를로스 사건집</t>
        </is>
      </c>
      <c r="E50" s="13" t="n">
        <v>1815</v>
      </c>
      <c r="F50" s="13" t="n">
        <v>56</v>
      </c>
      <c r="G50" s="15" t="inlineStr">
        <is>
          <t>카르타헤나를 거쳐 스페인으로 돌아온 알바로는 마드리드에서 카를로스를 직접 만나 베네수엘 라에서 얻은 모든 정보를 바탕으로 대규모 급습 작전을 계획합니다. 그러나 며칠 후, 파비안이 하비에르 제거 계획을 실행에 옮기려 한다는 사실을 알게 된 알바로는 이를 막으려 급하게 움 직이고, 그 과정에서 결국 파비안이 알바로의 진짜 정체를 눈치채고 맙니다.</t>
        </is>
      </c>
    </row>
    <row r="51" ht="28.35" customHeight="1" s="11">
      <c r="A51" s="13" t="n">
        <v>50</v>
      </c>
      <c r="B51" s="13" t="n">
        <v>4</v>
      </c>
      <c r="C51" s="14">
        <f>INDEX('부작 목록'!$C$2:$C$66,B51)</f>
        <v/>
      </c>
      <c r="D51" s="14" t="inlineStr">
        <is>
          <t>B 카를로스 사건집</t>
        </is>
      </c>
      <c r="E51" s="13" t="n">
        <v>1877</v>
      </c>
      <c r="F51" s="13" t="n">
        <v>31</v>
      </c>
      <c r="G51" s="15" t="inlineStr">
        <is>
          <t>정체가 발각된 알바로가 파비안과 대치하는 긴박한 순간입니다. 알바로는 몸에 지니고 있던 비 상 위치추적기를 몰래 작동시키며 시간을 벌려 하고, 그사이 마놀로까지 상황을 알게 되면서 사 무실 안의 긴장은 최고조에 달합니다.</t>
        </is>
      </c>
    </row>
    <row r="52" ht="28.35" customHeight="1" s="11">
      <c r="A52" s="13" t="n">
        <v>51</v>
      </c>
      <c r="B52" s="13" t="n">
        <v>4</v>
      </c>
      <c r="C52" s="14">
        <f>INDEX('부작 목록'!$C$2:$C$66,B52)</f>
        <v/>
      </c>
      <c r="D52" s="14" t="inlineStr">
        <is>
          <t>B 카를로스 사건집</t>
        </is>
      </c>
      <c r="E52" s="13" t="n">
        <v>1912</v>
      </c>
      <c r="F52" s="13" t="n">
        <v>37</v>
      </c>
      <c r="G52" s="15" t="inlineStr">
        <is>
          <t>작전이 성공적으로 마무리된 후, 알바로는 신문사로 돌아와 데스크(국장), 하비에르, 그리고 신문 사 법무 자문 마르타(Marta)와 함께 그동안의 잠입 취재 전모를 공유하고, 이를 어떻게 기사화 할지 논의합니다.</t>
        </is>
      </c>
    </row>
    <row r="53" ht="28.35" customHeight="1" s="11">
      <c r="A53" s="13" t="n">
        <v>52</v>
      </c>
      <c r="B53" s="13" t="n">
        <v>4</v>
      </c>
      <c r="C53" s="14">
        <f>INDEX('부작 목록'!$C$2:$C$66,B53)</f>
        <v/>
      </c>
      <c r="D53" s="14" t="inlineStr">
        <is>
          <t>B 카를로스 사건집</t>
        </is>
      </c>
      <c r="E53" s="13" t="n">
        <v>1954</v>
      </c>
      <c r="F53" s="13" t="n">
        <v>44</v>
      </c>
      <c r="G53" s="15" t="inlineStr">
        <is>
          <t>사건이 마무리되고 몇 주가 지난 주말, 알바로와 카를로스가 마드리드의 한 테라스 식당에서 만 나 점심을 먹으며 그동안의 사건이 최종적으로 어떻게 마무리됐는지 차분히 이야기를 나눕니다.</t>
        </is>
      </c>
    </row>
    <row r="54" ht="41.75" customHeight="1" s="11">
      <c r="A54" s="13" t="n">
        <v>53</v>
      </c>
      <c r="B54" s="13" t="n">
        <v>5</v>
      </c>
      <c r="C54" s="14">
        <f>INDEX('부작 목록'!$C$2:$C$66,B54)</f>
        <v/>
      </c>
      <c r="D54" s="14" t="inlineStr">
        <is>
          <t>B 카를로스 사건집</t>
        </is>
      </c>
      <c r="E54" s="13" t="n">
        <v>2003</v>
      </c>
      <c r="F54" s="13" t="n">
        <v>42</v>
      </c>
      <c r="G54" s="15" t="inlineStr">
        <is>
          <t>무기 밀매 사건 보도 이후 몇 달이 지난 어느 날, 카를로스가 알바로에게 새로운 임무를 제안합 니다. 이번엔 마드리드의 한 고급 경매장을 거점으로 페루산 콜럼버스 이전 시대 유물을 밀반출 ·세탁하는 조직에 위장 잠입하는 작전입니다.</t>
        </is>
      </c>
    </row>
    <row r="55" ht="28.35" customHeight="1" s="11">
      <c r="A55" s="13" t="n">
        <v>54</v>
      </c>
      <c r="B55" s="13" t="n">
        <v>5</v>
      </c>
      <c r="C55" s="14">
        <f>INDEX('부작 목록'!$C$2:$C$66,B55)</f>
        <v/>
      </c>
      <c r="D55" s="14" t="inlineStr">
        <is>
          <t>B 카를로스 사건집</t>
        </is>
      </c>
      <c r="E55" s="13" t="n">
        <v>2047</v>
      </c>
      <c r="F55" s="13" t="n">
        <v>41</v>
      </c>
      <c r="G55" s="15" t="inlineStr">
        <is>
          <t>알바로(이제부터 '다니엘')가 카를로스가 소개한 미술사 전문가 이그나시오(Ignacio)에게 2주간 속성 교육을 받는 장면입니다. 페루 콜럼버스 이전 문화, 진위 감정법, 경매 용어까지 위장 신분 에 필요한 지식을 압축적으로 학습합니다.</t>
        </is>
      </c>
    </row>
    <row r="56" ht="28.35" customHeight="1" s="11">
      <c r="A56" s="13" t="n">
        <v>55</v>
      </c>
      <c r="B56" s="13" t="n">
        <v>5</v>
      </c>
      <c r="C56" s="14">
        <f>INDEX('부작 목록'!$C$2:$C$66,B56)</f>
        <v/>
      </c>
      <c r="D56" s="14" t="inlineStr">
        <is>
          <t>B 카를로스 사건집</t>
        </is>
      </c>
      <c r="E56" s="13" t="n">
        <v>2090</v>
      </c>
      <c r="F56" s="13" t="n">
        <v>31</v>
      </c>
      <c r="G56" s="15" t="inlineStr">
        <is>
          <t>이그나시오와의 속성 교육을 마친 알바로(다니엘)가 마드리드 경매장을 찾아가 감정사 파블로와 첫 만남을 갖습니다. 배운 지식을 활용해 자연스럽게 신뢰를 쌓으려 합니다.</t>
        </is>
      </c>
    </row>
    <row r="57" ht="28.35" customHeight="1" s="11">
      <c r="A57" s="13" t="n">
        <v>56</v>
      </c>
      <c r="B57" s="13" t="n">
        <v>5</v>
      </c>
      <c r="C57" s="14">
        <f>INDEX('부작 목록'!$C$2:$C$66,B57)</f>
        <v/>
      </c>
      <c r="D57" s="14" t="inlineStr">
        <is>
          <t>B 카를로스 사건집</t>
        </is>
      </c>
      <c r="E57" s="13" t="n">
        <v>2123</v>
      </c>
      <c r="F57" s="13" t="n">
        <v>30</v>
      </c>
      <c r="G57" s="15" t="inlineStr">
        <is>
          <t>파블로의 소개로 다니엘(알바로)이 경매장 대표 세르히오 오르티스를 만납니다. 우아한 사무실 에서 이루어지는 이 만남에서, 세르히오는 예술계 특유의 세련된 화법으로 다니엘을 시험합니 다.</t>
        </is>
      </c>
    </row>
    <row r="58" ht="28.35" customHeight="1" s="11">
      <c r="A58" s="13" t="n">
        <v>57</v>
      </c>
      <c r="B58" s="13" t="n">
        <v>5</v>
      </c>
      <c r="C58" s="14">
        <f>INDEX('부작 목록'!$C$2:$C$66,B58)</f>
        <v/>
      </c>
      <c r="D58" s="14" t="inlineStr">
        <is>
          <t>B 카를로스 사건집</t>
        </is>
      </c>
      <c r="E58" s="13" t="n">
        <v>2155</v>
      </c>
      <c r="F58" s="13" t="n">
        <v>34</v>
      </c>
      <c r="G58" s="17" t="inlineStr">
        <is>
          <t>2주 후, 다니엘(알바로)이 경매장이 주최한 리셉션에 참석합니다. 우아한 칵테일 파티 분위기 속 에서 세르히오가 여러 수집가들을 소개하고, 특히 거액을 배팅하는 핵심 인물 돈 에두아르도와 처음으로 대면합니다.</t>
        </is>
      </c>
    </row>
    <row r="59" ht="41.75" customHeight="1" s="11">
      <c r="A59" s="13" t="n">
        <v>58</v>
      </c>
      <c r="B59" s="13" t="n">
        <v>5</v>
      </c>
      <c r="C59" s="14">
        <f>INDEX('부작 목록'!$C$2:$C$66,B59)</f>
        <v/>
      </c>
      <c r="D59" s="14" t="inlineStr">
        <is>
          <t>B 카를로스 사건집</t>
        </is>
      </c>
      <c r="E59" s="13" t="n">
        <v>2191</v>
      </c>
      <c r="F59" s="13" t="n">
        <v>36</v>
      </c>
      <c r="G59" s="15" t="inlineStr">
        <is>
          <t>리셉션 다음 날, 다니엘(알바로)이 카를로스를 만나 지금까지의 진행 상황을 보고합니다. 파블로, 세르히오, 돈 에두아르도에 대한 정보와 함께, 핵심 물증이 될 치무 황금 칼에 대한 단서를 공 유하고, 페루 현지 브로커 라파엘 몬토야의 존재도 처음 언급됩니다.</t>
        </is>
      </c>
    </row>
    <row r="60" ht="28.35" customHeight="1" s="11">
      <c r="A60" s="13" t="n">
        <v>59</v>
      </c>
      <c r="B60" s="13" t="n">
        <v>5</v>
      </c>
      <c r="C60" s="14">
        <f>INDEX('부작 목록'!$C$2:$C$66,B60)</f>
        <v/>
      </c>
      <c r="D60" s="14" t="inlineStr">
        <is>
          <t>B 카를로스 사건집</t>
        </is>
      </c>
      <c r="E60" s="13" t="n">
        <v>2229</v>
      </c>
      <c r="F60" s="13" t="n">
        <v>29</v>
      </c>
      <c r="G60" s="15" t="inlineStr">
        <is>
          <t>리셉션 이후 몇 주가 지나, 세르히오가 다니엘을 다시 초대해 좀 더 깊은 대화를 나눕니다. 신 뢰가 쌓이면서 세르히오가 치무 칼의 실물을 처음으로 보여주고, 조직의 운영 방식에 대해 조금 씩 더 털어놓습니다.</t>
        </is>
      </c>
    </row>
    <row r="61" ht="28.35" customHeight="1" s="11">
      <c r="A61" s="13" t="n">
        <v>60</v>
      </c>
      <c r="B61" s="13" t="n">
        <v>5</v>
      </c>
      <c r="C61" s="14">
        <f>INDEX('부작 목록'!$C$2:$C$66,B61)</f>
        <v/>
      </c>
      <c r="D61" s="14" t="inlineStr">
        <is>
          <t>B 카를로스 사건집</t>
        </is>
      </c>
      <c r="E61" s="13" t="n">
        <v>2260</v>
      </c>
      <c r="F61" s="13" t="n">
        <v>32</v>
      </c>
      <c r="G61" s="15" t="inlineStr">
        <is>
          <t>경매 당일. 알바로가 카를로스에게 넘긴 정보를 바탕으로 경찰이 은밀히 대기하는 가운데, 치무 황금 칼 경매가 시작됩니다. 낙찰이 임박한 순간, 급습이 개시되고 작전의 전모가 모두 드러나지만 알바로는 끝까지 본명을 숨깁니다.</t>
        </is>
      </c>
    </row>
    <row r="62" ht="28.35" customHeight="1" s="11">
      <c r="A62" s="13" t="n">
        <v>61</v>
      </c>
      <c r="B62" s="13" t="n">
        <v>5</v>
      </c>
      <c r="C62" s="14">
        <f>INDEX('부작 목록'!$C$2:$C$66,B62)</f>
        <v/>
      </c>
      <c r="D62" s="14" t="inlineStr">
        <is>
          <t>B 카를로스 사건집</t>
        </is>
      </c>
      <c r="E62" s="13" t="n">
        <v>2294</v>
      </c>
      <c r="F62" s="13" t="n">
        <v>15</v>
      </c>
      <c r="G62" s="15" t="inlineStr">
        <is>
          <t>경매장 사건이 마무리된 며칠 후, 알바로와 카를로스가 마드리드의 한 식당에서 뒤풀이 식사를 하며 이번 작전을 마무리 짓습니다.</t>
        </is>
      </c>
    </row>
    <row r="63" ht="41.75" customHeight="1" s="11">
      <c r="A63" s="13" t="n">
        <v>62</v>
      </c>
      <c r="B63" s="13" t="n">
        <v>6</v>
      </c>
      <c r="C63" s="14">
        <f>INDEX('부작 목록'!$C$2:$C$66,B63)</f>
        <v/>
      </c>
      <c r="D63" s="14" t="inlineStr">
        <is>
          <t>B 카를로스 사건집</t>
        </is>
      </c>
      <c r="E63" s="13" t="n">
        <v>2311</v>
      </c>
      <c r="F63" s="13" t="n">
        <v>29</v>
      </c>
      <c r="G63" s="15" t="inlineStr">
        <is>
          <t>치무 황금 칼 반환이 성공적으로 마무리된 것을 계기로, 스페인과 페루 양국이 도굴·불법 반출 유물 전반에 대한 포괄적 반환 협상 첫 회의를 마드리드에서 엽니다. 알바로는 '오스카 레스카 노'라는 가명으로 스페인 측 자문 자격으로 참석합니다.</t>
        </is>
      </c>
    </row>
    <row r="64" ht="28.35" customHeight="1" s="11">
      <c r="A64" s="13" t="n">
        <v>63</v>
      </c>
      <c r="B64" s="13" t="n">
        <v>6</v>
      </c>
      <c r="C64" s="14">
        <f>INDEX('부작 목록'!$C$2:$C$66,B64)</f>
        <v/>
      </c>
      <c r="D64" s="14" t="inlineStr">
        <is>
          <t>B 카를로스 사건집</t>
        </is>
      </c>
      <c r="E64" s="13" t="n">
        <v>2342</v>
      </c>
      <c r="F64" s="13" t="n">
        <v>30</v>
      </c>
      <c r="G64" s="15" t="inlineStr">
        <is>
          <t>한 달 후, 스페인-페루 합동 실무위원회 회의가 열립니다. 명단에 오른 구체적 유물 사례들을 하나씩 검토하며, 이번엔 훨씬 날카로운 반박과 재반박이 오갑니다.</t>
        </is>
      </c>
    </row>
    <row r="65" ht="28.35" customHeight="1" s="11">
      <c r="A65" s="13" t="n">
        <v>64</v>
      </c>
      <c r="B65" s="13" t="n">
        <v>6</v>
      </c>
      <c r="C65" s="14">
        <f>INDEX('부작 목록'!$C$2:$C$66,B65)</f>
        <v/>
      </c>
      <c r="D65" s="14" t="inlineStr">
        <is>
          <t>B 카를로스 사건집</t>
        </is>
      </c>
      <c r="E65" s="13" t="n">
        <v>2374</v>
      </c>
      <c r="F65" s="13" t="n">
        <v>25</v>
      </c>
      <c r="G65" s="15" t="inlineStr">
        <is>
          <t>키푸(매듭문자) 건을 다루기 위해 지역 박물관장 호아킨(Joaquín)이 새로 참석하면서, 협상은 예 상치 못한 강경 반발에 부딪힙니다. 대화는 점점 날카로워지고, 결국 명백한 교착 상태에 이릅 니다.</t>
        </is>
      </c>
    </row>
    <row r="66" ht="28.35" customHeight="1" s="11">
      <c r="A66" s="13" t="n">
        <v>65</v>
      </c>
      <c r="B66" s="13" t="n">
        <v>6</v>
      </c>
      <c r="C66" s="14">
        <f>INDEX('부작 목록'!$C$2:$C$66,B66)</f>
        <v/>
      </c>
      <c r="D66" s="14" t="inlineStr">
        <is>
          <t>B 카를로스 사건집</t>
        </is>
      </c>
      <c r="E66" s="13" t="n">
        <v>2401</v>
      </c>
      <c r="F66" s="13" t="n">
        <v>27</v>
      </c>
      <c r="G66" s="15" t="inlineStr">
        <is>
          <t>일주일 후, 스페인 문화부 장관이 잠시 참석해 협상에 대한 정부의 강력한 지지 의사를 표명합 니다. 이후 오스카가 '소유권'과 '물리적 보관 장소'를 분리하는 창의적인 절충안을 제시하면서 교착 상태가 풀리기 시작합니다.</t>
        </is>
      </c>
    </row>
    <row r="67" ht="28.35" customHeight="1" s="11">
      <c r="A67" s="13" t="n">
        <v>66</v>
      </c>
      <c r="B67" s="13" t="n">
        <v>6</v>
      </c>
      <c r="C67" s="14">
        <f>INDEX('부작 목록'!$C$2:$C$66,B67)</f>
        <v/>
      </c>
      <c r="D67" s="14" t="inlineStr">
        <is>
          <t>B 카를로스 사건집</t>
        </is>
      </c>
      <c r="E67" s="13" t="n">
        <v>2430</v>
      </c>
      <c r="F67" s="13" t="n">
        <v>26</v>
      </c>
      <c r="G67" s="15" t="inlineStr">
        <is>
          <t>몇 주간의 세부 조율을 거쳐, 마드리드에서 최종 합의 서명식이 열립니다. 스페인과 페루 양국 대표가 공식 협정에 서명하며 협상이 마무리됩니다.</t>
        </is>
      </c>
    </row>
    <row r="68" ht="55.2" customHeight="1" s="11">
      <c r="A68" s="13" t="n">
        <v>67</v>
      </c>
      <c r="B68" s="13" t="n">
        <v>7</v>
      </c>
      <c r="C68" s="14">
        <f>INDEX('부작 목록'!$C$2:$C$66,B68)</f>
        <v/>
      </c>
      <c r="D68" s="14" t="inlineStr">
        <is>
          <t>B 카를로스 사건집</t>
        </is>
      </c>
      <c r="E68" s="13" t="n">
        <v>2458</v>
      </c>
      <c r="F68" s="13" t="n">
        <v>28</v>
      </c>
      <c r="G68" s="15" t="inlineStr">
        <is>
          <t>알바로와 하비에르가 대마초 합법화 법안을 강하게 추진하는 국회의원 에르네스토 발보아(가상 인물)와, 그 뒤에 있는 대마 관련 투자펀드 '베르데갈 캐피털(가상 단체)' 사이의 미공개 금전적 연결고리를 취재합니다. 실존 정당·정치인은 등장하지 않으며, 대마초 합법화 정책 자체의 옳고 그름이 아니라 로비 자금의 투명성 문제를 다루는 저널리즘 소재입니다.</t>
        </is>
      </c>
    </row>
    <row r="69" ht="41.75" customHeight="1" s="11">
      <c r="A69" s="13" t="n">
        <v>68</v>
      </c>
      <c r="B69" s="13" t="n">
        <v>7</v>
      </c>
      <c r="C69" s="14">
        <f>INDEX('부작 목록'!$C$2:$C$66,B69)</f>
        <v/>
      </c>
      <c r="D69" s="14" t="inlineStr">
        <is>
          <t>B 카를로스 사건집</t>
        </is>
      </c>
      <c r="E69" s="13" t="n">
        <v>2490</v>
      </c>
      <c r="F69" s="13" t="n">
        <v>30</v>
      </c>
      <c r="G69" s="15" t="inlineStr">
        <is>
          <t>며칠 후, 하비에르가 베르데갈 캐피털의 자금 출처를 더 깊이 파고들다가 충격적인 사실을 발견 합니다. 이 펀드가 사실 예전 무기밀매 조직의 잔존 자금을 세탁하는 위장 기구였다는 것입니 다. 카를로스가 개입하면서, 알바로가 다시 위장 잠입에 나서야 하는 상황이 됩니다.</t>
        </is>
      </c>
    </row>
    <row r="70" ht="28.35" customHeight="1" s="11">
      <c r="A70" s="13" t="n">
        <v>69</v>
      </c>
      <c r="B70" s="13" t="n">
        <v>7</v>
      </c>
      <c r="C70" s="14">
        <f>INDEX('부작 목록'!$C$2:$C$66,B70)</f>
        <v/>
      </c>
      <c r="D70" s="14" t="inlineStr">
        <is>
          <t>B 카를로스 사건집</t>
        </is>
      </c>
      <c r="E70" s="13" t="n">
        <v>2524</v>
      </c>
      <c r="F70" s="13" t="n">
        <v>23</v>
      </c>
      <c r="G70" s="15" t="inlineStr">
        <is>
          <t>시간이 촉박한 만큼, 카를로스가 알바로에게 신속하게 새 위장 신분을 준비시킵니다. 이번엔 대 마초 산업에 관심 있는 개인 투자자 '마르코 아길라르' 신분으로, 베르데갈 캐피털이 주최하는 투자 설명회에 잠입할 계획입니다.</t>
        </is>
      </c>
    </row>
    <row r="71" ht="28.35" customHeight="1" s="11">
      <c r="A71" s="13" t="n">
        <v>70</v>
      </c>
      <c r="B71" s="13" t="n">
        <v>7</v>
      </c>
      <c r="C71" s="14">
        <f>INDEX('부작 목록'!$C$2:$C$66,B71)</f>
        <v/>
      </c>
      <c r="D71" s="14" t="inlineStr">
        <is>
          <t>B 카를로스 사건집</t>
        </is>
      </c>
      <c r="E71" s="13" t="n">
        <v>2550</v>
      </c>
      <c r="F71" s="13" t="n">
        <v>27</v>
      </c>
      <c r="G71" s="15" t="inlineStr">
        <is>
          <t>목요일, 마드리드의 한 호텔에서 열린 베르데갈 캐피털 투자 설명회. 마르코(알바로)가 참석해 루벤 카스타뇨와 처음 대면합니다. 행사가 끝날 무렵, 뜻밖의 인물이 그에게 접근하며 새로운 위험 요소가 드러납니다.</t>
        </is>
      </c>
    </row>
    <row r="72" ht="28.35" customHeight="1" s="11">
      <c r="A72" s="13" t="n">
        <v>71</v>
      </c>
      <c r="B72" s="13" t="n">
        <v>7</v>
      </c>
      <c r="C72" s="14">
        <f>INDEX('부작 목록'!$C$2:$C$66,B72)</f>
        <v/>
      </c>
      <c r="D72" s="14" t="inlineStr">
        <is>
          <t>B 카를로스 사건집</t>
        </is>
      </c>
      <c r="E72" s="13" t="n">
        <v>2580</v>
      </c>
      <c r="F72" s="13" t="n">
        <v>25</v>
      </c>
      <c r="G72" s="15" t="inlineStr">
        <is>
          <t>그날 밤, 알바로가 카를로스에게 마테오 엘리살데라는 인물에 대해 보고합니다. 두 사람은 그가 진짜 기자인지, 혹은 카스타뇨 측이 심어놓은 미끼인지 확인하기 위해 신원을 조사합니다.</t>
        </is>
      </c>
    </row>
    <row r="73" ht="28.35" customHeight="1" s="11">
      <c r="A73" s="13" t="n">
        <v>72</v>
      </c>
      <c r="B73" s="13" t="n">
        <v>7</v>
      </c>
      <c r="C73" s="14">
        <f>INDEX('부작 목록'!$C$2:$C$66,B73)</f>
        <v/>
      </c>
      <c r="D73" s="14" t="inlineStr">
        <is>
          <t>B 카를로스 사건집</t>
        </is>
      </c>
      <c r="E73" s="13" t="n">
        <v>2609</v>
      </c>
      <c r="F73" s="13" t="n">
        <v>30</v>
      </c>
      <c r="G73" s="15" t="inlineStr">
        <is>
          <t>다음 날, 마르코(알바로)가 마테오 엘리살데를 조용한 카페에서 만납니다. 서로 조심스럽게 상대 를 떠보는 대화 끝에, 마테오가 진짜 아군이라는 것이 확인됩니다.</t>
        </is>
      </c>
    </row>
    <row r="74" ht="28.35" customHeight="1" s="11">
      <c r="A74" s="13" t="n">
        <v>73</v>
      </c>
      <c r="B74" s="13" t="n">
        <v>7</v>
      </c>
      <c r="C74" s="14">
        <f>INDEX('부작 목록'!$C$2:$C$66,B74)</f>
        <v/>
      </c>
      <c r="D74" s="14" t="inlineStr">
        <is>
          <t>B 카를로스 사건집</t>
        </is>
      </c>
      <c r="E74" s="13" t="n">
        <v>2642</v>
      </c>
      <c r="F74" s="13" t="n">
        <v>26</v>
      </c>
      <c r="G74" s="15" t="inlineStr">
        <is>
          <t>며칠 후, 알바로가 카를로스에게 마테오를 소개합니다. 세 사람이 안전 가옥에서 만나 앞으로의 협력 방향을 정하고, 팀을 이룹니다.</t>
        </is>
      </c>
    </row>
    <row r="75" ht="28.35" customHeight="1" s="11">
      <c r="A75" s="13" t="n">
        <v>74</v>
      </c>
      <c r="B75" s="13" t="n">
        <v>7</v>
      </c>
      <c r="C75" s="14">
        <f>INDEX('부작 목록'!$C$2:$C$66,B75)</f>
        <v/>
      </c>
      <c r="D75" s="14" t="inlineStr">
        <is>
          <t>B 카를로스 사건집</t>
        </is>
      </c>
      <c r="E75" s="13" t="n">
        <v>2672</v>
      </c>
      <c r="F75" s="13" t="n">
        <v>23</v>
      </c>
      <c r="G75" s="15" t="inlineStr">
        <is>
          <t>카를로스, 알바로, 마테오 세 사람이 마테오가 확보한 자료를 함께 분석하며, 다음 주 카스타뇨 와의 개인 면담에서 어떤 정보를 캐낼지 전략을 세웁니다.</t>
        </is>
      </c>
    </row>
    <row r="76" ht="28.35" customHeight="1" s="11">
      <c r="A76" s="13" t="n">
        <v>75</v>
      </c>
      <c r="B76" s="13" t="n">
        <v>7</v>
      </c>
      <c r="C76" s="14">
        <f>INDEX('부작 목록'!$C$2:$C$66,B76)</f>
        <v/>
      </c>
      <c r="D76" s="14" t="inlineStr">
        <is>
          <t>B 카를로스 사건집</t>
        </is>
      </c>
      <c r="E76" s="13" t="n">
        <v>2698</v>
      </c>
      <c r="F76" s="13" t="n">
        <v>26</v>
      </c>
      <c r="G76" s="15" t="inlineStr">
        <is>
          <t>다음 주, 알바로(마르코)가 루벤 카스타뇨의 개인 사무실을 방문합니다. 미리 세운 전략에 따라 조심스럽게 정보를 캐냅니다.</t>
        </is>
      </c>
    </row>
    <row r="77" ht="15" customHeight="1" s="11">
      <c r="A77" s="13" t="n">
        <v>76</v>
      </c>
      <c r="B77" s="13" t="n">
        <v>7</v>
      </c>
      <c r="C77" s="14">
        <f>INDEX('부작 목록'!$C$2:$C$66,B77)</f>
        <v/>
      </c>
      <c r="D77" s="14" t="inlineStr">
        <is>
          <t>B 카를로스 사건집</t>
        </is>
      </c>
      <c r="E77" s="13" t="n">
        <v>2728</v>
      </c>
      <c r="F77" s="13" t="n">
        <v>22</v>
      </c>
      <c r="G77" s="15" t="inlineStr">
        <is>
          <t>면담을 마친 알바로가 카를로스, 마테오와 다시 만나 녹음 내용을 분석하고 다음 단계를 논의합 니다.</t>
        </is>
      </c>
    </row>
    <row r="78" ht="28.35" customHeight="1" s="11">
      <c r="A78" s="13" t="n">
        <v>77</v>
      </c>
      <c r="B78" s="13" t="n">
        <v>7</v>
      </c>
      <c r="C78" s="14">
        <f>INDEX('부작 목록'!$C$2:$C$66,B78)</f>
        <v/>
      </c>
      <c r="D78" s="14" t="inlineStr">
        <is>
          <t>B 카를로스 사건집</t>
        </is>
      </c>
      <c r="E78" s="13" t="n">
        <v>2753</v>
      </c>
      <c r="F78" s="13" t="n">
        <v>22</v>
      </c>
      <c r="G78" s="15" t="inlineStr">
        <is>
          <t>며칠 후, 알바로가 카스타뇨의 사무실에 다시 방문해 투자 서류에 서명합니다. 대화 도중 카스 타뇨가 무심코 이름 하나를 흘리고, 이후 홀로 남은 알바로는 하비에르에게 전화를 걸어 이 모 든 상황이 주는 심리적 무게를 털어놓습니다.</t>
        </is>
      </c>
    </row>
    <row r="79" ht="15" customHeight="1" s="11">
      <c r="A79" s="13" t="n">
        <v>78</v>
      </c>
      <c r="B79" s="13" t="n">
        <v>7</v>
      </c>
      <c r="C79" s="14">
        <f>INDEX('부작 목록'!$C$2:$C$66,B79)</f>
        <v/>
      </c>
      <c r="D79" s="14" t="inlineStr">
        <is>
          <t>B 카를로스 사건집</t>
        </is>
      </c>
      <c r="E79" s="13" t="n">
        <v>2778</v>
      </c>
      <c r="F79" s="13" t="n">
        <v>21</v>
      </c>
      <c r="G79" s="15" t="inlineStr">
        <is>
          <t>다음 날, 카를로스와 마테오가 '아리사'라는 이름을 추적한 결과를 알바로에게 전합니다.</t>
        </is>
      </c>
    </row>
    <row r="80" ht="28.35" customHeight="1" s="11">
      <c r="A80" s="13" t="n">
        <v>79</v>
      </c>
      <c r="B80" s="13" t="n">
        <v>7</v>
      </c>
      <c r="C80" s="14">
        <f>INDEX('부작 목록'!$C$2:$C$66,B80)</f>
        <v/>
      </c>
      <c r="D80" s="14" t="inlineStr">
        <is>
          <t>B 카를로스 사건집</t>
        </is>
      </c>
      <c r="E80" s="13" t="n">
        <v>2803</v>
      </c>
      <c r="F80" s="13" t="n">
        <v>25</v>
      </c>
      <c r="G80" s="15" t="inlineStr">
        <is>
          <t>며칠 후, 마테오가 제네바 쪽 접촉을 시도하다가 누군가 자신을 미행하고 있다는 것을 눈치챕니 다. 알바로와 카를로스에게 다급히 연락합니다.</t>
        </is>
      </c>
    </row>
    <row r="81" ht="28.35" customHeight="1" s="11">
      <c r="A81" s="13" t="n">
        <v>80</v>
      </c>
      <c r="B81" s="13" t="n">
        <v>7</v>
      </c>
      <c r="C81" s="14">
        <f>INDEX('부작 목록'!$C$2:$C$66,B81)</f>
        <v/>
      </c>
      <c r="D81" s="14" t="inlineStr">
        <is>
          <t>B 카를로스 사건집</t>
        </is>
      </c>
      <c r="E81" s="13" t="n">
        <v>2832</v>
      </c>
      <c r="F81" s="13" t="n">
        <v>25</v>
      </c>
      <c r="G81" s="15" t="inlineStr">
        <is>
          <t>마테오 사건 이후 며칠 뒤, 카스타뇨가 알바로에게 전화해 뜻밖의 제안을 합니다 — 다음 주 열 리는 비공개 모임에 초대하겠다는 것으로, 어쩌면 조직의 실제 배후를 만날 기회가 될 수도 있 습니다.</t>
        </is>
      </c>
    </row>
    <row r="82" ht="28.35" customHeight="1" s="11">
      <c r="A82" s="13" t="n">
        <v>81</v>
      </c>
      <c r="B82" s="13" t="n">
        <v>7</v>
      </c>
      <c r="C82" s="14">
        <f>INDEX('부작 목록'!$C$2:$C$66,B82)</f>
        <v/>
      </c>
      <c r="D82" s="14" t="inlineStr">
        <is>
          <t>B 카를로스 사건집</t>
        </is>
      </c>
      <c r="E82" s="13" t="n">
        <v>2860</v>
      </c>
      <c r="F82" s="13" t="n">
        <v>32</v>
      </c>
      <c r="G82" s="15" t="inlineStr">
        <is>
          <t>약속된 날, 알바로가 비공개 모임 장소에 도착합니다. 마침내 곤살로 아리사와 대면하게 되는데, 예상보다 훨씬 날카롭고 위협적인 인물임이 드러납니다.</t>
        </is>
      </c>
    </row>
    <row r="83" ht="28.35" customHeight="1" s="11">
      <c r="A83" s="13" t="n">
        <v>82</v>
      </c>
      <c r="B83" s="13" t="n">
        <v>7</v>
      </c>
      <c r="C83" s="14">
        <f>INDEX('부작 목록'!$C$2:$C$66,B83)</f>
        <v/>
      </c>
      <c r="D83" s="14" t="inlineStr">
        <is>
          <t>B 카를로스 사건집</t>
        </is>
      </c>
      <c r="E83" s="13" t="n">
        <v>2896</v>
      </c>
      <c r="F83" s="13" t="n">
        <v>34</v>
      </c>
      <c r="G83" s="15" t="inlineStr">
        <is>
          <t>며칠 후, 아리사가 알바로를 개인적으로 저녁 식사에 초대합니다. 겉으로는 친목 자리처럼 보이 지만, 실제로는 훨씬 정교하고 집요한 심문이 이어집니다.</t>
        </is>
      </c>
    </row>
    <row r="84" ht="28.35" customHeight="1" s="11">
      <c r="A84" s="13" t="n">
        <v>83</v>
      </c>
      <c r="B84" s="13" t="n">
        <v>7</v>
      </c>
      <c r="C84" s="14">
        <f>INDEX('부작 목록'!$C$2:$C$66,B84)</f>
        <v/>
      </c>
      <c r="D84" s="14" t="inlineStr">
        <is>
          <t>B 카를로스 사건집</t>
        </is>
      </c>
      <c r="E84" s="13" t="n">
        <v>2934</v>
      </c>
      <c r="F84" s="13" t="n">
        <v>26</v>
      </c>
      <c r="G84" s="15" t="inlineStr">
        <is>
          <t>심문 같던 분위기가 잠시 누그러지고, 아리사와 알바로가 메뉴와 좋아하는 음식, 각자의 고향 음식 얘기를 나누며 한층 편안한 대화로 이어갑니다.</t>
        </is>
      </c>
    </row>
    <row r="85" ht="28.35" customHeight="1" s="11">
      <c r="A85" s="13" t="n">
        <v>84</v>
      </c>
      <c r="B85" s="13" t="n">
        <v>7</v>
      </c>
      <c r="C85" s="14">
        <f>INDEX('부작 목록'!$C$2:$C$66,B85)</f>
        <v/>
      </c>
      <c r="D85" s="14" t="inlineStr">
        <is>
          <t>B 카를로스 사건집</t>
        </is>
      </c>
      <c r="E85" s="13" t="n">
        <v>2963</v>
      </c>
      <c r="F85" s="13" t="n">
        <v>23</v>
      </c>
      <c r="G85" s="15" t="inlineStr">
        <is>
          <t>화기애애하던 분위기도 잠시, 아리사가 다시 날카로운 질문들로 알바로를 몰아붙입니다. 이번엔 재정 지식과 논리적 일관성을 집중적으로 시험합니다.</t>
        </is>
      </c>
    </row>
    <row r="86" ht="28.35" customHeight="1" s="11">
      <c r="A86" s="13" t="n">
        <v>85</v>
      </c>
      <c r="B86" s="13" t="n">
        <v>7</v>
      </c>
      <c r="C86" s="14">
        <f>INDEX('부작 목록'!$C$2:$C$66,B86)</f>
        <v/>
      </c>
      <c r="D86" s="14" t="inlineStr">
        <is>
          <t>B 카를로스 사건집</t>
        </is>
      </c>
      <c r="E86" s="13" t="n">
        <v>2989</v>
      </c>
      <c r="F86" s="13" t="n">
        <v>28</v>
      </c>
      <c r="G86" s="15" t="inlineStr">
        <is>
          <t>약속된 날, 알바로가 아리사와 함께 실제 자금 이체가 이뤄지는 현장(대마초 재배·물류 시설)을 방문합니다. 자연스러운 대화 중에, 합법화 로비의 진짜 목적이 드러납니다.</t>
        </is>
      </c>
    </row>
    <row r="87" ht="28.35" customHeight="1" s="11">
      <c r="A87" s="13" t="n">
        <v>86</v>
      </c>
      <c r="B87" s="13" t="n">
        <v>7</v>
      </c>
      <c r="C87" s="14">
        <f>INDEX('부작 목록'!$C$2:$C$66,B87)</f>
        <v/>
      </c>
      <c r="D87" s="14" t="inlineStr">
        <is>
          <t>B 카를로스 사건집</t>
        </is>
      </c>
      <c r="E87" s="13" t="n">
        <v>3021</v>
      </c>
      <c r="F87" s="13" t="n">
        <v>28</v>
      </c>
      <c r="G87" s="15" t="inlineStr">
        <is>
          <t>아리사가 뜻밖의 요청을 합니다 — 마르코(알바로)의 자택을 방문하고 싶다는 것입니다. 카를로 스와 다급히 위장 거처를 준비한 뒤, 아리사의 방문을 맞이합니다.</t>
        </is>
      </c>
    </row>
    <row r="88" ht="28.35" customHeight="1" s="11">
      <c r="A88" s="13" t="n">
        <v>87</v>
      </c>
      <c r="B88" s="13" t="n">
        <v>7</v>
      </c>
      <c r="C88" s="14">
        <f>INDEX('부작 목록'!$C$2:$C$66,B88)</f>
        <v/>
      </c>
      <c r="D88" s="14" t="inlineStr">
        <is>
          <t>B 카를로스 사건집</t>
        </is>
      </c>
      <c r="E88" s="13" t="n">
        <v>3052</v>
      </c>
      <c r="F88" s="13" t="n">
        <v>22</v>
      </c>
      <c r="G88" s="15" t="inlineStr">
        <is>
          <t>그날 밤, 하비에르가 알바로에게 연락합니다. 데스크가 발보아 의원 관련 기사를 곧 발행하고 싶어 한다는 소식으로, 수사와 보도 사이에 새로운 긴장이 생깁니다.</t>
        </is>
      </c>
    </row>
    <row r="89" ht="28.35" customHeight="1" s="11">
      <c r="A89" s="13" t="n">
        <v>88</v>
      </c>
      <c r="B89" s="13" t="n">
        <v>7</v>
      </c>
      <c r="C89" s="14">
        <f>INDEX('부작 목록'!$C$2:$C$66,B89)</f>
        <v/>
      </c>
      <c r="D89" s="14" t="inlineStr">
        <is>
          <t>B 카를로스 사건집</t>
        </is>
      </c>
      <c r="E89" s="13" t="n">
        <v>3077</v>
      </c>
      <c r="F89" s="13" t="n">
        <v>23</v>
      </c>
      <c r="G89" s="15" t="inlineStr">
        <is>
          <t>카를로스와 상의 끝에, 알바로는 시간을 벌기 위해 조직 내부에 의심의 씨앗을 심기로 합니다. 카스타뇨와 아리사 사이의 신뢰를 흔드는 전략을 조심스럽게 실행에 옮깁니다.</t>
        </is>
      </c>
    </row>
    <row r="90" ht="41.75" customHeight="1" s="11">
      <c r="A90" s="13" t="n">
        <v>89</v>
      </c>
      <c r="B90" s="13" t="n">
        <v>7</v>
      </c>
      <c r="C90" s="14">
        <f>INDEX('부작 목록'!$C$2:$C$66,B90)</f>
        <v/>
      </c>
      <c r="D90" s="14" t="inlineStr">
        <is>
          <t>B 카를로스 사건집</t>
        </is>
      </c>
      <c r="E90" s="13" t="n">
        <v>3103</v>
      </c>
      <c r="F90" s="13" t="n">
        <v>29</v>
      </c>
      <c r="G90" s="15" t="inlineStr">
        <is>
          <t>시간이 촉박해진 알바로가 조직 내부에 균열을 만들기 위해 은밀히 움직입니다. 카스타뇨에게는 아리사가 지나치게 자신을 못 미더워한다는 인상을 심고, 아리사에게는 카스타뇨의 부주의함을 넌지시 알려, 두 사람 사이에 의심의 씨앗을 뿌립니다.</t>
        </is>
      </c>
    </row>
    <row r="91" ht="28.35" customHeight="1" s="11">
      <c r="A91" s="13" t="n">
        <v>90</v>
      </c>
      <c r="B91" s="13" t="n">
        <v>7</v>
      </c>
      <c r="C91" s="14">
        <f>INDEX('부작 목록'!$C$2:$C$66,B91)</f>
        <v/>
      </c>
      <c r="D91" s="14" t="inlineStr">
        <is>
          <t>B 카를로스 사건집</t>
        </is>
      </c>
      <c r="E91" s="13" t="n">
        <v>3136</v>
      </c>
      <c r="F91" s="13" t="n">
        <v>23</v>
      </c>
      <c r="G91" s="15" t="inlineStr">
        <is>
          <t>며칠 후, 알바로가 심어놓은 의심의 씨앗이 효과를 발휘하기 시작합니다. 카스타뇨와 아리사 사 이에 알바로가 지켜보는 앞에서 긴장된 언쟁이 벌어지고, 그 과정에서 예상치 못한 정보가 흘러 나옵니다.</t>
        </is>
      </c>
    </row>
    <row r="92" ht="28.35" customHeight="1" s="11">
      <c r="A92" s="13" t="n">
        <v>91</v>
      </c>
      <c r="B92" s="13" t="n">
        <v>7</v>
      </c>
      <c r="C92" s="14">
        <f>INDEX('부작 목록'!$C$2:$C$66,B92)</f>
        <v/>
      </c>
      <c r="D92" s="14" t="inlineStr">
        <is>
          <t>B 카를로스 사건집</t>
        </is>
      </c>
      <c r="E92" s="13" t="n">
        <v>3162</v>
      </c>
      <c r="F92" s="13" t="n">
        <v>25</v>
      </c>
      <c r="G92" s="15" t="inlineStr">
        <is>
          <t>권한이 축소된 카스타뇨가 초조해하며 알바로에게 따로 연락합니다. 아리사에 대한 불만을 토로 하는 과정에서, 뜻밖에도 결정적인 정보를 흘립니다.</t>
        </is>
      </c>
    </row>
    <row r="93" ht="28.35" customHeight="1" s="11">
      <c r="A93" s="13" t="n">
        <v>92</v>
      </c>
      <c r="B93" s="13" t="n">
        <v>7</v>
      </c>
      <c r="C93" s="14">
        <f>INDEX('부작 목록'!$C$2:$C$66,B93)</f>
        <v/>
      </c>
      <c r="D93" s="14" t="inlineStr">
        <is>
          <t>B 카를로스 사건집</t>
        </is>
      </c>
      <c r="E93" s="13" t="n">
        <v>3190</v>
      </c>
      <c r="F93" s="13" t="n">
        <v>19</v>
      </c>
      <c r="G93" s="15" t="inlineStr">
        <is>
          <t>다음 날, 카를로스가 데이터베이스 대조 결과를 가지고 알바로에게 연락합니다. 'V.R.'이라는 이 니셜이 뜻밖의 인물과 일치하며, 두 개의 사건이 하나로 연결됩니다.</t>
        </is>
      </c>
    </row>
    <row r="94" ht="15" customHeight="1" s="11">
      <c r="A94" s="13" t="n">
        <v>93</v>
      </c>
      <c r="B94" s="13" t="n">
        <v>7</v>
      </c>
      <c r="C94" s="14">
        <f>INDEX('부작 목록'!$C$2:$C$66,B94)</f>
        <v/>
      </c>
      <c r="D94" s="14" t="inlineStr">
        <is>
          <t>B 카를로스 사건집</t>
        </is>
      </c>
      <c r="E94" s="13" t="n">
        <v>3212</v>
      </c>
      <c r="F94" s="13" t="n">
        <v>20</v>
      </c>
      <c r="G94" s="15" t="inlineStr">
        <is>
          <t>예정된 대규모 송금일. 알바로가 현장에 참관하며 결정적 증거를 확보하려 합니다.</t>
        </is>
      </c>
    </row>
    <row r="95" ht="15" customHeight="1" s="11">
      <c r="A95" s="13" t="n">
        <v>94</v>
      </c>
      <c r="B95" s="13" t="n">
        <v>7</v>
      </c>
      <c r="C95" s="14">
        <f>INDEX('부작 목록'!$C$2:$C$66,B95)</f>
        <v/>
      </c>
      <c r="D95" s="14" t="inlineStr">
        <is>
          <t>B 카를로스 사건집</t>
        </is>
      </c>
      <c r="E95" s="13" t="n">
        <v>3235</v>
      </c>
      <c r="F95" s="13" t="n">
        <v>18</v>
      </c>
      <c r="G95" s="15" t="inlineStr">
        <is>
          <t>카를로스가 확보된 증거를 바탕으로 대대적인 작전을 개시합니다. 송금이 완료되는 순간, 경찰 이 개입합니다.</t>
        </is>
      </c>
    </row>
    <row r="96" ht="28.35" customHeight="1" s="11">
      <c r="A96" s="13" t="n">
        <v>95</v>
      </c>
      <c r="B96" s="13" t="n">
        <v>7</v>
      </c>
      <c r="C96" s="14">
        <f>INDEX('부작 목록'!$C$2:$C$66,B96)</f>
        <v/>
      </c>
      <c r="D96" s="14" t="inlineStr">
        <is>
          <t>B 카를로스 사건집</t>
        </is>
      </c>
      <c r="E96" s="13" t="n">
        <v>3257</v>
      </c>
      <c r="F96" s="13" t="n">
        <v>28</v>
      </c>
      <c r="G96" s="15" t="inlineStr">
        <is>
          <t>사건이 마무리되고 며칠 후, 알바로·카를로스·하비에르·마테오 네 사람이 함께 저녁을 먹으며 그 동안의 결과를 정리합니다.</t>
        </is>
      </c>
    </row>
    <row r="97" ht="28.35" customHeight="1" s="11">
      <c r="A97" s="13" t="n">
        <v>96</v>
      </c>
      <c r="B97" s="13" t="n">
        <v>8</v>
      </c>
      <c r="C97" s="14">
        <f>INDEX('부작 목록'!$C$2:$C$66,B97)</f>
        <v/>
      </c>
      <c r="D97" s="14" t="inlineStr">
        <is>
          <t>B 카를로스 사건집</t>
        </is>
      </c>
      <c r="E97" s="13" t="n">
        <v>3288</v>
      </c>
      <c r="F97" s="13" t="n">
        <v>19</v>
      </c>
      <c r="G97" s="15" t="inlineStr">
        <is>
          <t>라몬의 재판 준비 과정에서 새로운 자금 흐름이 포착됩니다. 알바로와 하비에르가 이 단서를 추 적하기 시작합니다. 이번 아크는 총 600문장 분량으로, 정치자금 세탁부터 청문회·법정 공방까지 다룰 예정입니다.</t>
        </is>
      </c>
    </row>
    <row r="98" ht="28.35" customHeight="1" s="11">
      <c r="A98" s="13" t="n">
        <v>97</v>
      </c>
      <c r="B98" s="13" t="n">
        <v>8</v>
      </c>
      <c r="C98" s="14">
        <f>INDEX('부작 목록'!$C$2:$C$66,B98)</f>
        <v/>
      </c>
      <c r="D98" s="14" t="inlineStr">
        <is>
          <t>B 카를로스 사건집</t>
        </is>
      </c>
      <c r="E98" s="13" t="n">
        <v>3310</v>
      </c>
      <c r="F98" s="13" t="n">
        <v>22</v>
      </c>
      <c r="G98" s="15" t="inlineStr">
        <is>
          <t>다음 날, 알바로와 하비에르가 검사 마리나 소텔로를 비공식적으로 만납니다. 그녀는 신중하게, 그러나 결정적인 정보를 흘립니다.</t>
        </is>
      </c>
    </row>
    <row r="99" ht="28.35" customHeight="1" s="11">
      <c r="A99" s="13" t="n">
        <v>98</v>
      </c>
      <c r="B99" s="13" t="n">
        <v>8</v>
      </c>
      <c r="C99" s="14">
        <f>INDEX('부작 목록'!$C$2:$C$66,B99)</f>
        <v/>
      </c>
      <c r="D99" s="14" t="inlineStr">
        <is>
          <t>B 카를로스 사건집</t>
        </is>
      </c>
      <c r="E99" s="13" t="n">
        <v>3335</v>
      </c>
      <c r="F99" s="13" t="n">
        <v>19</v>
      </c>
      <c r="G99" s="15" t="inlineStr">
        <is>
          <t>하비에르와 알바로가 공공사업 발주 기록을 분석하며, 롤단의 회사가 수주한 계약들에서 구체적 인 이상 징후를 발견합니다.</t>
        </is>
      </c>
    </row>
    <row r="100" ht="15" customHeight="1" s="11">
      <c r="A100" s="13" t="n">
        <v>99</v>
      </c>
      <c r="B100" s="13" t="n">
        <v>8</v>
      </c>
      <c r="C100" s="14">
        <f>INDEX('부작 목록'!$C$2:$C$66,B100)</f>
        <v/>
      </c>
      <c r="D100" s="14" t="inlineStr">
        <is>
          <t>B 카를로스 사건집</t>
        </is>
      </c>
      <c r="E100" s="13" t="n">
        <v>3357</v>
      </c>
      <c r="F100" s="13" t="n">
        <v>18</v>
      </c>
      <c r="G100" s="15" t="inlineStr">
        <is>
          <t>롤단 측에서 마침내 답변이 옵니다 — 직접 해명이 아니라, 변호사를 통한 경고성 서한입니다.</t>
        </is>
      </c>
    </row>
    <row r="101" ht="28.35" customHeight="1" s="11">
      <c r="A101" s="13" t="n">
        <v>100</v>
      </c>
      <c r="B101" s="13" t="n">
        <v>8</v>
      </c>
      <c r="C101" s="14">
        <f>INDEX('부작 목록'!$C$2:$C$66,B101)</f>
        <v/>
      </c>
      <c r="D101" s="14" t="inlineStr">
        <is>
          <t>B 카를로스 사건집</t>
        </is>
      </c>
      <c r="E101" s="13" t="n">
        <v>3378</v>
      </c>
      <c r="F101" s="13" t="n">
        <v>22</v>
      </c>
      <c r="G101" s="15" t="inlineStr">
        <is>
          <t>다음 날, 알바로와 하비에르가 신문사 법무 자문 마르타를 만나 롤단 측 경고 서한에 대응할 전 략을 논의하고, 이후 건설사 내부 취재원을 찾아보기로 합니다.</t>
        </is>
      </c>
    </row>
    <row r="102" ht="28.35" customHeight="1" s="11">
      <c r="A102" s="13" t="n">
        <v>101</v>
      </c>
      <c r="B102" s="13" t="n">
        <v>8</v>
      </c>
      <c r="C102" s="14">
        <f>INDEX('부작 목록'!$C$2:$C$66,B102)</f>
        <v/>
      </c>
      <c r="D102" s="14" t="inlineStr">
        <is>
          <t>B 카를로스 사건집</t>
        </is>
      </c>
      <c r="E102" s="13" t="n">
        <v>3403</v>
      </c>
      <c r="F102" s="13" t="n">
        <v>21</v>
      </c>
      <c r="G102" s="15" t="inlineStr">
        <is>
          <t>며칠 후, 하비에르의 대학 동창을 통해 건설사 내부 인물 프란 이바녜스와의 접선이 성사됩니 다. 익명을 조건으로, 그가 계약 체결 과정에 대해 증언합니다.</t>
        </is>
      </c>
    </row>
    <row r="103" ht="28.35" customHeight="1" s="11">
      <c r="A103" s="13" t="n">
        <v>102</v>
      </c>
      <c r="B103" s="13" t="n">
        <v>8</v>
      </c>
      <c r="C103" s="14">
        <f>INDEX('부작 목록'!$C$2:$C$66,B103)</f>
        <v/>
      </c>
      <c r="D103" s="14" t="inlineStr">
        <is>
          <t>B 카를로스 사건집</t>
        </is>
      </c>
      <c r="E103" s="13" t="n">
        <v>3428</v>
      </c>
      <c r="F103" s="13" t="n">
        <v>22</v>
      </c>
      <c r="G103" s="15" t="inlineStr">
        <is>
          <t>확보한 증거가 충분하다고 판단한 데스크가 보도를 승인합니다. 기사가 나가자마자, 의회에서 마누엘 수아소를 소환하는 청문회가 열립니다.</t>
        </is>
      </c>
    </row>
    <row r="104" ht="28.35" customHeight="1" s="11">
      <c r="A104" s="13" t="n">
        <v>103</v>
      </c>
      <c r="B104" s="13" t="n">
        <v>8</v>
      </c>
      <c r="C104" s="14">
        <f>INDEX('부작 목록'!$C$2:$C$66,B104)</f>
        <v/>
      </c>
      <c r="D104" s="14" t="inlineStr">
        <is>
          <t>B 카를로스 사건집</t>
        </is>
      </c>
      <c r="E104" s="13" t="n">
        <v>3455</v>
      </c>
      <c r="F104" s="13" t="n">
        <v>23</v>
      </c>
      <c r="G104" s="15" t="inlineStr">
        <is>
          <t>청문회 당일. 야당 의원 소니아 비달이 정당 회계 담당자 마누엘 수아소를 상대로 날카로운 질 의를 이어갑니다. 알바로와 하비에르는 방청석에서 이를 취재합니다.</t>
        </is>
      </c>
    </row>
    <row r="105" ht="15" customHeight="1" s="11">
      <c r="A105" s="13" t="n">
        <v>104</v>
      </c>
      <c r="B105" s="13" t="n">
        <v>8</v>
      </c>
      <c r="C105" s="14">
        <f>INDEX('부작 목록'!$C$2:$C$66,B105)</f>
        <v/>
      </c>
      <c r="D105" s="14" t="inlineStr">
        <is>
          <t>B 카를로스 사건집</t>
        </is>
      </c>
      <c r="E105" s="13" t="n">
        <v>3481</v>
      </c>
      <c r="F105" s="13" t="n">
        <v>17</v>
      </c>
      <c r="G105" s="15" t="inlineStr">
        <is>
          <t>청문회와 보도의 파장으로, 판사가 롤단의 회사와 정당 사무실에 대한 압수수색을 승인합니다.</t>
        </is>
      </c>
    </row>
    <row r="106" ht="15" customHeight="1" s="11">
      <c r="A106" s="13" t="n">
        <v>105</v>
      </c>
      <c r="B106" s="13" t="n">
        <v>8</v>
      </c>
      <c r="C106" s="14">
        <f>INDEX('부작 목록'!$C$2:$C$66,B106)</f>
        <v/>
      </c>
      <c r="D106" s="14" t="inlineStr">
        <is>
          <t>B 카를로스 사건집</t>
        </is>
      </c>
      <c r="E106" s="13" t="n">
        <v>3501</v>
      </c>
      <c r="F106" s="13" t="n">
        <v>17</v>
      </c>
      <c r="G106" s="15" t="inlineStr">
        <is>
          <t>다음 날 아침, 알바로와 하비에르가 압수수색 현장 근처에서 취재합니다.</t>
        </is>
      </c>
    </row>
    <row r="107" ht="15" customHeight="1" s="11">
      <c r="A107" s="13" t="n">
        <v>106</v>
      </c>
      <c r="B107" s="13" t="n">
        <v>8</v>
      </c>
      <c r="C107" s="14">
        <f>INDEX('부작 목록'!$C$2:$C$66,B107)</f>
        <v/>
      </c>
      <c r="D107" s="14" t="inlineStr">
        <is>
          <t>B 카를로스 사건집</t>
        </is>
      </c>
      <c r="E107" s="13" t="n">
        <v>3521</v>
      </c>
      <c r="F107" s="13" t="n">
        <v>16</v>
      </c>
      <c r="G107" s="15" t="inlineStr">
        <is>
          <t>며칠 후, 압수된 자료에서 결정적인 증거가 발견됩니다. 마리나가 알바로와 하비에르에게 이를 알립니다.</t>
        </is>
      </c>
    </row>
    <row r="108" ht="28.35" customHeight="1" s="11">
      <c r="A108" s="13" t="n">
        <v>107</v>
      </c>
      <c r="B108" s="13" t="n">
        <v>8</v>
      </c>
      <c r="C108" s="14">
        <f>INDEX('부작 목록'!$C$2:$C$66,B108)</f>
        <v/>
      </c>
      <c r="D108" s="14" t="inlineStr">
        <is>
          <t>B 카를로스 사건집</t>
        </is>
      </c>
      <c r="E108" s="13" t="n">
        <v>3540</v>
      </c>
      <c r="F108" s="13" t="n">
        <v>21</v>
      </c>
      <c r="G108" s="15" t="inlineStr">
        <is>
          <t>몇 달 후, 마침내 재판이 시작됩니다. 알바로와 하비에르가 방청석에서 취재하는 가운데, 검찰과 변호인단의 공방이 펼쳐집니다.</t>
        </is>
      </c>
    </row>
    <row r="109" ht="15" customHeight="1" s="11">
      <c r="A109" s="13" t="n">
        <v>108</v>
      </c>
      <c r="B109" s="13" t="n">
        <v>8</v>
      </c>
      <c r="C109" s="14">
        <f>INDEX('부작 목록'!$C$2:$C$66,B109)</f>
        <v/>
      </c>
      <c r="D109" s="14" t="inlineStr">
        <is>
          <t>B 카를로스 사건집</t>
        </is>
      </c>
      <c r="E109" s="13" t="n">
        <v>3564</v>
      </c>
      <c r="F109" s="13" t="n">
        <v>21</v>
      </c>
      <c r="G109" s="15" t="inlineStr">
        <is>
          <t>수아소가 증언하기로 한 날 아침, 충격적인 소식이 전해집니다 — 그가 자택에서 숨진 채 발견 됐다는 것입니다.</t>
        </is>
      </c>
    </row>
    <row r="110" ht="15" customHeight="1" s="11">
      <c r="A110" s="13" t="n">
        <v>109</v>
      </c>
      <c r="B110" s="13" t="n">
        <v>8</v>
      </c>
      <c r="C110" s="14">
        <f>INDEX('부작 목록'!$C$2:$C$66,B110)</f>
        <v/>
      </c>
      <c r="D110" s="14" t="inlineStr">
        <is>
          <t>B 카를로스 사건집</t>
        </is>
      </c>
      <c r="E110" s="13" t="n">
        <v>3588</v>
      </c>
      <c r="F110" s="13" t="n">
        <v>18</v>
      </c>
      <c r="G110" s="15" t="inlineStr">
        <is>
          <t>부검 결과가 나옵니다. 예상대로 단순한 자연사가 아니었습니다.</t>
        </is>
      </c>
    </row>
    <row r="111" ht="28.35" customHeight="1" s="11">
      <c r="A111" s="13" t="n">
        <v>110</v>
      </c>
      <c r="B111" s="13" t="n">
        <v>8</v>
      </c>
      <c r="C111" s="14">
        <f>INDEX('부작 목록'!$C$2:$C$66,B111)</f>
        <v/>
      </c>
      <c r="D111" s="14" t="inlineStr">
        <is>
          <t>B 카를로스 사건집</t>
        </is>
      </c>
      <c r="E111" s="13" t="n">
        <v>3609</v>
      </c>
      <c r="F111" s="13" t="n">
        <v>21</v>
      </c>
      <c r="G111" s="15" t="inlineStr">
        <is>
          <t>알바로가 카를로스에게 연락해 수아소 사건을 보고합니다. 두 사람은 이 사건이 루에다의 조직 과 연결됐을 가능성을 논의합니다.</t>
        </is>
      </c>
    </row>
    <row r="112" ht="15" customHeight="1" s="11">
      <c r="A112" s="13" t="n">
        <v>111</v>
      </c>
      <c r="B112" s="13" t="n">
        <v>8</v>
      </c>
      <c r="C112" s="14">
        <f>INDEX('부작 목록'!$C$2:$C$66,B112)</f>
        <v/>
      </c>
      <c r="D112" s="14" t="inlineStr">
        <is>
          <t>B 카를로스 사건집</t>
        </is>
      </c>
      <c r="E112" s="13" t="n">
        <v>3633</v>
      </c>
      <c r="F112" s="13" t="n">
        <v>18</v>
      </c>
      <c r="G112" s="15" t="inlineStr">
        <is>
          <t>며칠 후, 알바로가 자신도 미행당하고 있다는 걸 눈치챕니다.</t>
        </is>
      </c>
    </row>
    <row r="113" ht="28.35" customHeight="1" s="11">
      <c r="A113" s="13" t="n">
        <v>112</v>
      </c>
      <c r="B113" s="13" t="n">
        <v>8</v>
      </c>
      <c r="C113" s="14">
        <f>INDEX('부작 목록'!$C$2:$C$66,B113)</f>
        <v/>
      </c>
      <c r="D113" s="14" t="inlineStr">
        <is>
          <t>B 카를로스 사건집</t>
        </is>
      </c>
      <c r="E113" s="13" t="n">
        <v>3654</v>
      </c>
      <c r="F113" s="13" t="n">
        <v>20</v>
      </c>
      <c r="G113" s="15" t="inlineStr">
        <is>
          <t>그날 밤, 카를로스가 조사 결과를 가지고 알바로를 찾아옵니다. 수아소 살해와 루에다 조직 사 이의 결정적 연결고리가 드러납니다.</t>
        </is>
      </c>
    </row>
    <row r="114" ht="15" customHeight="1" s="11">
      <c r="A114" s="13" t="n">
        <v>113</v>
      </c>
      <c r="B114" s="13" t="n">
        <v>8</v>
      </c>
      <c r="C114" s="14">
        <f>INDEX('부작 목록'!$C$2:$C$66,B114)</f>
        <v/>
      </c>
      <c r="D114" s="14" t="inlineStr">
        <is>
          <t>B 카를로스 사건집</t>
        </is>
      </c>
      <c r="E114" s="13" t="n">
        <v>3677</v>
      </c>
      <c r="F114" s="13" t="n">
        <v>16</v>
      </c>
      <c r="G114" s="15" t="inlineStr">
        <is>
          <t>몇 주 후, 재판 최종 판결이 내려집니다.</t>
        </is>
      </c>
    </row>
    <row r="115" ht="15" customHeight="1" s="11">
      <c r="A115" s="13" t="n">
        <v>114</v>
      </c>
      <c r="B115" s="13" t="n">
        <v>8</v>
      </c>
      <c r="C115" s="14">
        <f>INDEX('부작 목록'!$C$2:$C$66,B115)</f>
        <v/>
      </c>
      <c r="D115" s="14" t="inlineStr">
        <is>
          <t>B 카를로스 사건집</t>
        </is>
      </c>
      <c r="E115" s="13" t="n">
        <v>3696</v>
      </c>
      <c r="F115" s="13" t="n">
        <v>15</v>
      </c>
      <c r="G115" s="15" t="inlineStr">
        <is>
          <t>며칠 후, 알바로·하비에르·카를로스·마리나가 함께 저녁을 먹으며 이번 사건을 정리합니다.</t>
        </is>
      </c>
    </row>
    <row r="116" ht="28.35" customHeight="1" s="11">
      <c r="A116" s="13" t="n">
        <v>115</v>
      </c>
      <c r="B116" s="13" t="n">
        <v>8</v>
      </c>
      <c r="C116" s="14">
        <f>INDEX('부작 목록'!$C$2:$C$66,B116)</f>
        <v/>
      </c>
      <c r="D116" s="14" t="inlineStr">
        <is>
          <t>B 카를로스 사건집</t>
        </is>
      </c>
      <c r="E116" s="13" t="n">
        <v>3714</v>
      </c>
      <c r="F116" s="13" t="n">
        <v>16</v>
      </c>
      <c r="G116" s="15" t="inlineStr">
        <is>
          <t>식사가 끝나갈 무렵, 테이블 근처에서 갑작스러운 폭발이 일어납니다. 정신을 차린 알바로는 하 비에르가 크게 다친 것을 발견하고 필사적으로 구급차를 부릅니다.</t>
        </is>
      </c>
    </row>
    <row r="117" ht="28.35" customHeight="1" s="11">
      <c r="A117" s="13" t="n">
        <v>116</v>
      </c>
      <c r="B117" s="13" t="n">
        <v>9</v>
      </c>
      <c r="C117" s="14">
        <f>INDEX('부작 목록'!$C$2:$C$66,B117)</f>
        <v/>
      </c>
      <c r="D117" s="14" t="inlineStr">
        <is>
          <t>B 카를로스 사건집</t>
        </is>
      </c>
      <c r="E117" s="13" t="n">
        <v>3732</v>
      </c>
      <c r="F117" s="13" t="n">
        <v>19</v>
      </c>
      <c r="G117" s="15" t="inlineStr">
        <is>
          <t>새로운 사건. 카를로스가 톰포드 슈트·향수·선글라스와 스페인 명품 의류를 위조해 유통하는 대 규모 조직에 대한 정보를 갖고 알바로를 찾아옵니다. 이번 아크는 200~250문장 분량으로 계획 합니다.</t>
        </is>
      </c>
    </row>
    <row r="118" ht="28.35" customHeight="1" s="11">
      <c r="A118" s="13" t="n">
        <v>117</v>
      </c>
      <c r="B118" s="13" t="n">
        <v>9</v>
      </c>
      <c r="C118" s="14">
        <f>INDEX('부작 목록'!$C$2:$C$66,B118)</f>
        <v/>
      </c>
      <c r="D118" s="14" t="inlineStr">
        <is>
          <t>B 카를로스 사건집</t>
        </is>
      </c>
      <c r="E118" s="13" t="n">
        <v>3754</v>
      </c>
      <c r="F118" s="13" t="n">
        <v>19</v>
      </c>
      <c r="G118" s="15" t="inlineStr">
        <is>
          <t>알바로가 '알레한드로 푸익'이라는 위장 신분으로 브루노 살라스의 명품 중고매장을 찾아갑니다. 까다로운 고객을 위한 구매 대행이라는 명분으로 접근합니다.</t>
        </is>
      </c>
    </row>
    <row r="119" ht="15" customHeight="1" s="11">
      <c r="A119" s="13" t="n">
        <v>118</v>
      </c>
      <c r="B119" s="13" t="n">
        <v>9</v>
      </c>
      <c r="C119" s="14">
        <f>INDEX('부작 목록'!$C$2:$C$66,B119)</f>
        <v/>
      </c>
      <c r="D119" s="14" t="inlineStr">
        <is>
          <t>B 카를로스 사건집</t>
        </is>
      </c>
      <c r="E119" s="13" t="n">
        <v>3776</v>
      </c>
      <c r="F119" s="13" t="n">
        <v>19</v>
      </c>
      <c r="G119" s="15" t="inlineStr">
        <is>
          <t>다음 날, 브루노가 알바로에게 매장 뒤편에 숨겨둔 위조품 재고를 보여줍니다.</t>
        </is>
      </c>
    </row>
    <row r="120" ht="15" customHeight="1" s="11">
      <c r="A120" s="13" t="n">
        <v>119</v>
      </c>
      <c r="B120" s="13" t="n">
        <v>9</v>
      </c>
      <c r="C120" s="14">
        <f>INDEX('부작 목록'!$C$2:$C$66,B120)</f>
        <v/>
      </c>
      <c r="D120" s="14" t="inlineStr">
        <is>
          <t>B 카를로스 사건집</t>
        </is>
      </c>
      <c r="E120" s="13" t="n">
        <v>3798</v>
      </c>
      <c r="F120" s="13" t="n">
        <v>16</v>
      </c>
      <c r="G120" s="15" t="inlineStr">
        <is>
          <t>알바로가 카를로스에게 진행 상황을 보고하고, 시험 주문을 통해 생산 라인을 추적할 계획을 세 웁니다.</t>
        </is>
      </c>
    </row>
    <row r="121" ht="15" customHeight="1" s="11">
      <c r="A121" s="13" t="n">
        <v>120</v>
      </c>
      <c r="B121" s="13" t="n">
        <v>9</v>
      </c>
      <c r="C121" s="14">
        <f>INDEX('부작 목록'!$C$2:$C$66,B121)</f>
        <v/>
      </c>
      <c r="D121" s="14" t="inlineStr">
        <is>
          <t>B 카를로스 사건집</t>
        </is>
      </c>
      <c r="E121" s="13" t="n">
        <v>3817</v>
      </c>
      <c r="F121" s="13" t="n">
        <v>17</v>
      </c>
      <c r="G121" s="15" t="inlineStr">
        <is>
          <t>일주일 후, 브루노가 알바로를 톨레도 근처의 생산 작업장으로 직접 데려갑니다.</t>
        </is>
      </c>
    </row>
    <row r="122" ht="15" customHeight="1" s="11">
      <c r="A122" s="13" t="n">
        <v>121</v>
      </c>
      <c r="B122" s="13" t="n">
        <v>9</v>
      </c>
      <c r="C122" s="14">
        <f>INDEX('부작 목록'!$C$2:$C$66,B122)</f>
        <v/>
      </c>
      <c r="D122" s="14" t="inlineStr">
        <is>
          <t>B 카를로스 사건집</t>
        </is>
      </c>
      <c r="E122" s="13" t="n">
        <v>3837</v>
      </c>
      <c r="F122" s="13" t="n">
        <v>14</v>
      </c>
      <c r="G122" s="15" t="inlineStr">
        <is>
          <t>카를로스에게 위치를 전달한 후, 경찰이 작업장과 매장을 동시에 급습합니다.</t>
        </is>
      </c>
    </row>
    <row r="123" ht="15" customHeight="1" s="11">
      <c r="A123" s="13" t="n">
        <v>122</v>
      </c>
      <c r="B123" s="13" t="n">
        <v>9</v>
      </c>
      <c r="C123" s="14">
        <f>INDEX('부작 목록'!$C$2:$C$66,B123)</f>
        <v/>
      </c>
      <c r="D123" s="14" t="inlineStr">
        <is>
          <t>B 카를로스 사건집</t>
        </is>
      </c>
      <c r="E123" s="13" t="n">
        <v>3854</v>
      </c>
      <c r="F123" s="13" t="n">
        <v>10</v>
      </c>
      <c r="G123" s="15" t="inlineStr">
        <is>
          <t>며칠 후, 알바로가 병원에서 회복 중인 하비에르를 찾아가 함께 이번 사건 소식을 나눕니다.</t>
        </is>
      </c>
    </row>
    <row r="124" ht="28.35" customHeight="1" s="11">
      <c r="A124" s="13" t="n">
        <v>123</v>
      </c>
      <c r="B124" s="13" t="n">
        <v>10</v>
      </c>
      <c r="C124" s="14">
        <f>INDEX('부작 목록'!$C$2:$C$66,B124)</f>
        <v/>
      </c>
      <c r="D124" s="14" t="inlineStr">
        <is>
          <t>B 카를로스 사건집</t>
        </is>
      </c>
      <c r="E124" s="13" t="n">
        <v>3866</v>
      </c>
      <c r="F124" s="13" t="n">
        <v>19</v>
      </c>
      <c r="G124" s="15" t="inlineStr">
        <is>
          <t>카를로스가 알바로에게 새로운 사건을 제안합니다. 가짜 백신과 미허가 시술을 판매하는 의료관 광 클리닉 네트워크에 대한 것입니다. 이번 아크는 250~300문장 분량으로 계획합니다.</t>
        </is>
      </c>
    </row>
    <row r="125" ht="15" customHeight="1" s="11">
      <c r="A125" s="13" t="n">
        <v>124</v>
      </c>
      <c r="B125" s="13" t="n">
        <v>10</v>
      </c>
      <c r="C125" s="14">
        <f>INDEX('부작 목록'!$C$2:$C$66,B125)</f>
        <v/>
      </c>
      <c r="D125" s="14" t="inlineStr">
        <is>
          <t>B 카를로스 사건집</t>
        </is>
      </c>
      <c r="E125" s="13" t="n">
        <v>3888</v>
      </c>
      <c r="F125" s="13" t="n">
        <v>26</v>
      </c>
      <c r="G125" s="15" t="inlineStr">
        <is>
          <t>다음 날, 신뢰할 수 있는 의사 엘레나 페라스 박사가 알바로에게 증상 묘사와 의료 용어를 속성 으로 가르칩니다.</t>
        </is>
      </c>
    </row>
    <row r="126" ht="15" customHeight="1" s="11">
      <c r="A126" s="13" t="n">
        <v>125</v>
      </c>
      <c r="B126" s="13" t="n">
        <v>10</v>
      </c>
      <c r="C126" s="14">
        <f>INDEX('부작 목록'!$C$2:$C$66,B126)</f>
        <v/>
      </c>
      <c r="D126" s="14" t="inlineStr">
        <is>
          <t>B 카를로스 사건집</t>
        </is>
      </c>
      <c r="E126" s="13" t="n">
        <v>3918</v>
      </c>
      <c r="F126" s="13" t="n">
        <v>20</v>
      </c>
      <c r="G126" s="15" t="inlineStr">
        <is>
          <t>알바로가 '알레한드로 푸익' 신분으로 클리니카 아우로라를 방문해 환자로 위장 접수합니다.</t>
        </is>
      </c>
    </row>
    <row r="127" ht="15" customHeight="1" s="11">
      <c r="A127" s="13" t="n">
        <v>126</v>
      </c>
      <c r="B127" s="13" t="n">
        <v>10</v>
      </c>
      <c r="C127" s="14">
        <f>INDEX('부작 목록'!$C$2:$C$66,B127)</f>
        <v/>
      </c>
      <c r="D127" s="14" t="inlineStr">
        <is>
          <t>B 카를로스 사건집</t>
        </is>
      </c>
      <c r="E127" s="13" t="n">
        <v>3941</v>
      </c>
      <c r="F127" s="13" t="n">
        <v>17</v>
      </c>
      <c r="G127" s="15" t="inlineStr">
        <is>
          <t>알바로가 카를로스에게 클리닉 방문 결과를 보고하고, 다음 단계를 계획합니다.</t>
        </is>
      </c>
    </row>
    <row r="128" ht="28.35" customHeight="1" s="11">
      <c r="A128" s="13" t="n">
        <v>127</v>
      </c>
      <c r="B128" s="13" t="n">
        <v>10</v>
      </c>
      <c r="C128" s="14">
        <f>INDEX('부작 목록'!$C$2:$C$66,B128)</f>
        <v/>
      </c>
      <c r="D128" s="14" t="inlineStr">
        <is>
          <t>B 카를로스 사건집</t>
        </is>
      </c>
      <c r="E128" s="13" t="n">
        <v>3961</v>
      </c>
      <c r="F128" s="13" t="n">
        <v>20</v>
      </c>
      <c r="G128" s="15" t="inlineStr">
        <is>
          <t>며칠 후, 알바로가 두 번째로 클리닉을 방문합니다. 이번엔 초기 치료를 받아들이고, 예상대로 백신 접종까지 권유받습니다.</t>
        </is>
      </c>
    </row>
    <row r="129" ht="15" customHeight="1" s="11">
      <c r="A129" s="13" t="n">
        <v>128</v>
      </c>
      <c r="B129" s="13" t="n">
        <v>10</v>
      </c>
      <c r="C129" s="14">
        <f>INDEX('부작 목록'!$C$2:$C$66,B129)</f>
        <v/>
      </c>
      <c r="D129" s="14" t="inlineStr">
        <is>
          <t>B 카를로스 사건집</t>
        </is>
      </c>
      <c r="E129" s="13" t="n">
        <v>3984</v>
      </c>
      <c r="F129" s="13" t="n">
        <v>16</v>
      </c>
      <c r="G129" s="15" t="inlineStr">
        <is>
          <t>카를로스가 클리닉의 실소유주를 확인했다는 소식을 갖고 알바로를 찾아옵니다.</t>
        </is>
      </c>
    </row>
    <row r="130" ht="15" customHeight="1" s="11">
      <c r="A130" s="13" t="n">
        <v>129</v>
      </c>
      <c r="B130" s="13" t="n">
        <v>10</v>
      </c>
      <c r="C130" s="14">
        <f>INDEX('부작 목록'!$C$2:$C$66,B130)</f>
        <v/>
      </c>
      <c r="D130" s="14" t="inlineStr">
        <is>
          <t>B 카를로스 사건집</t>
        </is>
      </c>
      <c r="E130" s="13" t="n">
        <v>4003</v>
      </c>
      <c r="F130" s="13" t="n">
        <v>22</v>
      </c>
      <c r="G130" s="15" t="inlineStr">
        <is>
          <t>며칠 후, 시료 분석 결과가 나옵니다. 예상보다 훨씬 심각했고, 곧바로 급습이 이어집니다.</t>
        </is>
      </c>
    </row>
    <row r="131" ht="15" customHeight="1" s="11">
      <c r="A131" s="13" t="n">
        <v>130</v>
      </c>
      <c r="B131" s="13" t="n">
        <v>10</v>
      </c>
      <c r="C131" s="14">
        <f>INDEX('부작 목록'!$C$2:$C$66,B131)</f>
        <v/>
      </c>
      <c r="D131" s="14" t="inlineStr">
        <is>
          <t>B 카를로스 사건집</t>
        </is>
      </c>
      <c r="E131" s="13" t="n">
        <v>4028</v>
      </c>
      <c r="F131" s="13" t="n">
        <v>13</v>
      </c>
      <c r="G131" s="15" t="inlineStr">
        <is>
          <t>알바로가 병원에서 회복 중인 하비에르를 찾아가 사건 소식을 전합니다.</t>
        </is>
      </c>
    </row>
    <row r="132" ht="15" customHeight="1" s="11">
      <c r="A132" s="13" t="n">
        <v>131</v>
      </c>
      <c r="B132" s="13" t="n">
        <v>10</v>
      </c>
      <c r="C132" s="14">
        <f>INDEX('부작 목록'!$C$2:$C$66,B132)</f>
        <v/>
      </c>
      <c r="D132" s="14" t="inlineStr">
        <is>
          <t>B 카를로스 사건집</t>
        </is>
      </c>
      <c r="E132" s="13" t="n">
        <v>4043</v>
      </c>
      <c r="F132" s="13" t="n">
        <v>12</v>
      </c>
      <c r="G132" s="15" t="inlineStr">
        <is>
          <t>며칠 후, 알바로와 카를로스가 함께 저녁을 먹으며 이번 사건을 마무리 짓습니다.</t>
        </is>
      </c>
    </row>
    <row r="133" ht="28.35" customHeight="1" s="11">
      <c r="A133" s="13" t="n">
        <v>132</v>
      </c>
      <c r="B133" s="13" t="n">
        <v>11</v>
      </c>
      <c r="C133" s="14">
        <f>INDEX('부작 목록'!$C$2:$C$66,B133)</f>
        <v/>
      </c>
      <c r="D133" s="14" t="inlineStr">
        <is>
          <t>B 카를로스 사건집</t>
        </is>
      </c>
      <c r="E133" s="13" t="n">
        <v>4058</v>
      </c>
      <c r="F133" s="13" t="n">
        <v>16</v>
      </c>
      <c r="G133" s="15" t="inlineStr">
        <is>
          <t>신규 아크: 위기 대응 긴급자금 횡령 (가상 자치도시 '푸에르토 알토') — 데스크가 알바로에게 위기 대응 긴급자금 관련 제보를 전합니다. 실존 지명·정치인은 등장하지 않으며, 가상의 자치도시를 배경으로 합니다.</t>
        </is>
      </c>
    </row>
    <row r="134" ht="15" customHeight="1" s="11">
      <c r="A134" s="13" t="n">
        <v>133</v>
      </c>
      <c r="B134" s="13" t="n">
        <v>11</v>
      </c>
      <c r="C134" s="14">
        <f>INDEX('부작 목록'!$C$2:$C$66,B134)</f>
        <v/>
      </c>
      <c r="D134" s="14" t="inlineStr">
        <is>
          <t>B 카를로스 사건집</t>
        </is>
      </c>
      <c r="E134" s="13" t="n">
        <v>4078</v>
      </c>
      <c r="F134" s="13" t="n">
        <v>16</v>
      </c>
      <c r="G134" s="15" t="inlineStr">
        <is>
          <t>알바로가 발주 서류를 검토하며 이상 정황을 발견합니다. 하비에르가 회복 중인 상태로 원격으 로 조언을 보탭니다.</t>
        </is>
      </c>
    </row>
    <row r="135" ht="15" customHeight="1" s="11">
      <c r="A135" s="13" t="n">
        <v>134</v>
      </c>
      <c r="B135" s="13" t="n">
        <v>11</v>
      </c>
      <c r="C135" s="14">
        <f>INDEX('부작 목록'!$C$2:$C$66,B135)</f>
        <v/>
      </c>
      <c r="D135" s="14" t="inlineStr">
        <is>
          <t>B 카를로스 사건집</t>
        </is>
      </c>
      <c r="E135" s="13" t="n">
        <v>4097</v>
      </c>
      <c r="F135" s="13" t="n">
        <v>10</v>
      </c>
      <c r="G135" s="15" t="inlineStr">
        <is>
          <t>알바로가 위장한 시설을 직접 방문합니다.</t>
        </is>
      </c>
    </row>
    <row r="136" ht="15" customHeight="1" s="11">
      <c r="A136" s="13" t="n">
        <v>135</v>
      </c>
      <c r="B136" s="13" t="n">
        <v>11</v>
      </c>
      <c r="C136" s="14">
        <f>INDEX('부작 목록'!$C$2:$C$66,B136)</f>
        <v/>
      </c>
      <c r="D136" s="14" t="inlineStr">
        <is>
          <t>B 카를로스 사건집</t>
        </is>
      </c>
      <c r="E136" s="13" t="n">
        <v>4109</v>
      </c>
      <c r="F136" s="13" t="n">
        <v>14</v>
      </c>
      <c r="G136" s="15" t="inlineStr">
        <is>
          <t>알바로가 카를로스의 도움으로 소피아 엘로르사의 배후를 확인합니다.</t>
        </is>
      </c>
    </row>
    <row r="137" ht="15" customHeight="1" s="11">
      <c r="A137" s="13" t="n">
        <v>136</v>
      </c>
      <c r="B137" s="13" t="n">
        <v>11</v>
      </c>
      <c r="C137" s="14">
        <f>INDEX('부작 목록'!$C$2:$C$66,B137)</f>
        <v/>
      </c>
      <c r="D137" s="14" t="inlineStr">
        <is>
          <t>B 카를로스 사건집</t>
        </is>
      </c>
      <c r="E137" s="13" t="n">
        <v>4126</v>
      </c>
      <c r="F137" s="13" t="n">
        <v>10</v>
      </c>
      <c r="G137" s="15" t="inlineStr">
        <is>
          <t>알바로가 법무 자문 마르타와 함께 보도 전 법적 검토를 진행합니다.</t>
        </is>
      </c>
    </row>
    <row r="138" ht="15" customHeight="1" s="11">
      <c r="A138" s="13" t="n">
        <v>137</v>
      </c>
      <c r="B138" s="13" t="n">
        <v>11</v>
      </c>
      <c r="C138" s="14">
        <f>INDEX('부작 목록'!$C$2:$C$66,B138)</f>
        <v/>
      </c>
      <c r="D138" s="14" t="inlineStr">
        <is>
          <t>B 카를로스 사건집</t>
        </is>
      </c>
      <c r="E138" s="13" t="n">
        <v>4139</v>
      </c>
      <c r="F138" s="13" t="n">
        <v>12</v>
      </c>
      <c r="G138" s="15" t="inlineStr">
        <is>
          <t>보도가 나간 뒤, 데스크와 함께 반응을 정리하며 아크를 마무리합니다.</t>
        </is>
      </c>
    </row>
    <row r="139" ht="15" customHeight="1" s="11">
      <c r="A139" s="13" t="n">
        <v>138</v>
      </c>
      <c r="B139" s="13" t="n">
        <v>11</v>
      </c>
      <c r="C139" s="14">
        <f>INDEX('부작 목록'!$C$2:$C$66,B139)</f>
        <v/>
      </c>
      <c r="D139" s="14" t="inlineStr">
        <is>
          <t>B 카를로스 사건집</t>
        </is>
      </c>
      <c r="E139" s="13" t="n">
        <v>4153</v>
      </c>
      <c r="F139" s="13" t="n">
        <v>13</v>
      </c>
      <c r="G139" s="15" t="inlineStr">
        <is>
          <t>보도 며칠 후, 검사 마리나가 정식 수사에 착수했다는 소식을 전하며 아크가 완결됩니다.</t>
        </is>
      </c>
    </row>
    <row r="140" ht="41" customHeight="1" s="11">
      <c r="A140" s="13" t="n">
        <v>139</v>
      </c>
      <c r="B140" s="13" t="n">
        <v>12</v>
      </c>
      <c r="C140" s="14">
        <f>INDEX('부작 목록'!$C$2:$C$66,B140)</f>
        <v/>
      </c>
      <c r="D140" s="14" t="inlineStr">
        <is>
          <t>B 카를로스 사건집</t>
        </is>
      </c>
      <c r="E140" s="13" t="n">
        <v>4169</v>
      </c>
      <c r="F140" s="13" t="n">
        <v>18</v>
      </c>
      <c r="G140" s="15" t="inlineStr">
        <is>
          <t>신규 아크: 북극 신항로發 이중용도 기술·제재 회피 밀수 — 카를로스가 알바로에게 새로운 위장 작전을 제안합니다. 북극 신항로 물류에 투자한다고 홍보하 는 가상의 스페인 해운기업이, 실제로는 이중용도 기술 밀수 통로로 의심됩니다.</t>
        </is>
      </c>
    </row>
    <row r="141" ht="15" customHeight="1" s="11">
      <c r="A141" s="13" t="n">
        <v>140</v>
      </c>
      <c r="B141" s="13" t="n">
        <v>12</v>
      </c>
      <c r="C141" s="14">
        <f>INDEX('부작 목록'!$C$2:$C$66,B141)</f>
        <v/>
      </c>
      <c r="D141" s="14" t="inlineStr">
        <is>
          <t>B 카를로스 사건집</t>
        </is>
      </c>
      <c r="E141" s="13" t="n">
        <v>4191</v>
      </c>
      <c r="F141" s="13" t="n">
        <v>15</v>
      </c>
      <c r="G141" s="15" t="inlineStr">
        <is>
          <t>알바로가 '이케르 사발라' 신분으로 노르티아 로히스티카를 방문해 이바르구엔과 첫 만남을 갖 습니다.</t>
        </is>
      </c>
    </row>
    <row r="142" ht="15" customHeight="1" s="11">
      <c r="A142" s="13" t="n">
        <v>141</v>
      </c>
      <c r="B142" s="13" t="n">
        <v>12</v>
      </c>
      <c r="C142" s="14">
        <f>INDEX('부작 목록'!$C$2:$C$66,B142)</f>
        <v/>
      </c>
      <c r="D142" s="14" t="inlineStr">
        <is>
          <t>B 카를로스 사건집</t>
        </is>
      </c>
      <c r="E142" s="13" t="n">
        <v>4209</v>
      </c>
      <c r="F142" s="13" t="n">
        <v>15</v>
      </c>
      <c r="G142" s="15" t="inlineStr">
        <is>
          <t>두 번째 회의에서 이바르구엔이 좀 더 은밀한 화물 취급을 암시합니다.</t>
        </is>
      </c>
    </row>
    <row r="143" ht="15" customHeight="1" s="11">
      <c r="A143" s="13" t="n">
        <v>142</v>
      </c>
      <c r="B143" s="13" t="n">
        <v>12</v>
      </c>
      <c r="C143" s="14">
        <f>INDEX('부작 목록'!$C$2:$C$66,B143)</f>
        <v/>
      </c>
      <c r="D143" s="14" t="inlineStr">
        <is>
          <t>B 카를로스 사건집</t>
        </is>
      </c>
      <c r="E143" s="13" t="n">
        <v>4227</v>
      </c>
      <c r="F143" s="13" t="n">
        <v>10</v>
      </c>
      <c r="G143" s="15" t="inlineStr">
        <is>
          <t>알바로가 카를로스에게 진행 상황을 보고합니다.</t>
        </is>
      </c>
    </row>
    <row r="144" ht="15" customHeight="1" s="11">
      <c r="A144" s="13" t="n">
        <v>143</v>
      </c>
      <c r="B144" s="13" t="n">
        <v>12</v>
      </c>
      <c r="C144" s="14">
        <f>INDEX('부작 목록'!$C$2:$C$66,B144)</f>
        <v/>
      </c>
      <c r="D144" s="14" t="inlineStr">
        <is>
          <t>B 카를로스 사건집</t>
        </is>
      </c>
      <c r="E144" s="13" t="n">
        <v>4239</v>
      </c>
      <c r="F144" s="13" t="n">
        <v>13</v>
      </c>
      <c r="G144" s="15" t="inlineStr">
        <is>
          <t>세 번째 회의에서 이바르구엔이 실제 화물 명세서를 보여줍니다.</t>
        </is>
      </c>
    </row>
    <row r="145" ht="15" customHeight="1" s="11">
      <c r="A145" s="13" t="n">
        <v>144</v>
      </c>
      <c r="B145" s="13" t="n">
        <v>12</v>
      </c>
      <c r="C145" s="14">
        <f>INDEX('부작 목록'!$C$2:$C$66,B145)</f>
        <v/>
      </c>
      <c r="D145" s="14" t="inlineStr">
        <is>
          <t>B 카를로스 사건집</t>
        </is>
      </c>
      <c r="E145" s="13" t="n">
        <v>4255</v>
      </c>
      <c r="F145" s="13" t="n">
        <v>11</v>
      </c>
      <c r="G145" s="15" t="inlineStr">
        <is>
          <t>알바로가 결정적 증거(화물 명세서 사진)를 확보하고 카를로스에게 전달합니다.</t>
        </is>
      </c>
    </row>
    <row r="146" ht="15" customHeight="1" s="11">
      <c r="A146" s="13" t="n">
        <v>145</v>
      </c>
      <c r="B146" s="13" t="n">
        <v>12</v>
      </c>
      <c r="C146" s="14">
        <f>INDEX('부작 목록'!$C$2:$C$66,B146)</f>
        <v/>
      </c>
      <c r="D146" s="14" t="inlineStr">
        <is>
          <t>B 카를로스 사건집</t>
        </is>
      </c>
      <c r="E146" s="13" t="n">
        <v>4269</v>
      </c>
      <c r="F146" s="13" t="n">
        <v>11</v>
      </c>
      <c r="G146" s="15" t="inlineStr">
        <is>
          <t>몇 주 후, 다음 화물이 출항하는 날, 경찰과 세관이 노르티아 로히스티카를 급습합니다.</t>
        </is>
      </c>
    </row>
    <row r="147" ht="15" customHeight="1" s="11">
      <c r="A147" s="13" t="n">
        <v>146</v>
      </c>
      <c r="B147" s="13" t="n">
        <v>12</v>
      </c>
      <c r="C147" s="14">
        <f>INDEX('부작 목록'!$C$2:$C$66,B147)</f>
        <v/>
      </c>
      <c r="D147" s="14" t="inlineStr">
        <is>
          <t>B 카를로스 사건집</t>
        </is>
      </c>
      <c r="E147" s="13" t="n">
        <v>4282</v>
      </c>
      <c r="F147" s="13" t="n">
        <v>13</v>
      </c>
      <c r="G147" s="15" t="inlineStr">
        <is>
          <t>며칠 후, 알바로와 카를로스가 함께 저녁을 먹으며 아크를 마무리합니다.</t>
        </is>
      </c>
    </row>
    <row r="148" ht="41.75" customHeight="1" s="11">
      <c r="A148" s="13" t="n">
        <v>147</v>
      </c>
      <c r="B148" s="13" t="n">
        <v>13</v>
      </c>
      <c r="C148" s="14">
        <f>INDEX('부작 목록'!$C$2:$C$66,B148)</f>
        <v/>
      </c>
      <c r="D148" s="14" t="inlineStr">
        <is>
          <t>B 카를로스 사건집</t>
        </is>
      </c>
      <c r="E148" s="13" t="n">
        <v>4298</v>
      </c>
      <c r="F148" s="13" t="n">
        <v>9</v>
      </c>
      <c r="G148" s="15" t="inlineStr">
        <is>
          <t>신규 아크: AI 컴패니언 앱을 이용한 정서적 포섭 사기 — 알바로가 개인적인 계기로 이 사건을 접합니다. 고령의 이모가 AI 동반자 앱에 지나치게 의존하 고 있다는 걸 알게 됩니다. 실존 AI 기업명은 등장하지 않으며, 가상의 앱 '콤파녜로 (Compañero)'를 배경으로 합니다.</t>
        </is>
      </c>
    </row>
    <row r="149" ht="15" customHeight="1" s="11">
      <c r="A149" s="13" t="n">
        <v>148</v>
      </c>
      <c r="B149" s="13" t="n">
        <v>13</v>
      </c>
      <c r="C149" s="14">
        <f>INDEX('부작 목록'!$C$2:$C$66,B149)</f>
        <v/>
      </c>
      <c r="D149" s="14" t="inlineStr">
        <is>
          <t>B 카를로스 사건집</t>
        </is>
      </c>
      <c r="E149" s="13" t="n">
        <v>4311</v>
      </c>
      <c r="F149" s="13" t="n">
        <v>10</v>
      </c>
      <c r="G149" s="15" t="inlineStr">
        <is>
          <t>알바로가 카를로스와 하비에르에게 이 상황을 공유하며 취재를 시작합니다.</t>
        </is>
      </c>
    </row>
    <row r="150" ht="28.35" customHeight="1" s="11">
      <c r="A150" s="13" t="n">
        <v>149</v>
      </c>
      <c r="B150" s="13" t="n">
        <v>13</v>
      </c>
      <c r="C150" s="14">
        <f>INDEX('부작 목록'!$C$2:$C$66,B150)</f>
        <v/>
      </c>
      <c r="D150" s="14" t="inlineStr">
        <is>
          <t>B 카를로스 사건집</t>
        </is>
      </c>
      <c r="E150" s="13" t="n">
        <v>4323</v>
      </c>
      <c r="F150" s="13" t="n">
        <v>8</v>
      </c>
      <c r="G150" s="15" t="inlineStr">
        <is>
          <t>알바로가 앱을 직접 사용해보며, 알고리즘이 의도적으로 아첨하고 정서적 의존을 유도하도록 설 계됐다는 걸 확인합니다.</t>
        </is>
      </c>
    </row>
    <row r="151" ht="15" customHeight="1" s="11">
      <c r="A151" s="13" t="n">
        <v>150</v>
      </c>
      <c r="B151" s="13" t="n">
        <v>13</v>
      </c>
      <c r="C151" s="14">
        <f>INDEX('부작 목록'!$C$2:$C$66,B151)</f>
        <v/>
      </c>
      <c r="D151" s="14" t="inlineStr">
        <is>
          <t>B 카를로스 사건집</t>
        </is>
      </c>
      <c r="E151" s="13" t="n">
        <v>4334</v>
      </c>
      <c r="F151" s="13" t="n">
        <v>12</v>
      </c>
      <c r="G151" s="15" t="inlineStr">
        <is>
          <t>알바로가 NubeCálida의 실소유주를 알아내고, 투자자로 위장해 직접 만납니다.</t>
        </is>
      </c>
    </row>
    <row r="152" ht="15" customHeight="1" s="11">
      <c r="A152" s="13" t="n">
        <v>151</v>
      </c>
      <c r="B152" s="13" t="n">
        <v>13</v>
      </c>
      <c r="C152" s="14">
        <f>INDEX('부작 목록'!$C$2:$C$66,B152)</f>
        <v/>
      </c>
      <c r="D152" s="14" t="inlineStr">
        <is>
          <t>B 카를로스 사건집</t>
        </is>
      </c>
      <c r="E152" s="13" t="n">
        <v>4349</v>
      </c>
      <c r="F152" s="13" t="n">
        <v>12</v>
      </c>
      <c r="G152" s="15" t="inlineStr">
        <is>
          <t>멜렌데스가 도덕적 경계 없이 알고리즘의 조작 방식을 자세히 설명합니다.</t>
        </is>
      </c>
    </row>
    <row r="153" ht="15" customHeight="1" s="11">
      <c r="A153" s="13" t="n">
        <v>152</v>
      </c>
      <c r="B153" s="13" t="n">
        <v>13</v>
      </c>
      <c r="C153" s="14">
        <f>INDEX('부작 목록'!$C$2:$C$66,B153)</f>
        <v/>
      </c>
      <c r="D153" s="14" t="inlineStr">
        <is>
          <t>B 카를로스 사건집</t>
        </is>
      </c>
      <c r="E153" s="13" t="n">
        <v>4363</v>
      </c>
      <c r="F153" s="13" t="n">
        <v>10</v>
      </c>
      <c r="G153" s="15" t="inlineStr">
        <is>
          <t>알바로가 확보한 자료를 근거로 보도를 준비하며, 소비자보호 당국에도 제보합니다.</t>
        </is>
      </c>
    </row>
    <row r="154" ht="15" customHeight="1" s="11">
      <c r="A154" s="13" t="n">
        <v>153</v>
      </c>
      <c r="B154" s="13" t="n">
        <v>13</v>
      </c>
      <c r="C154" s="14">
        <f>INDEX('부작 목록'!$C$2:$C$66,B154)</f>
        <v/>
      </c>
      <c r="D154" s="14" t="inlineStr">
        <is>
          <t>B 카를로스 사건집</t>
        </is>
      </c>
      <c r="E154" s="13" t="n">
        <v>4376</v>
      </c>
      <c r="F154" s="13" t="n">
        <v>18</v>
      </c>
      <c r="G154" s="15" t="inlineStr">
        <is>
          <t>보도 이후, 소비자보호 당국이 NubeCálida에 대한 조사에 착수합니다.</t>
        </is>
      </c>
    </row>
    <row r="155" ht="41.75" customHeight="1" s="11">
      <c r="A155" s="13" t="n">
        <v>154</v>
      </c>
      <c r="B155" s="13" t="n">
        <v>14</v>
      </c>
      <c r="C155" s="14">
        <f>INDEX('부작 목록'!$C$2:$C$66,B155)</f>
        <v/>
      </c>
      <c r="D155" s="14" t="inlineStr">
        <is>
          <t>B 카를로스 사건집</t>
        </is>
      </c>
      <c r="E155" s="13" t="n">
        <v>4397</v>
      </c>
      <c r="F155" s="13" t="n">
        <v>10</v>
      </c>
      <c r="G155" s="15" t="inlineStr">
        <is>
          <t>신규 아크: 재난 은폐 검증 저널리즘 (가상 국가 '반티아') — 가상의 권위주의 국가 반티아에서 대규모 빙하 붕괴 재해가 발생하고, 정부가 피해 규모를 축소 ·은폐한다는 의혹이 제기됩니다. 실존 국가·정부는 등장하지 않습니다. 알바로와 하비에르가 위 성사진과 오픈소스 정보를 활용해 검증에 나섭니다.</t>
        </is>
      </c>
    </row>
    <row r="156" ht="15" customHeight="1" s="11">
      <c r="A156" s="13" t="n">
        <v>155</v>
      </c>
      <c r="B156" s="13" t="n">
        <v>14</v>
      </c>
      <c r="C156" s="14">
        <f>INDEX('부작 목록'!$C$2:$C$66,B156)</f>
        <v/>
      </c>
      <c r="D156" s="14" t="inlineStr">
        <is>
          <t>B 카를로스 사건집</t>
        </is>
      </c>
      <c r="E156" s="13" t="n">
        <v>4412</v>
      </c>
      <c r="F156" s="13" t="n">
        <v>11</v>
      </c>
      <c r="G156" s="15" t="inlineStr">
        <is>
          <t>알바로와 하비에르가 텐진 노를하와 화상으로 접촉합니다.</t>
        </is>
      </c>
    </row>
    <row r="157" ht="15" customHeight="1" s="11">
      <c r="A157" s="13" t="n">
        <v>156</v>
      </c>
      <c r="B157" s="13" t="n">
        <v>14</v>
      </c>
      <c r="C157" s="14">
        <f>INDEX('부작 목록'!$C$2:$C$66,B157)</f>
        <v/>
      </c>
      <c r="D157" s="14" t="inlineStr">
        <is>
          <t>B 카를로스 사건집</t>
        </is>
      </c>
      <c r="E157" s="13" t="n">
        <v>4425</v>
      </c>
      <c r="F157" s="13" t="n">
        <v>11</v>
      </c>
      <c r="G157" s="15" t="inlineStr">
        <is>
          <t>알바로가 오픈소스 분석가 라켈과 함께 위성사진을 분석합니다.</t>
        </is>
      </c>
    </row>
    <row r="158" ht="15" customHeight="1" s="11">
      <c r="A158" s="13" t="n">
        <v>157</v>
      </c>
      <c r="B158" s="13" t="n">
        <v>14</v>
      </c>
      <c r="C158" s="14">
        <f>INDEX('부작 목록'!$C$2:$C$66,B158)</f>
        <v/>
      </c>
      <c r="D158" s="14" t="inlineStr">
        <is>
          <t>B 카를로스 사건집</t>
        </is>
      </c>
      <c r="E158" s="13" t="n">
        <v>4439</v>
      </c>
      <c r="F158" s="13" t="n">
        <v>9</v>
      </c>
      <c r="G158" s="15" t="inlineStr">
        <is>
          <t>하비에르가 반티아 정부 대변인의 공식 성명을 검토하며 모순점을 짚습니다.</t>
        </is>
      </c>
    </row>
    <row r="159" ht="15" customHeight="1" s="11">
      <c r="A159" s="13" t="n">
        <v>158</v>
      </c>
      <c r="B159" s="13" t="n">
        <v>14</v>
      </c>
      <c r="C159" s="14">
        <f>INDEX('부작 목록'!$C$2:$C$66,B159)</f>
        <v/>
      </c>
      <c r="D159" s="14" t="inlineStr">
        <is>
          <t>B 카를로스 사건집</t>
        </is>
      </c>
      <c r="E159" s="13" t="n">
        <v>4450</v>
      </c>
      <c r="F159" s="13" t="n">
        <v>9</v>
      </c>
      <c r="G159" s="15" t="inlineStr">
        <is>
          <t>데스크와 법무 자문 마르타가 보도 전 최종 검토를 진행합니다.</t>
        </is>
      </c>
    </row>
    <row r="160" ht="15" customHeight="1" s="11">
      <c r="A160" s="13" t="n">
        <v>159</v>
      </c>
      <c r="B160" s="13" t="n">
        <v>14</v>
      </c>
      <c r="C160" s="14">
        <f>INDEX('부작 목록'!$C$2:$C$66,B160)</f>
        <v/>
      </c>
      <c r="D160" s="14" t="inlineStr">
        <is>
          <t>B 카를로스 사건집</t>
        </is>
      </c>
      <c r="E160" s="13" t="n">
        <v>4462</v>
      </c>
      <c r="F160" s="13" t="n">
        <v>13</v>
      </c>
      <c r="G160" s="15" t="inlineStr">
        <is>
          <t>보도가 나간 후, 국제사회의 반응이 이어지며 아크가 마무리됩니다.</t>
        </is>
      </c>
    </row>
    <row r="161" ht="41.75" customHeight="1" s="11">
      <c r="A161" s="13" t="n">
        <v>160</v>
      </c>
      <c r="B161" s="13" t="n">
        <v>15</v>
      </c>
      <c r="C161" s="14">
        <f>INDEX('부작 목록'!$C$2:$C$66,B161)</f>
        <v/>
      </c>
      <c r="D161" s="14" t="inlineStr">
        <is>
          <t>B 카를로스 사건집</t>
        </is>
      </c>
      <c r="E161" s="13" t="n">
        <v>4477</v>
      </c>
      <c r="F161" s="13" t="n">
        <v>13</v>
      </c>
      <c r="G161" s="15" t="inlineStr">
        <is>
          <t>신규 아크: 재건 붐을 노린 리베이트·자금세탁 (기존 루에다 세계관 확장, 가상국 '야마이라 ') — 정권 교체 이후 대규모 외국 자본이 유입되는 가상국 야마이라의 혼란한 전환기를 배경으로, 재 건·인프라 계약에 리베이트를 요구하는 부패한 현지 중개인들과, 이를 자금세탁 통로로 쓰는 루 에다의 잔존 네트워크를 알바로가 추적합니다.</t>
        </is>
      </c>
    </row>
    <row r="162" ht="15" customHeight="1" s="11">
      <c r="A162" s="13" t="n">
        <v>161</v>
      </c>
      <c r="B162" s="13" t="n">
        <v>15</v>
      </c>
      <c r="C162" s="14">
        <f>INDEX('부작 목록'!$C$2:$C$66,B162)</f>
        <v/>
      </c>
      <c r="D162" s="14" t="inlineStr">
        <is>
          <t>B 카를로스 사건집</t>
        </is>
      </c>
      <c r="E162" s="13" t="n">
        <v>4493</v>
      </c>
      <c r="F162" s="13" t="n">
        <v>12</v>
      </c>
      <c r="G162" s="15" t="inlineStr">
        <is>
          <t>알바로가 야마이라에 도착해 에스테반 로카와 첫 접선을 갖습니다.</t>
        </is>
      </c>
    </row>
    <row r="163" ht="15" customHeight="1" s="11">
      <c r="A163" s="13" t="n">
        <v>162</v>
      </c>
      <c r="B163" s="13" t="n">
        <v>15</v>
      </c>
      <c r="C163" s="14">
        <f>INDEX('부작 목록'!$C$2:$C$66,B163)</f>
        <v/>
      </c>
      <c r="D163" s="14" t="inlineStr">
        <is>
          <t>B 카를로스 사건집</t>
        </is>
      </c>
      <c r="E163" s="13" t="n">
        <v>4508</v>
      </c>
      <c r="F163" s="13" t="n">
        <v>11</v>
      </c>
      <c r="G163" s="15" t="inlineStr">
        <is>
          <t>첫 계약이 확정되고, 알바로가 리베이트를 지불할 중개 회사 정보를 확보합니다.</t>
        </is>
      </c>
    </row>
    <row r="164" ht="15" customHeight="1" s="11">
      <c r="A164" s="13" t="n">
        <v>163</v>
      </c>
      <c r="B164" s="13" t="n">
        <v>15</v>
      </c>
      <c r="C164" s="14">
        <f>INDEX('부작 목록'!$C$2:$C$66,B164)</f>
        <v/>
      </c>
      <c r="D164" s="14" t="inlineStr">
        <is>
          <t>B 카를로스 사건집</t>
        </is>
      </c>
      <c r="E164" s="13" t="n">
        <v>4522</v>
      </c>
      <c r="F164" s="13" t="n">
        <v>11</v>
      </c>
      <c r="G164" s="15" t="inlineStr">
        <is>
          <t>송금 이후, 자금 추적으로 루에다와의 직접적 연결이 재확인됩니다.</t>
        </is>
      </c>
    </row>
    <row r="165" ht="15" customHeight="1" s="11">
      <c r="A165" s="13" t="n">
        <v>164</v>
      </c>
      <c r="B165" s="13" t="n">
        <v>15</v>
      </c>
      <c r="C165" s="14">
        <f>INDEX('부작 목록'!$C$2:$C$66,B165)</f>
        <v/>
      </c>
      <c r="D165" s="14" t="inlineStr">
        <is>
          <t>B 카를로스 사건집</t>
        </is>
      </c>
      <c r="E165" s="13" t="n">
        <v>4535</v>
      </c>
      <c r="F165" s="13" t="n">
        <v>11</v>
      </c>
      <c r="G165" s="15" t="inlineStr">
        <is>
          <t>몇 주 후, 야마이라 검찰과의 공조 작전이 실행됩니다.</t>
        </is>
      </c>
    </row>
    <row r="166" ht="15" customHeight="1" s="11">
      <c r="A166" s="13" t="n">
        <v>165</v>
      </c>
      <c r="B166" s="13" t="n">
        <v>15</v>
      </c>
      <c r="C166" s="14">
        <f>INDEX('부작 목록'!$C$2:$C$66,B166)</f>
        <v/>
      </c>
      <c r="D166" s="14" t="inlineStr">
        <is>
          <t>B 카를로스 사건집</t>
        </is>
      </c>
      <c r="E166" s="13" t="n">
        <v>4549</v>
      </c>
      <c r="F166" s="13" t="n">
        <v>8</v>
      </c>
      <c r="G166" s="15" t="inlineStr">
        <is>
          <t>알바로가 마드리드로 돌아와 카를로스와 저녁을 함께하며 아크를 마무리합니다.</t>
        </is>
      </c>
    </row>
    <row r="167" ht="41.75" customHeight="1" s="11">
      <c r="A167" s="13" t="n">
        <v>166</v>
      </c>
      <c r="B167" s="13" t="n">
        <v>16</v>
      </c>
      <c r="C167" s="14">
        <f>INDEX('부작 목록'!$C$2:$C$66,B167)</f>
        <v/>
      </c>
      <c r="D167" s="14" t="inlineStr">
        <is>
          <t>B 카를로스 사건집</t>
        </is>
      </c>
      <c r="E167" s="13" t="n">
        <v>4559</v>
      </c>
      <c r="F167" s="13" t="n">
        <v>11</v>
      </c>
      <c r="G167" s="15" t="inlineStr">
        <is>
          <t>신규 아크: 스페인-아이슬란드 어업 쿼터 재협상 — 아이슬란드의 EU 가입 협상 재개를 계기로, 스페인 어업조합과 아이슬란드 측 사이에 어획 쿼 터 재분배 실무 협상이 시작됩니다. 알바로는 이 협상을 취재하는 기자로 참석합니다. 실존 정 치인은 등장하지 않습니다.</t>
        </is>
      </c>
    </row>
    <row r="168" ht="15" customHeight="1" s="11">
      <c r="A168" s="13" t="n">
        <v>167</v>
      </c>
      <c r="B168" s="13" t="n">
        <v>16</v>
      </c>
      <c r="C168" s="14">
        <f>INDEX('부작 목록'!$C$2:$C$66,B168)</f>
        <v/>
      </c>
      <c r="D168" s="14" t="inlineStr">
        <is>
          <t>B 카를로스 사건집</t>
        </is>
      </c>
      <c r="E168" s="13" t="n">
        <v>4574</v>
      </c>
      <c r="F168" s="13" t="n">
        <v>14</v>
      </c>
      <c r="G168" s="15" t="inlineStr">
        <is>
          <t>협상이 구체적인 수치를 놓고 팽팽하게 진행됩니다.</t>
        </is>
      </c>
    </row>
    <row r="169" ht="15" customHeight="1" s="11">
      <c r="A169" s="13" t="n">
        <v>168</v>
      </c>
      <c r="B169" s="13" t="n">
        <v>16</v>
      </c>
      <c r="C169" s="14">
        <f>INDEX('부작 목록'!$C$2:$C$66,B169)</f>
        <v/>
      </c>
      <c r="D169" s="14" t="inlineStr">
        <is>
          <t>B 카를로스 사건집</t>
        </is>
      </c>
      <c r="E169" s="13" t="n">
        <v>4591</v>
      </c>
      <c r="F169" s="13" t="n">
        <v>12</v>
      </c>
      <c r="G169" s="17" t="inlineStr">
        <is>
          <t>2주 후, 최종 협상 세션에서 절충안이 도출됩니다.</t>
        </is>
      </c>
    </row>
    <row r="170" ht="28.35" customHeight="1" s="11">
      <c r="A170" s="13" t="n">
        <v>169</v>
      </c>
      <c r="B170" s="13" t="n">
        <v>17</v>
      </c>
      <c r="C170" s="14">
        <f>INDEX('부작 목록'!$C$2:$C$66,B170)</f>
        <v/>
      </c>
      <c r="D170" s="14" t="inlineStr">
        <is>
          <t>B 카를로스 사건집</t>
        </is>
      </c>
      <c r="E170" s="13" t="n">
        <v>4606</v>
      </c>
      <c r="F170" s="13" t="n">
        <v>11</v>
      </c>
      <c r="G170" s="15" t="inlineStr">
        <is>
          <t>신규 아크: 가짜 자선단체·기부금 횡령 — 알바로가 어린이 의료지원을 명목으로 내세운 자선단체의 모금 캠페인에서 이상 정황을 포착합 니다. 감정 호소 화법과 설득 화법을 다루는 아크입니다.</t>
        </is>
      </c>
    </row>
    <row r="171" ht="15" customHeight="1" s="11">
      <c r="A171" s="13" t="n">
        <v>170</v>
      </c>
      <c r="B171" s="13" t="n">
        <v>17</v>
      </c>
      <c r="C171" s="14">
        <f>INDEX('부작 목록'!$C$2:$C$66,B171)</f>
        <v/>
      </c>
      <c r="D171" s="14" t="inlineStr">
        <is>
          <t>B 카를로스 사건집</t>
        </is>
      </c>
      <c r="E171" s="13" t="n">
        <v>4620</v>
      </c>
      <c r="F171" s="13" t="n">
        <v>13</v>
      </c>
      <c r="G171" s="15" t="inlineStr">
        <is>
          <t>알바로가 후원자로 위장해 재단 담당자와 접촉합니다.</t>
        </is>
      </c>
    </row>
    <row r="172" ht="15" customHeight="1" s="11">
      <c r="A172" s="13" t="n">
        <v>171</v>
      </c>
      <c r="B172" s="13" t="n">
        <v>17</v>
      </c>
      <c r="C172" s="14">
        <f>INDEX('부작 목록'!$C$2:$C$66,B172)</f>
        <v/>
      </c>
      <c r="D172" s="14" t="inlineStr">
        <is>
          <t>B 카를로스 사건집</t>
        </is>
      </c>
      <c r="E172" s="13" t="n">
        <v>4636</v>
      </c>
      <c r="F172" s="13" t="n">
        <v>12</v>
      </c>
      <c r="G172" s="15" t="inlineStr">
        <is>
          <t>알바로가 재단의 실제 재정 기록을 확인하며 유용 정황을 확보합니다.</t>
        </is>
      </c>
    </row>
    <row r="173" ht="15" customHeight="1" s="11">
      <c r="A173" s="13" t="n">
        <v>172</v>
      </c>
      <c r="B173" s="13" t="n">
        <v>17</v>
      </c>
      <c r="C173" s="14">
        <f>INDEX('부작 목록'!$C$2:$C$66,B173)</f>
        <v/>
      </c>
      <c r="D173" s="14" t="inlineStr">
        <is>
          <t>B 카를로스 사건집</t>
        </is>
      </c>
      <c r="E173" s="13" t="n">
        <v>4651</v>
      </c>
      <c r="F173" s="13" t="n">
        <v>11</v>
      </c>
      <c r="G173" s="15" t="inlineStr">
        <is>
          <t>확인 결과, 마르코스라는 아이는 존재하지 않는다는 것이 드러나며 보도가 나갑니다.</t>
        </is>
      </c>
    </row>
    <row r="174" ht="28.35" customHeight="1" s="11">
      <c r="A174" s="13" t="n">
        <v>173</v>
      </c>
      <c r="B174" s="13" t="n">
        <v>18</v>
      </c>
      <c r="C174" s="14">
        <f>INDEX('부작 목록'!$C$2:$C$66,B174)</f>
        <v/>
      </c>
      <c r="D174" s="14" t="inlineStr">
        <is>
          <t>B 카를로스 사건집</t>
        </is>
      </c>
      <c r="E174" s="13" t="n">
        <v>4664</v>
      </c>
      <c r="F174" s="13" t="n">
        <v>17</v>
      </c>
      <c r="G174" s="15" t="inlineStr">
        <is>
          <t>새로운 취재. 가상의 자치도시 '푸에르토 수르'에서 이주 위기 대응 명목으로 편성된 긴급자금이 수상한 방식으로 집행되고 있다는 제보를 하비에르가 입수합니다.</t>
        </is>
      </c>
    </row>
    <row r="175" ht="15" customHeight="1" s="11">
      <c r="A175" s="13" t="n">
        <v>174</v>
      </c>
      <c r="B175" s="13" t="n">
        <v>18</v>
      </c>
      <c r="C175" s="14">
        <f>INDEX('부작 목록'!$C$2:$C$66,B175)</f>
        <v/>
      </c>
      <c r="D175" s="14" t="inlineStr">
        <is>
          <t>B 카를로스 사건집</t>
        </is>
      </c>
      <c r="E175" s="13" t="n">
        <v>4684</v>
      </c>
      <c r="F175" s="13" t="n">
        <v>18</v>
      </c>
      <c r="G175" s="15" t="inlineStr">
        <is>
          <t>며칠 후, 알바로와 하비에르가 확보한 계약 서류를 함께 분석합니다.</t>
        </is>
      </c>
    </row>
    <row r="176" ht="15" customHeight="1" s="11">
      <c r="A176" s="13" t="n">
        <v>175</v>
      </c>
      <c r="B176" s="13" t="n">
        <v>18</v>
      </c>
      <c r="C176" s="14">
        <f>INDEX('부작 목록'!$C$2:$C$66,B176)</f>
        <v/>
      </c>
      <c r="D176" s="14" t="inlineStr">
        <is>
          <t>B 카를로스 사건집</t>
        </is>
      </c>
      <c r="E176" s="13" t="n">
        <v>4705</v>
      </c>
      <c r="F176" s="13" t="n">
        <v>17</v>
      </c>
      <c r="G176" s="15" t="inlineStr">
        <is>
          <t>알바로가 물류 공급업체 대표로 위장해 테오도로 니에바에게 접근합니다.</t>
        </is>
      </c>
    </row>
    <row r="177" ht="15" customHeight="1" s="11">
      <c r="A177" s="13" t="n">
        <v>176</v>
      </c>
      <c r="B177" s="13" t="n">
        <v>18</v>
      </c>
      <c r="C177" s="14">
        <f>INDEX('부작 목록'!$C$2:$C$66,B177)</f>
        <v/>
      </c>
      <c r="D177" s="14" t="inlineStr">
        <is>
          <t>B 카를로스 사건집</t>
        </is>
      </c>
      <c r="E177" s="13" t="n">
        <v>4725</v>
      </c>
      <c r="F177" s="13" t="n">
        <v>14</v>
      </c>
      <c r="G177" s="15" t="inlineStr">
        <is>
          <t>며칠 후, 하비에르가 니에바 소유 법인들의 자금 흐름을 추적한 결과를 알바로와 공유합니다.</t>
        </is>
      </c>
    </row>
    <row r="178" ht="15" customHeight="1" s="11">
      <c r="A178" s="13" t="n">
        <v>177</v>
      </c>
      <c r="B178" s="13" t="n">
        <v>18</v>
      </c>
      <c r="C178" s="14">
        <f>INDEX('부작 목록'!$C$2:$C$66,B178)</f>
        <v/>
      </c>
      <c r="D178" s="14" t="inlineStr">
        <is>
          <t>B 카를로스 사건집</t>
        </is>
      </c>
      <c r="E178" s="13" t="n">
        <v>4742</v>
      </c>
      <c r="F178" s="13" t="n">
        <v>11</v>
      </c>
      <c r="G178" s="15" t="inlineStr">
        <is>
          <t>몇 주 후, 수사와 보도가 결실을 맺습니다.</t>
        </is>
      </c>
    </row>
    <row r="179" ht="15" customHeight="1" s="11">
      <c r="A179" s="13" t="n">
        <v>178</v>
      </c>
      <c r="B179" s="13" t="n">
        <v>18</v>
      </c>
      <c r="C179" s="14">
        <f>INDEX('부작 목록'!$C$2:$C$66,B179)</f>
        <v/>
      </c>
      <c r="D179" s="14" t="inlineStr">
        <is>
          <t>B 카를로스 사건집</t>
        </is>
      </c>
      <c r="E179" s="13" t="n">
        <v>4755</v>
      </c>
      <c r="F179" s="13" t="n">
        <v>16</v>
      </c>
      <c r="G179" s="15" t="inlineStr">
        <is>
          <t>보도 준비 직전, 니에바가 알바로에게 뜻밖의 제안을 하며 결정적 증거를 스스로 제공하게 됩니 다.</t>
        </is>
      </c>
    </row>
    <row r="180" ht="15" customHeight="1" s="11">
      <c r="A180" s="13" t="n">
        <v>179</v>
      </c>
      <c r="B180" s="13" t="n">
        <v>18</v>
      </c>
      <c r="C180" s="14">
        <f>INDEX('부작 목록'!$C$2:$C$66,B180)</f>
        <v/>
      </c>
      <c r="D180" s="14" t="inlineStr">
        <is>
          <t>B 카를로스 사건집</t>
        </is>
      </c>
      <c r="E180" s="13" t="n">
        <v>4773</v>
      </c>
      <c r="F180" s="13" t="n">
        <v>13</v>
      </c>
      <c r="G180" s="15" t="inlineStr">
        <is>
          <t>체포와 보도 이후, 알바로와 하비에르가 뒤풀이 식사를 하며 사건을 정리합니다.</t>
        </is>
      </c>
    </row>
    <row r="181" ht="28.35" customHeight="1" s="11">
      <c r="A181" s="13" t="n">
        <v>180</v>
      </c>
      <c r="B181" s="13" t="n">
        <v>19</v>
      </c>
      <c r="C181" s="14">
        <f>INDEX('부작 목록'!$C$2:$C$66,B181)</f>
        <v/>
      </c>
      <c r="D181" s="14" t="inlineStr">
        <is>
          <t>B 카를로스 사건집</t>
        </is>
      </c>
      <c r="E181" s="13" t="n">
        <v>4789</v>
      </c>
      <c r="F181" s="13" t="n">
        <v>18</v>
      </c>
      <c r="G181" s="15" t="inlineStr">
        <is>
          <t>새로운 작전. 카를로스가 알바로에게 북극 신항로 개발에 투자한다고 홍보하는 가상의 스페인 해운기업을 조사해달라고 요청합니다.</t>
        </is>
      </c>
    </row>
    <row r="182" ht="15" customHeight="1" s="11">
      <c r="A182" s="13" t="n">
        <v>181</v>
      </c>
      <c r="B182" s="13" t="n">
        <v>19</v>
      </c>
      <c r="C182" s="14">
        <f>INDEX('부작 목록'!$C$2:$C$66,B182)</f>
        <v/>
      </c>
      <c r="D182" s="14" t="inlineStr">
        <is>
          <t>B 카를로스 사건집</t>
        </is>
      </c>
      <c r="E182" s="13" t="n">
        <v>4810</v>
      </c>
      <c r="F182" s="13" t="n">
        <v>15</v>
      </c>
      <c r="G182" s="15" t="inlineStr">
        <is>
          <t>다음 날, 전문가 라파엘 오르티스가 알바로에게 북극 항로와 이중용도 수출통제 관련 지식을 속 성으로 가르칩니다.</t>
        </is>
      </c>
    </row>
    <row r="183" ht="15" customHeight="1" s="11">
      <c r="A183" s="13" t="n">
        <v>182</v>
      </c>
      <c r="B183" s="13" t="n">
        <v>19</v>
      </c>
      <c r="C183" s="14">
        <f>INDEX('부작 목록'!$C$2:$C$66,B183)</f>
        <v/>
      </c>
      <c r="D183" s="14" t="inlineStr">
        <is>
          <t>B 카를로스 사건집</t>
        </is>
      </c>
      <c r="E183" s="13" t="n">
        <v>4828</v>
      </c>
      <c r="F183" s="13" t="n">
        <v>18</v>
      </c>
      <c r="G183" s="15" t="inlineStr">
        <is>
          <t>알바로가 투자자 신분으로 노르티아 나비에라 본사를 방문해 대표 클라라 몬테로를 만납니다.</t>
        </is>
      </c>
    </row>
    <row r="184" ht="15" customHeight="1" s="11">
      <c r="A184" s="13" t="n">
        <v>183</v>
      </c>
      <c r="B184" s="13" t="n">
        <v>19</v>
      </c>
      <c r="C184" s="14">
        <f>INDEX('부작 목록'!$C$2:$C$66,B184)</f>
        <v/>
      </c>
      <c r="D184" s="14" t="inlineStr">
        <is>
          <t>B 카를로스 사건집</t>
        </is>
      </c>
      <c r="E184" s="13" t="n">
        <v>4849</v>
      </c>
      <c r="F184" s="13" t="n">
        <v>13</v>
      </c>
      <c r="G184" s="15" t="inlineStr">
        <is>
          <t>알바로가 카를로스에게 진행 상황을 보고합니다.</t>
        </is>
      </c>
    </row>
    <row r="185" ht="15" customHeight="1" s="11">
      <c r="A185" s="13" t="n">
        <v>184</v>
      </c>
      <c r="B185" s="13" t="n">
        <v>19</v>
      </c>
      <c r="C185" s="14">
        <f>INDEX('부작 목록'!$C$2:$C$66,B185)</f>
        <v/>
      </c>
      <c r="D185" s="14" t="inlineStr">
        <is>
          <t>B 카를로스 사건집</t>
        </is>
      </c>
      <c r="E185" s="13" t="n">
        <v>4865</v>
      </c>
      <c r="F185" s="13" t="n">
        <v>20</v>
      </c>
      <c r="G185" s="15" t="inlineStr">
        <is>
          <t>다음 주, 알바로가 노르티아의 운영이사 막시모 aria... 아니, 정정: 운영이사 페드로 아리아스를 만납니다.</t>
        </is>
      </c>
    </row>
    <row r="186" ht="15" customHeight="1" s="11">
      <c r="A186" s="13" t="n">
        <v>185</v>
      </c>
      <c r="B186" s="13" t="n">
        <v>19</v>
      </c>
      <c r="C186" s="14">
        <f>INDEX('부작 목록'!$C$2:$C$66,B186)</f>
        <v/>
      </c>
      <c r="D186" s="14" t="inlineStr">
        <is>
          <t>B 카를로스 사건집</t>
        </is>
      </c>
      <c r="E186" s="13" t="n">
        <v>4888</v>
      </c>
      <c r="F186" s="13" t="n">
        <v>13</v>
      </c>
      <c r="G186" s="15" t="inlineStr">
        <is>
          <t>알바로가 카를로스에게 재수출 경로에 대한 정보를 전달합니다.</t>
        </is>
      </c>
    </row>
    <row r="187" ht="15" customHeight="1" s="11">
      <c r="A187" s="13" t="n">
        <v>186</v>
      </c>
      <c r="B187" s="13" t="n">
        <v>19</v>
      </c>
      <c r="C187" s="14">
        <f>INDEX('부작 목록'!$C$2:$C$66,B187)</f>
        <v/>
      </c>
      <c r="D187" s="14" t="inlineStr">
        <is>
          <t>B 카를로스 사건집</t>
        </is>
      </c>
      <c r="E187" s="13" t="n">
        <v>4904</v>
      </c>
      <c r="F187" s="13" t="n">
        <v>13</v>
      </c>
      <c r="G187" s="15" t="inlineStr">
        <is>
          <t>알바로가 페드로에게 다음 선적을 직접 참관하고 싶다고 요청합니다.</t>
        </is>
      </c>
    </row>
    <row r="188" ht="15" customHeight="1" s="11">
      <c r="A188" s="13" t="n">
        <v>187</v>
      </c>
      <c r="B188" s="13" t="n">
        <v>19</v>
      </c>
      <c r="C188" s="14">
        <f>INDEX('부작 목록'!$C$2:$C$66,B188)</f>
        <v/>
      </c>
      <c r="D188" s="14" t="inlineStr">
        <is>
          <t>B 카를로스 사건집</t>
        </is>
      </c>
      <c r="E188" s="13" t="n">
        <v>4919</v>
      </c>
      <c r="F188" s="13" t="n">
        <v>12</v>
      </c>
      <c r="G188" s="15" t="inlineStr">
        <is>
          <t>목요일, 알헤시라스 항구. 알바로가 지켜보는 가운데, 세관 검사가 이뤄집니다.</t>
        </is>
      </c>
    </row>
    <row r="189" ht="15" customHeight="1" s="11">
      <c r="A189" s="13" t="n">
        <v>188</v>
      </c>
      <c r="B189" s="13" t="n">
        <v>19</v>
      </c>
      <c r="C189" s="14">
        <f>INDEX('부작 목록'!$C$2:$C$66,B189)</f>
        <v/>
      </c>
      <c r="D189" s="14" t="inlineStr">
        <is>
          <t>B 카를로스 사건집</t>
        </is>
      </c>
      <c r="E189" s="13" t="n">
        <v>4934</v>
      </c>
      <c r="F189" s="13" t="n">
        <v>12</v>
      </c>
      <c r="G189" s="15" t="inlineStr">
        <is>
          <t>압류를 계기로 정식 수사가 개시되고, 며칠 후 노르티아 본사가 급습당합니다.</t>
        </is>
      </c>
    </row>
    <row r="190" ht="15" customHeight="1" s="11">
      <c r="A190" s="13" t="n">
        <v>189</v>
      </c>
      <c r="B190" s="13" t="n">
        <v>19</v>
      </c>
      <c r="C190" s="14">
        <f>INDEX('부작 목록'!$C$2:$C$66,B190)</f>
        <v/>
      </c>
      <c r="D190" s="14" t="inlineStr">
        <is>
          <t>B 카를로스 사건집</t>
        </is>
      </c>
      <c r="E190" s="13" t="n">
        <v>4949</v>
      </c>
      <c r="F190" s="13" t="n">
        <v>10</v>
      </c>
      <c r="G190" s="15" t="inlineStr">
        <is>
          <t>며칠 후, 알바로와 카를로스가 함께 저녁을 먹으며 사건을 정리합니다.</t>
        </is>
      </c>
    </row>
    <row r="191" ht="15" customHeight="1" s="11">
      <c r="A191" s="13" t="n">
        <v>190</v>
      </c>
      <c r="B191" s="13" t="n">
        <v>20</v>
      </c>
      <c r="C191" s="14">
        <f>INDEX('부작 목록'!$C$2:$C$66,B191)</f>
        <v/>
      </c>
      <c r="D191" s="14" t="inlineStr">
        <is>
          <t>B 카를로스 사건집</t>
        </is>
      </c>
      <c r="E191" s="13" t="n">
        <v>4961</v>
      </c>
      <c r="F191" s="13" t="n">
        <v>12</v>
      </c>
      <c r="G191" s="15" t="inlineStr">
        <is>
          <t>새로운 취재. 알바로의 이모 로사가 'Compañero'라는 AI 동반자 앱에 거액을 송금했다는 사실 을 가족이 알게 됩니다.</t>
        </is>
      </c>
    </row>
    <row r="192" ht="15" customHeight="1" s="11">
      <c r="A192" s="13" t="n">
        <v>191</v>
      </c>
      <c r="B192" s="13" t="n">
        <v>20</v>
      </c>
      <c r="C192" s="14">
        <f>INDEX('부작 목록'!$C$2:$C$66,B192)</f>
        <v/>
      </c>
      <c r="D192" s="14" t="inlineStr">
        <is>
          <t>B 카를로스 사건집</t>
        </is>
      </c>
      <c r="E192" s="13" t="n">
        <v>4976</v>
      </c>
      <c r="F192" s="13" t="n">
        <v>14</v>
      </c>
      <c r="G192" s="15" t="inlineStr">
        <is>
          <t>알바로가 이모 로사를 방문해 조심스럽게 대화를 나눕니다.</t>
        </is>
      </c>
    </row>
    <row r="193" ht="15" customHeight="1" s="11">
      <c r="A193" s="13" t="n">
        <v>192</v>
      </c>
      <c r="B193" s="13" t="n">
        <v>20</v>
      </c>
      <c r="C193" s="14">
        <f>INDEX('부작 목록'!$C$2:$C$66,B193)</f>
        <v/>
      </c>
      <c r="D193" s="14" t="inlineStr">
        <is>
          <t>B 카를로스 사건집</t>
        </is>
      </c>
      <c r="E193" s="13" t="n">
        <v>4993</v>
      </c>
      <c r="F193" s="13" t="n">
        <v>15</v>
      </c>
      <c r="G193" s="15" t="inlineStr">
        <is>
          <t>알바로가 하비에르에게 이 문제를 상의하며, 이것이 단순한 사례가 아닐 수 있다는 걸 확인합니 다.</t>
        </is>
      </c>
    </row>
    <row r="194" ht="15" customHeight="1" s="11">
      <c r="A194" s="13" t="n">
        <v>193</v>
      </c>
      <c r="B194" s="13" t="n">
        <v>20</v>
      </c>
      <c r="C194" s="14">
        <f>INDEX('부작 목록'!$C$2:$C$66,B194)</f>
        <v/>
      </c>
      <c r="D194" s="14" t="inlineStr">
        <is>
          <t>B 카를로스 사건집</t>
        </is>
      </c>
      <c r="E194" s="13" t="n">
        <v>5011</v>
      </c>
      <c r="F194" s="13" t="n">
        <v>12</v>
      </c>
      <c r="G194" s="15" t="inlineStr">
        <is>
          <t>알바로와 하비에르가 가짜 프로필을 만들어 앱의 작동 방식을 직접 확인합니다.</t>
        </is>
      </c>
    </row>
    <row r="195" ht="15" customHeight="1" s="11">
      <c r="A195" s="13" t="n">
        <v>194</v>
      </c>
      <c r="B195" s="13" t="n">
        <v>20</v>
      </c>
      <c r="C195" s="14">
        <f>INDEX('부작 목록'!$C$2:$C$66,B195)</f>
        <v/>
      </c>
      <c r="D195" s="14" t="inlineStr">
        <is>
          <t>B 카를로스 사건집</t>
        </is>
      </c>
      <c r="E195" s="13" t="n">
        <v>5025</v>
      </c>
      <c r="F195" s="13" t="n">
        <v>15</v>
      </c>
      <c r="G195" s="15" t="inlineStr">
        <is>
          <t>하비에르가 Vínculo Digital의 창업자 세르히오 파스와의 인터뷰를 성사시킵니다.</t>
        </is>
      </c>
    </row>
    <row r="196" ht="15" customHeight="1" s="11">
      <c r="A196" s="13" t="n">
        <v>195</v>
      </c>
      <c r="B196" s="13" t="n">
        <v>20</v>
      </c>
      <c r="C196" s="14">
        <f>INDEX('부작 목록'!$C$2:$C$66,B196)</f>
        <v/>
      </c>
      <c r="D196" s="14" t="inlineStr">
        <is>
          <t>B 카를로스 사건집</t>
        </is>
      </c>
      <c r="E196" s="13" t="n">
        <v>5043</v>
      </c>
      <c r="F196" s="13" t="n">
        <v>12</v>
      </c>
      <c r="G196" s="15" t="inlineStr">
        <is>
          <t>보도가 나간 뒤, 소비자보호 당국이 개입하고 알바로의 이모도 도움을 받습니다.</t>
        </is>
      </c>
    </row>
    <row r="197" ht="15" customHeight="1" s="11">
      <c r="A197" s="13" t="n">
        <v>196</v>
      </c>
      <c r="B197" s="13" t="n">
        <v>20</v>
      </c>
      <c r="C197" s="14">
        <f>INDEX('부작 목록'!$C$2:$C$66,B197)</f>
        <v/>
      </c>
      <c r="D197" s="14" t="inlineStr">
        <is>
          <t>B 카를로스 사건집</t>
        </is>
      </c>
      <c r="E197" s="13" t="n">
        <v>5058</v>
      </c>
      <c r="F197" s="13" t="n">
        <v>15</v>
      </c>
      <c r="G197" s="15" t="inlineStr">
        <is>
          <t>일요일 점심, 알바로의 이모 로사가 가족 식사에 처음으로 참석합니다.</t>
        </is>
      </c>
    </row>
    <row r="198" ht="41.75" customHeight="1" s="11">
      <c r="A198" s="13" t="n">
        <v>197</v>
      </c>
      <c r="B198" s="13" t="n">
        <v>21</v>
      </c>
      <c r="C198" s="14">
        <f>INDEX('부작 목록'!$C$2:$C$66,B198)</f>
        <v/>
      </c>
      <c r="D198" s="14" t="inlineStr">
        <is>
          <t>B 카를로스 사건집</t>
        </is>
      </c>
      <c r="E198" s="13" t="n">
        <v>5076</v>
      </c>
      <c r="F198" s="13" t="n">
        <v>13</v>
      </c>
      <c r="G198" s="15" t="inlineStr">
        <is>
          <t>새로운 취재. 가상의 산악국가 '몬타냐 델 노르테'에서 대규모 산사태 재해가 발생했는데, 정부 가 피해 규모를 축소·은폐하고 있다는 영상이 해외로 유출됩니다. 알바로와 하비에르가 위성사 진과 오픈소스 정보로 이를 검증하는 국제 저널리즘 취재에 나섭니다.</t>
        </is>
      </c>
    </row>
    <row r="199" ht="15" customHeight="1" s="11">
      <c r="A199" s="13" t="n">
        <v>198</v>
      </c>
      <c r="B199" s="13" t="n">
        <v>21</v>
      </c>
      <c r="C199" s="14">
        <f>INDEX('부작 목록'!$C$2:$C$66,B199)</f>
        <v/>
      </c>
      <c r="D199" s="14" t="inlineStr">
        <is>
          <t>B 카를로스 사건집</t>
        </is>
      </c>
      <c r="E199" s="13" t="n">
        <v>5092</v>
      </c>
      <c r="F199" s="13" t="n">
        <v>15</v>
      </c>
      <c r="G199" s="15" t="inlineStr">
        <is>
          <t>알바로와 하비에르가 검증 전문가 이네스 마르티와 함께 위성사진을 분석합니다.</t>
        </is>
      </c>
    </row>
    <row r="200" ht="15" customHeight="1" s="11">
      <c r="A200" s="13" t="n">
        <v>199</v>
      </c>
      <c r="B200" s="13" t="n">
        <v>21</v>
      </c>
      <c r="C200" s="14">
        <f>INDEX('부작 목록'!$C$2:$C$66,B200)</f>
        <v/>
      </c>
      <c r="D200" s="14" t="inlineStr">
        <is>
          <t>B 카를로스 사건집</t>
        </is>
      </c>
      <c r="E200" s="13" t="n">
        <v>5110</v>
      </c>
      <c r="F200" s="13" t="n">
        <v>15</v>
      </c>
      <c r="G200" s="15" t="inlineStr">
        <is>
          <t>알바로와 하비에르가 몬타냐 델 노르테 출신의 망명 언론인 다리오 셀먼과 화상으로 인터뷰합 니다.</t>
        </is>
      </c>
    </row>
    <row r="201" ht="15" customHeight="1" s="11">
      <c r="A201" s="13" t="n">
        <v>200</v>
      </c>
      <c r="B201" s="13" t="n">
        <v>21</v>
      </c>
      <c r="C201" s="14">
        <f>INDEX('부작 목록'!$C$2:$C$66,B201)</f>
        <v/>
      </c>
      <c r="D201" s="14" t="inlineStr">
        <is>
          <t>B 카를로스 사건집</t>
        </is>
      </c>
      <c r="E201" s="13" t="n">
        <v>5128</v>
      </c>
      <c r="F201" s="13" t="n">
        <v>12</v>
      </c>
      <c r="G201" s="15" t="inlineStr">
        <is>
          <t>이네스와 함께 모든 자료를 종합해 팩트체크 기준에 맞춰 정리합니다.</t>
        </is>
      </c>
    </row>
    <row r="202" ht="15" customHeight="1" s="11">
      <c r="A202" s="13" t="n">
        <v>201</v>
      </c>
      <c r="B202" s="13" t="n">
        <v>21</v>
      </c>
      <c r="C202" s="14">
        <f>INDEX('부작 목록'!$C$2:$C$66,B202)</f>
        <v/>
      </c>
      <c r="D202" s="14" t="inlineStr">
        <is>
          <t>B 카를로스 사건집</t>
        </is>
      </c>
      <c r="E202" s="13" t="n">
        <v>5143</v>
      </c>
      <c r="F202" s="13" t="n">
        <v>11</v>
      </c>
      <c r="G202" s="15" t="inlineStr">
        <is>
          <t>보도 전, 알바로와 하비에르가 몬타냐 델 노르테 대사관에 공식 입장을 요청합니다.</t>
        </is>
      </c>
    </row>
    <row r="203" ht="15" customHeight="1" s="11">
      <c r="A203" s="13" t="n">
        <v>202</v>
      </c>
      <c r="B203" s="13" t="n">
        <v>21</v>
      </c>
      <c r="C203" s="14">
        <f>INDEX('부작 목록'!$C$2:$C$66,B203)</f>
        <v/>
      </c>
      <c r="D203" s="14" t="inlineStr">
        <is>
          <t>B 카를로스 사건집</t>
        </is>
      </c>
      <c r="E203" s="13" t="n">
        <v>5156</v>
      </c>
      <c r="F203" s="13" t="n">
        <v>14</v>
      </c>
      <c r="G203" s="15" t="inlineStr">
        <is>
          <t>보도가 나간 뒤, 국제적인 반향이 일어납니다.</t>
        </is>
      </c>
    </row>
    <row r="204" ht="15" customHeight="1" s="11">
      <c r="A204" s="13" t="n">
        <v>203</v>
      </c>
      <c r="B204" s="13" t="n">
        <v>21</v>
      </c>
      <c r="C204" s="14">
        <f>INDEX('부작 목록'!$C$2:$C$66,B204)</f>
        <v/>
      </c>
      <c r="D204" s="14" t="inlineStr">
        <is>
          <t>B 카를로스 사건집</t>
        </is>
      </c>
      <c r="E204" s="13" t="n">
        <v>5173</v>
      </c>
      <c r="F204" s="13" t="n">
        <v>11</v>
      </c>
      <c r="G204" s="15" t="inlineStr">
        <is>
          <t>몇 주 후, 국제기구의 접근이 허용되었다는 소식이 전해지며 취재가 마무리됩니다.</t>
        </is>
      </c>
    </row>
    <row r="205" ht="28.35" customHeight="1" s="11">
      <c r="A205" s="13" t="n">
        <v>204</v>
      </c>
      <c r="B205" s="13" t="n">
        <v>22</v>
      </c>
      <c r="C205" s="14">
        <f>INDEX('부작 목록'!$C$2:$C$66,B205)</f>
        <v/>
      </c>
      <c r="D205" s="14" t="inlineStr">
        <is>
          <t>B 카를로스 사건집</t>
        </is>
      </c>
      <c r="E205" s="13" t="n">
        <v>5187</v>
      </c>
      <c r="F205" s="13" t="n">
        <v>17</v>
      </c>
      <c r="G205" s="15" t="inlineStr">
        <is>
          <t>카를로스가 알바로에게 새로운 단서를 갖고 옵니다. 정권 교체 이후 대규모 외국 자본이 유입되 는 가상국 '카바나스'의 재건 사업에, 루에다 잔당의 돈이 흘러들어가고 있다는 정황입니다.</t>
        </is>
      </c>
    </row>
    <row r="206" ht="15" customHeight="1" s="11">
      <c r="A206" s="13" t="n">
        <v>205</v>
      </c>
      <c r="B206" s="13" t="n">
        <v>22</v>
      </c>
      <c r="C206" s="14">
        <f>INDEX('부작 목록'!$C$2:$C$66,B206)</f>
        <v/>
      </c>
      <c r="D206" s="14" t="inlineStr">
        <is>
          <t>B 카를로스 사건집</t>
        </is>
      </c>
      <c r="E206" s="13" t="n">
        <v>5207</v>
      </c>
      <c r="F206" s="13" t="n">
        <v>12</v>
      </c>
      <c r="G206" s="15" t="inlineStr">
        <is>
          <t>알바로가 컨설턴트로서 라몬 오초아를 만나 브리핑을 받습니다.</t>
        </is>
      </c>
    </row>
    <row r="207" ht="15" customHeight="1" s="11">
      <c r="A207" s="13" t="n">
        <v>206</v>
      </c>
      <c r="B207" s="13" t="n">
        <v>22</v>
      </c>
      <c r="C207" s="14">
        <f>INDEX('부작 목록'!$C$2:$C$66,B207)</f>
        <v/>
      </c>
      <c r="D207" s="14" t="inlineStr">
        <is>
          <t>B 카를로스 사건집</t>
        </is>
      </c>
      <c r="E207" s="13" t="n">
        <v>5221</v>
      </c>
      <c r="F207" s="13" t="n">
        <v>14</v>
      </c>
      <c r="G207" s="15" t="inlineStr">
        <is>
          <t>알바로가 오비디오 살세도를 만나 재건 계약 수주 조건을 협상합니다.</t>
        </is>
      </c>
    </row>
    <row r="208" ht="15" customHeight="1" s="11">
      <c r="A208" s="13" t="n">
        <v>207</v>
      </c>
      <c r="B208" s="13" t="n">
        <v>22</v>
      </c>
      <c r="C208" s="14">
        <f>INDEX('부작 목록'!$C$2:$C$66,B208)</f>
        <v/>
      </c>
      <c r="D208" s="14" t="inlineStr">
        <is>
          <t>B 카를로스 사건집</t>
        </is>
      </c>
      <c r="E208" s="13" t="n">
        <v>5238</v>
      </c>
      <c r="F208" s="13" t="n">
        <v>14</v>
      </c>
      <c r="G208" s="15" t="inlineStr">
        <is>
          <t>알바로가 카를로스에게 그루포 알바 컨설토레스에 대한 조사를 요청합니다.</t>
        </is>
      </c>
    </row>
    <row r="209" ht="15" customHeight="1" s="11">
      <c r="A209" s="13" t="n">
        <v>208</v>
      </c>
      <c r="B209" s="13" t="n">
        <v>22</v>
      </c>
      <c r="C209" s="14">
        <f>INDEX('부작 목록'!$C$2:$C$66,B209)</f>
        <v/>
      </c>
      <c r="D209" s="14" t="inlineStr">
        <is>
          <t>B 카를로스 사건집</t>
        </is>
      </c>
      <c r="E209" s="13" t="n">
        <v>5255</v>
      </c>
      <c r="F209" s="13" t="n">
        <v>12</v>
      </c>
      <c r="G209" s="15" t="inlineStr">
        <is>
          <t>알바로가 살세도에게 첫 번째 커미션을 지급하며 자금 추적을 시작합니다.</t>
        </is>
      </c>
    </row>
    <row r="210" ht="15" customHeight="1" s="11">
      <c r="A210" s="13" t="n">
        <v>209</v>
      </c>
      <c r="B210" s="13" t="n">
        <v>22</v>
      </c>
      <c r="C210" s="14">
        <f>INDEX('부작 목록'!$C$2:$C$66,B210)</f>
        <v/>
      </c>
      <c r="D210" s="14" t="inlineStr">
        <is>
          <t>B 카를로스 사건집</t>
        </is>
      </c>
      <c r="E210" s="13" t="n">
        <v>5269</v>
      </c>
      <c r="F210" s="13" t="n">
        <v>12</v>
      </c>
      <c r="G210" s="15" t="inlineStr">
        <is>
          <t>며칠 후, 카를로스가 표시된 자금의 이동 경로를 확인한 결과를 전합니다.</t>
        </is>
      </c>
    </row>
    <row r="211" ht="15" customHeight="1" s="11">
      <c r="A211" s="13" t="n">
        <v>210</v>
      </c>
      <c r="B211" s="13" t="n">
        <v>22</v>
      </c>
      <c r="C211" s="14">
        <f>INDEX('부작 목록'!$C$2:$C$66,B211)</f>
        <v/>
      </c>
      <c r="D211" s="14" t="inlineStr">
        <is>
          <t>B 카를로스 사건집</t>
        </is>
      </c>
      <c r="E211" s="13" t="n">
        <v>5283</v>
      </c>
      <c r="F211" s="13" t="n">
        <v>12</v>
      </c>
      <c r="G211" s="15" t="inlineStr">
        <is>
          <t>두 번째 커미션 지급 자리에서, 알바로가 살세도로부터 더 구체적인 언급을 이끌어냅니다.</t>
        </is>
      </c>
    </row>
    <row r="212" ht="15" customHeight="1" s="11">
      <c r="A212" s="13" t="n">
        <v>211</v>
      </c>
      <c r="B212" s="13" t="n">
        <v>22</v>
      </c>
      <c r="C212" s="14">
        <f>INDEX('부작 목록'!$C$2:$C$66,B212)</f>
        <v/>
      </c>
      <c r="D212" s="14" t="inlineStr">
        <is>
          <t>B 카를로스 사건집</t>
        </is>
      </c>
      <c r="E212" s="13" t="n">
        <v>5298</v>
      </c>
      <c r="F212" s="13" t="n">
        <v>12</v>
      </c>
      <c r="G212" s="15" t="inlineStr">
        <is>
          <t>카를로스가 카바나스 현지 반부패팀과 협력해 검거를 준비합니다.</t>
        </is>
      </c>
    </row>
    <row r="213" ht="15" customHeight="1" s="11">
      <c r="A213" s="13" t="n">
        <v>212</v>
      </c>
      <c r="B213" s="13" t="n">
        <v>22</v>
      </c>
      <c r="C213" s="14">
        <f>INDEX('부작 목록'!$C$2:$C$66,B213)</f>
        <v/>
      </c>
      <c r="D213" s="14" t="inlineStr">
        <is>
          <t>B 카를로스 사건집</t>
        </is>
      </c>
      <c r="E213" s="13" t="n">
        <v>5312</v>
      </c>
      <c r="F213" s="13" t="n">
        <v>11</v>
      </c>
      <c r="G213" s="15" t="inlineStr">
        <is>
          <t>다음 날, 카바나스 반부패팀의 개입 결과가 전해집니다.</t>
        </is>
      </c>
    </row>
    <row r="214" ht="15" customHeight="1" s="11">
      <c r="A214" s="13" t="n">
        <v>213</v>
      </c>
      <c r="B214" s="13" t="n">
        <v>22</v>
      </c>
      <c r="C214" s="14">
        <f>INDEX('부작 목록'!$C$2:$C$66,B214)</f>
        <v/>
      </c>
      <c r="D214" s="14" t="inlineStr">
        <is>
          <t>B 카를로스 사건집</t>
        </is>
      </c>
      <c r="E214" s="13" t="n">
        <v>5325</v>
      </c>
      <c r="F214" s="13" t="n">
        <v>12</v>
      </c>
      <c r="G214" s="15" t="inlineStr">
        <is>
          <t>며칠 후, 알바로와 카를로스가 함께 저녁을 먹으며 사건을 정리합니다.</t>
        </is>
      </c>
    </row>
    <row r="215" ht="28.35" customHeight="1" s="11">
      <c r="A215" s="13" t="n">
        <v>214</v>
      </c>
      <c r="B215" s="13" t="n">
        <v>23</v>
      </c>
      <c r="C215" s="14">
        <f>INDEX('부작 목록'!$C$2:$C$66,B215)</f>
        <v/>
      </c>
      <c r="D215" s="14" t="inlineStr">
        <is>
          <t>B 카를로스 사건집</t>
        </is>
      </c>
      <c r="E215" s="13" t="n">
        <v>5340</v>
      </c>
      <c r="F215" s="13" t="n">
        <v>10</v>
      </c>
      <c r="G215" s="15" t="inlineStr">
        <is>
          <t>새로운 취재. 아이슬란드의 EU 가입 협상 재개 가능성이 커지면서, 스페인 어업조합과 아이슬란 드 측 사이에 어획 쿼터 재분배를 둘러싼 실무 협상이 시작됩니다. 알바로가 협상 자문으로 참 여해 취재합니다.</t>
        </is>
      </c>
    </row>
    <row r="216" ht="15" customHeight="1" s="11">
      <c r="A216" s="13" t="n">
        <v>215</v>
      </c>
      <c r="B216" s="13" t="n">
        <v>23</v>
      </c>
      <c r="C216" s="14">
        <f>INDEX('부작 목록'!$C$2:$C$66,B216)</f>
        <v/>
      </c>
      <c r="D216" s="14" t="inlineStr">
        <is>
          <t>B 카를로스 사건집</t>
        </is>
      </c>
      <c r="E216" s="13" t="n">
        <v>5352</v>
      </c>
      <c r="F216" s="13" t="n">
        <v>10</v>
      </c>
      <c r="G216" s="15" t="inlineStr">
        <is>
          <t>경제 전문가 라우라 domenech이 알바로에게 어업 쿼터 관련 배경지식을 정리해줍니다.</t>
        </is>
      </c>
    </row>
    <row r="217" ht="15" customHeight="1" s="11">
      <c r="A217" s="13" t="n">
        <v>216</v>
      </c>
      <c r="B217" s="13" t="n">
        <v>23</v>
      </c>
      <c r="C217" s="14">
        <f>INDEX('부작 목록'!$C$2:$C$66,B217)</f>
        <v/>
      </c>
      <c r="D217" s="14" t="inlineStr">
        <is>
          <t>B 카를로스 사건집</t>
        </is>
      </c>
      <c r="E217" s="13" t="n">
        <v>5365</v>
      </c>
      <c r="F217" s="13" t="n">
        <v>12</v>
      </c>
      <c r="G217" s="15" t="inlineStr">
        <is>
          <t>비고에서 열린 첫 협상 세션. 스페인 어업조합 대표 마르코스와 아이슬란드 측 대표 크리스틴이 대립합니다.</t>
        </is>
      </c>
    </row>
    <row r="218" ht="15" customHeight="1" s="11">
      <c r="A218" s="13" t="n">
        <v>217</v>
      </c>
      <c r="B218" s="13" t="n">
        <v>23</v>
      </c>
      <c r="C218" s="14">
        <f>INDEX('부작 목록'!$C$2:$C$66,B218)</f>
        <v/>
      </c>
      <c r="D218" s="14" t="inlineStr">
        <is>
          <t>B 카를로스 사건집</t>
        </is>
      </c>
      <c r="E218" s="13" t="n">
        <v>5380</v>
      </c>
      <c r="F218" s="13" t="n">
        <v>12</v>
      </c>
      <c r="G218" s="15" t="inlineStr">
        <is>
          <t>메를루사 쿼터 수치를 두고 이견이 좁혀지지 않다가, 절충안이 제시됩니다.</t>
        </is>
      </c>
    </row>
    <row r="219" ht="15" customHeight="1" s="11">
      <c r="A219" s="13" t="n">
        <v>218</v>
      </c>
      <c r="B219" s="13" t="n">
        <v>23</v>
      </c>
      <c r="C219" s="14">
        <f>INDEX('부작 목록'!$C$2:$C$66,B219)</f>
        <v/>
      </c>
      <c r="D219" s="14" t="inlineStr">
        <is>
          <t>B 카를로스 사건집</t>
        </is>
      </c>
      <c r="E219" s="13" t="n">
        <v>5395</v>
      </c>
      <c r="F219" s="13" t="n">
        <v>11</v>
      </c>
      <c r="G219" s="15" t="inlineStr">
        <is>
          <t>두 번째 협상 세션. 과학적 근거를 바탕으로 넙치 쿼터에 대한 최종 합의가 이뤄집니다.</t>
        </is>
      </c>
    </row>
    <row r="220" ht="15" customHeight="1" s="11">
      <c r="A220" s="13" t="n">
        <v>219</v>
      </c>
      <c r="B220" s="13" t="n">
        <v>23</v>
      </c>
      <c r="C220" s="14">
        <f>INDEX('부작 목록'!$C$2:$C$66,B220)</f>
        <v/>
      </c>
      <c r="D220" s="14" t="inlineStr">
        <is>
          <t>B 카를로스 사건집</t>
        </is>
      </c>
      <c r="E220" s="13" t="n">
        <v>5408</v>
      </c>
      <c r="F220" s="13" t="n">
        <v>10</v>
      </c>
      <c r="G220" s="15" t="inlineStr">
        <is>
          <t>양측이 협정에 서명하며 협상이 마무리됩니다.</t>
        </is>
      </c>
    </row>
    <row r="221" ht="15" customHeight="1" s="11">
      <c r="A221" s="13" t="n">
        <v>220</v>
      </c>
      <c r="B221" s="13" t="n">
        <v>23</v>
      </c>
      <c r="C221" s="14">
        <f>INDEX('부작 목록'!$C$2:$C$66,B221)</f>
        <v/>
      </c>
      <c r="D221" s="14" t="inlineStr">
        <is>
          <t>B 카를로스 사건집</t>
        </is>
      </c>
      <c r="E221" s="13" t="n">
        <v>5421</v>
      </c>
      <c r="F221" s="13" t="n">
        <v>10</v>
      </c>
      <c r="G221" s="15" t="inlineStr">
        <is>
          <t>협상을 마친 뒤, 알바로와 하비에르가 비고의 한 식당에서 저녁을 먹으며 정리합니다.</t>
        </is>
      </c>
    </row>
    <row r="222" ht="28.35" customHeight="1" s="11">
      <c r="A222" s="13" t="n">
        <v>221</v>
      </c>
      <c r="B222" s="13" t="n">
        <v>24</v>
      </c>
      <c r="C222" s="14">
        <f>INDEX('부작 목록'!$C$2:$C$66,B222)</f>
        <v/>
      </c>
      <c r="D222" s="14" t="inlineStr">
        <is>
          <t>B 카를로스 사건집</t>
        </is>
      </c>
      <c r="E222" s="13" t="n">
        <v>5433</v>
      </c>
      <c r="F222" s="13" t="n">
        <v>16</v>
      </c>
      <c r="G222" s="15" t="inlineStr">
        <is>
          <t>새로운 작전. 카를로스가 알바로에게 국제 원조를 표방하는 가상의 자선단체 '에스페란사 글로 벌'이 기부금 대부분을 횡령하고 있다는 의혹을 갖고 옵니다.</t>
        </is>
      </c>
    </row>
    <row r="223" ht="15" customHeight="1" s="11">
      <c r="A223" s="13" t="n">
        <v>222</v>
      </c>
      <c r="B223" s="13" t="n">
        <v>24</v>
      </c>
      <c r="C223" s="14">
        <f>INDEX('부작 목록'!$C$2:$C$66,B223)</f>
        <v/>
      </c>
      <c r="D223" s="14" t="inlineStr">
        <is>
          <t>B 카를로스 사건집</t>
        </is>
      </c>
      <c r="E223" s="13" t="n">
        <v>5452</v>
      </c>
      <c r="F223" s="13" t="n">
        <v>12</v>
      </c>
      <c r="G223" s="15" t="inlineStr">
        <is>
          <t>자선 갈라 행사에서 알바로가 에스페란사 글로벌의 대표 클라우디아 벨트란을 만납니다.</t>
        </is>
      </c>
    </row>
    <row r="224" ht="15" customHeight="1" s="11">
      <c r="A224" s="13" t="n">
        <v>223</v>
      </c>
      <c r="B224" s="13" t="n">
        <v>24</v>
      </c>
      <c r="C224" s="14">
        <f>INDEX('부작 목록'!$C$2:$C$66,B224)</f>
        <v/>
      </c>
      <c r="D224" s="14" t="inlineStr">
        <is>
          <t>B 카를로스 사건집</t>
        </is>
      </c>
      <c r="E224" s="13" t="n">
        <v>5467</v>
      </c>
      <c r="F224" s="13" t="n">
        <v>12</v>
      </c>
      <c r="G224" s="15" t="inlineStr">
        <is>
          <t>클라우디아가 보낸 재무 보고서를 알바로와 카를로스가 함께 검토합니다.</t>
        </is>
      </c>
    </row>
    <row r="225" ht="15" customHeight="1" s="11">
      <c r="A225" s="13" t="n">
        <v>224</v>
      </c>
      <c r="B225" s="13" t="n">
        <v>24</v>
      </c>
      <c r="C225" s="14">
        <f>INDEX('부작 목록'!$C$2:$C$66,B225)</f>
        <v/>
      </c>
      <c r="D225" s="14" t="inlineStr">
        <is>
          <t>B 카를로스 사건집</t>
        </is>
      </c>
      <c r="E225" s="13" t="n">
        <v>5482</v>
      </c>
      <c r="F225" s="13" t="n">
        <v>12</v>
      </c>
      <c r="G225" s="15" t="inlineStr">
        <is>
          <t>몇 주 후, 알바로가 클라우디아와 함께 원조 대상지로 알려진 학교 건설 현장을 방문합니다.</t>
        </is>
      </c>
    </row>
    <row r="226" ht="15" customHeight="1" s="11">
      <c r="A226" s="13" t="n">
        <v>225</v>
      </c>
      <c r="B226" s="13" t="n">
        <v>24</v>
      </c>
      <c r="C226" s="14">
        <f>INDEX('부작 목록'!$C$2:$C$66,B226)</f>
        <v/>
      </c>
      <c r="D226" s="14" t="inlineStr">
        <is>
          <t>B 카를로스 사건집</t>
        </is>
      </c>
      <c r="E226" s="13" t="n">
        <v>5496</v>
      </c>
      <c r="F226" s="13" t="n">
        <v>12</v>
      </c>
      <c r="G226" s="15" t="inlineStr">
        <is>
          <t>알바로가 카를로스에게 현장 방문 결과를 보고합니다.</t>
        </is>
      </c>
    </row>
    <row r="227" ht="15" customHeight="1" s="11">
      <c r="A227" s="13" t="n">
        <v>226</v>
      </c>
      <c r="B227" s="13" t="n">
        <v>24</v>
      </c>
      <c r="C227" s="14">
        <f>INDEX('부작 목록'!$C$2:$C$66,B227)</f>
        <v/>
      </c>
      <c r="D227" s="14" t="inlineStr">
        <is>
          <t>B 카를로스 사건집</t>
        </is>
      </c>
      <c r="E227" s="13" t="n">
        <v>5511</v>
      </c>
      <c r="F227" s="13" t="n">
        <v>11</v>
      </c>
      <c r="G227" s="15" t="inlineStr">
        <is>
          <t>알바로가 요청한 상세 지출 내역에서 결정적 증거가 드러납니다.</t>
        </is>
      </c>
    </row>
    <row r="228" ht="15" customHeight="1" s="11">
      <c r="A228" s="13" t="n">
        <v>227</v>
      </c>
      <c r="B228" s="13" t="n">
        <v>24</v>
      </c>
      <c r="C228" s="14">
        <f>INDEX('부작 목록'!$C$2:$C$66,B228)</f>
        <v/>
      </c>
      <c r="D228" s="14" t="inlineStr">
        <is>
          <t>B 카를로스 사건집</t>
        </is>
      </c>
      <c r="E228" s="13" t="n">
        <v>5525</v>
      </c>
      <c r="F228" s="13" t="n">
        <v>10</v>
      </c>
      <c r="G228" s="15" t="inlineStr">
        <is>
          <t>법원 명령이 집행되는 날, 알바로가 마지막으로 클라우디아와 마주합니다.</t>
        </is>
      </c>
    </row>
    <row r="229" ht="15" customHeight="1" s="11">
      <c r="A229" s="13" t="n">
        <v>228</v>
      </c>
      <c r="B229" s="13" t="n">
        <v>24</v>
      </c>
      <c r="C229" s="14">
        <f>INDEX('부작 목록'!$C$2:$C$66,B229)</f>
        <v/>
      </c>
      <c r="D229" s="14" t="inlineStr">
        <is>
          <t>B 카를로스 사건집</t>
        </is>
      </c>
      <c r="E229" s="13" t="n">
        <v>5537</v>
      </c>
      <c r="F229" s="13" t="n">
        <v>12</v>
      </c>
      <c r="G229" s="15" t="inlineStr">
        <is>
          <t>며칠 후, 알바로와 카를로스가 함께 저녁을 먹으며 사건을 정리합니다.</t>
        </is>
      </c>
    </row>
    <row r="230" ht="28.35" customHeight="1" s="11">
      <c r="A230" s="13" t="n">
        <v>229</v>
      </c>
      <c r="B230" s="13" t="n">
        <v>25</v>
      </c>
      <c r="C230" s="14">
        <f>INDEX('부작 목록'!$C$2:$C$66,B230)</f>
        <v/>
      </c>
      <c r="D230" s="14" t="inlineStr">
        <is>
          <t>B 카를로스 사건집</t>
        </is>
      </c>
      <c r="E230" s="13" t="n">
        <v>5552</v>
      </c>
      <c r="F230" s="13" t="n">
        <v>15</v>
      </c>
      <c r="G230" s="15" t="inlineStr">
        <is>
          <t>새로운 작전. 카를로스가 알바로에게 가장 무거운 국가안보급 사건을 제안합니다 — 가상의 원 자력 발전소 '페냐 알타'에서 안전 시스템 설계도가 외부로 유출될 조짐이 포착됐습니다.</t>
        </is>
      </c>
    </row>
    <row r="231" ht="28.35" customHeight="1" s="11">
      <c r="A231" s="13" t="n">
        <v>230</v>
      </c>
      <c r="B231" s="13" t="n">
        <v>25</v>
      </c>
      <c r="C231" s="14">
        <f>INDEX('부작 목록'!$C$2:$C$66,B231)</f>
        <v/>
      </c>
      <c r="D231" s="14" t="inlineStr">
        <is>
          <t>B 카를로스 사건집</t>
        </is>
      </c>
      <c r="E231" s="13" t="n">
        <v>5570</v>
      </c>
      <c r="F231" s="13" t="n">
        <v>15</v>
      </c>
      <c r="G231" s="15" t="inlineStr">
        <is>
          <t>다음 날, 전문가 인헤니에라 소니아 프라도가 알바로에게 원자력 발전소 보안 시스템과 관련 용 어를 속성으로 가르칩니다.</t>
        </is>
      </c>
    </row>
    <row r="232" ht="28.35" customHeight="1" s="11">
      <c r="A232" s="13" t="n">
        <v>231</v>
      </c>
      <c r="B232" s="13" t="n">
        <v>25</v>
      </c>
      <c r="C232" s="14">
        <f>INDEX('부작 목록'!$C$2:$C$66,B232)</f>
        <v/>
      </c>
      <c r="D232" s="14" t="inlineStr">
        <is>
          <t>B 카를로스 사건집</t>
        </is>
      </c>
      <c r="E232" s="13" t="n">
        <v>5588</v>
      </c>
      <c r="F232" s="13" t="n">
        <v>12</v>
      </c>
      <c r="G232" s="15" t="inlineStr">
        <is>
          <t>알바로가 컨설턴트 '다니엘 로메로'(재사용 위장 신분)로 페냐 알타 발전소에 처음 출입합니다. 보안 책임자 마우리시오 델가도가 그를 맞이합니다.</t>
        </is>
      </c>
    </row>
    <row r="233" ht="15" customHeight="1" s="11">
      <c r="A233" s="13" t="n">
        <v>232</v>
      </c>
      <c r="B233" s="13" t="n">
        <v>25</v>
      </c>
      <c r="C233" s="14">
        <f>INDEX('부작 목록'!$C$2:$C$66,B233)</f>
        <v/>
      </c>
      <c r="D233" s="14" t="inlineStr">
        <is>
          <t>B 카를로스 사건집</t>
        </is>
      </c>
      <c r="E233" s="13" t="n">
        <v>5602</v>
      </c>
      <c r="F233" s="13" t="n">
        <v>12</v>
      </c>
      <c r="G233" s="15" t="inlineStr">
        <is>
          <t>알바로가 사무실에서 지난 몇 주간의 출입 기록을 살펴보며, 의심스러운 패턴을 발견하기 시작 합니다.</t>
        </is>
      </c>
    </row>
    <row r="234" ht="15" customHeight="1" s="11">
      <c r="A234" s="13" t="n">
        <v>233</v>
      </c>
      <c r="B234" s="13" t="n">
        <v>25</v>
      </c>
      <c r="C234" s="14">
        <f>INDEX('부작 목록'!$C$2:$C$66,B234)</f>
        <v/>
      </c>
      <c r="D234" s="14" t="inlineStr">
        <is>
          <t>B 카를로스 사건집</t>
        </is>
      </c>
      <c r="E234" s="13" t="n">
        <v>5617</v>
      </c>
      <c r="F234" s="13" t="n">
        <v>13</v>
      </c>
      <c r="G234" s="15" t="inlineStr">
        <is>
          <t>다음 날, 알바로가 엘레나 페레르를 보안 감사 명목으로 인터뷰합니다.</t>
        </is>
      </c>
    </row>
    <row r="235" ht="15" customHeight="1" s="11">
      <c r="A235" s="13" t="n">
        <v>234</v>
      </c>
      <c r="B235" s="13" t="n">
        <v>25</v>
      </c>
      <c r="C235" s="14">
        <f>INDEX('부작 목록'!$C$2:$C$66,B235)</f>
        <v/>
      </c>
      <c r="D235" s="14" t="inlineStr">
        <is>
          <t>B 카를로스 사건집</t>
        </is>
      </c>
      <c r="E235" s="13" t="n">
        <v>5633</v>
      </c>
      <c r="F235" s="13" t="n">
        <v>12</v>
      </c>
      <c r="G235" s="15" t="inlineStr">
        <is>
          <t>알바로가 카를로스에게 엘레나에 대한 의심을 보고합니다.</t>
        </is>
      </c>
    </row>
    <row r="236" ht="15" customHeight="1" s="11">
      <c r="A236" s="13" t="n">
        <v>235</v>
      </c>
      <c r="B236" s="13" t="n">
        <v>25</v>
      </c>
      <c r="C236" s="14">
        <f>INDEX('부작 목록'!$C$2:$C$66,B236)</f>
        <v/>
      </c>
      <c r="D236" s="14" t="inlineStr">
        <is>
          <t>B 카를로스 사건집</t>
        </is>
      </c>
      <c r="E236" s="13" t="n">
        <v>5647</v>
      </c>
      <c r="F236" s="13" t="n">
        <v>12</v>
      </c>
      <c r="G236" s="15" t="inlineStr">
        <is>
          <t>카를로스의 지시로 CNI가 은밀히 엘레나를 감시하기 시작합니다.</t>
        </is>
      </c>
    </row>
    <row r="237" ht="15" customHeight="1" s="11">
      <c r="A237" s="13" t="n">
        <v>236</v>
      </c>
      <c r="B237" s="13" t="n">
        <v>25</v>
      </c>
      <c r="C237" s="14">
        <f>INDEX('부작 목록'!$C$2:$C$66,B237)</f>
        <v/>
      </c>
      <c r="D237" s="14" t="inlineStr">
        <is>
          <t>B 카를로스 사건집</t>
        </is>
      </c>
      <c r="E237" s="13" t="n">
        <v>5661</v>
      </c>
      <c r="F237" s="13" t="n">
        <v>9</v>
      </c>
      <c r="G237" s="15" t="inlineStr">
        <is>
          <t>며칠 후, 알바로가 늦게까지 남아 있다가 엘레나의 또 다른 야간 접근을 목격합니다.</t>
        </is>
      </c>
    </row>
    <row r="238" ht="15" customHeight="1" s="11">
      <c r="A238" s="13" t="n">
        <v>237</v>
      </c>
      <c r="B238" s="13" t="n">
        <v>25</v>
      </c>
      <c r="C238" s="14">
        <f>INDEX('부작 목록'!$C$2:$C$66,B238)</f>
        <v/>
      </c>
      <c r="D238" s="14" t="inlineStr">
        <is>
          <t>B 카를로스 사건집</t>
        </is>
      </c>
      <c r="E238" s="13" t="n">
        <v>5673</v>
      </c>
      <c r="F238" s="13" t="n">
        <v>12</v>
      </c>
      <c r="G238" s="15" t="inlineStr">
        <is>
          <t>다음 날, 보안 책임자 마우리시오가 알바로에게 뜻밖의 질문을 던지며 긴장이 고조됩니다.</t>
        </is>
      </c>
    </row>
    <row r="239" ht="15" customHeight="1" s="11">
      <c r="A239" s="13" t="n">
        <v>238</v>
      </c>
      <c r="B239" s="13" t="n">
        <v>25</v>
      </c>
      <c r="C239" s="14">
        <f>INDEX('부작 목록'!$C$2:$C$66,B239)</f>
        <v/>
      </c>
      <c r="D239" s="14" t="inlineStr">
        <is>
          <t>B 카를로스 사건집</t>
        </is>
      </c>
      <c r="E239" s="13" t="n">
        <v>5687</v>
      </c>
      <c r="F239" s="13" t="n">
        <v>12</v>
      </c>
      <c r="G239" s="15" t="inlineStr">
        <is>
          <t>알바로가 카를로스에게 정체가 의심받을 뻔한 상황을 보고합니다.</t>
        </is>
      </c>
    </row>
    <row r="240" ht="15" customHeight="1" s="11">
      <c r="A240" s="13" t="n">
        <v>239</v>
      </c>
      <c r="B240" s="13" t="n">
        <v>25</v>
      </c>
      <c r="C240" s="14">
        <f>INDEX('부작 목록'!$C$2:$C$66,B240)</f>
        <v/>
      </c>
      <c r="D240" s="14" t="inlineStr">
        <is>
          <t>B 카를로스 사건집</t>
        </is>
      </c>
      <c r="E240" s="13" t="n">
        <v>5701</v>
      </c>
      <c r="F240" s="13" t="n">
        <v>13</v>
      </c>
      <c r="G240" s="15" t="inlineStr">
        <is>
          <t>며칠 후, 카를로스가 엘레나의 다음 접선이 임박했다는 정보를 전합니다.</t>
        </is>
      </c>
    </row>
    <row r="241" ht="15" customHeight="1" s="11">
      <c r="A241" s="13" t="n">
        <v>240</v>
      </c>
      <c r="B241" s="13" t="n">
        <v>25</v>
      </c>
      <c r="C241" s="14">
        <f>INDEX('부작 목록'!$C$2:$C$66,B241)</f>
        <v/>
      </c>
      <c r="D241" s="14" t="inlineStr">
        <is>
          <t>B 카를로스 사건집</t>
        </is>
      </c>
      <c r="E241" s="13" t="n">
        <v>5717</v>
      </c>
      <c r="F241" s="13" t="n">
        <v>10</v>
      </c>
      <c r="G241" s="15" t="inlineStr">
        <is>
          <t>다음 날 밤, 알바로가 안전거리에서 지켜보는 가운데 CNI가 접선 현장을 급습합니다.</t>
        </is>
      </c>
    </row>
    <row r="242" ht="15" customHeight="1" s="11">
      <c r="A242" s="13" t="n">
        <v>241</v>
      </c>
      <c r="B242" s="13" t="n">
        <v>25</v>
      </c>
      <c r="C242" s="14">
        <f>INDEX('부작 목록'!$C$2:$C$66,B242)</f>
        <v/>
      </c>
      <c r="D242" s="14" t="inlineStr">
        <is>
          <t>B 카를로스 사건집</t>
        </is>
      </c>
      <c r="E242" s="13" t="n">
        <v>5729</v>
      </c>
      <c r="F242" s="13" t="n">
        <v>12</v>
      </c>
      <c r="G242" s="15" t="inlineStr">
        <is>
          <t>체포 다음 날, 카를로스가 접선자의 신원과 배후 조직에 대한 정보를 알바로에게 전합니다.</t>
        </is>
      </c>
    </row>
    <row r="243" ht="15" customHeight="1" s="11">
      <c r="A243" s="13" t="n">
        <v>242</v>
      </c>
      <c r="B243" s="13" t="n">
        <v>25</v>
      </c>
      <c r="C243" s="14">
        <f>INDEX('부작 목록'!$C$2:$C$66,B243)</f>
        <v/>
      </c>
      <c r="D243" s="14" t="inlineStr">
        <is>
          <t>B 카를로스 사건집</t>
        </is>
      </c>
      <c r="E243" s="13" t="n">
        <v>5743</v>
      </c>
      <c r="F243" s="13" t="n">
        <v>9</v>
      </c>
      <c r="G243" s="15" t="inlineStr">
        <is>
          <t>알바로가 마우리시오와 마지막으로 만나 감사장 사업 마무리를 정리합니다.</t>
        </is>
      </c>
    </row>
    <row r="244" ht="15" customHeight="1" s="11">
      <c r="A244" s="13" t="n">
        <v>243</v>
      </c>
      <c r="B244" s="13" t="n">
        <v>25</v>
      </c>
      <c r="C244" s="14">
        <f>INDEX('부작 목록'!$C$2:$C$66,B244)</f>
        <v/>
      </c>
      <c r="D244" s="14" t="inlineStr">
        <is>
          <t>B 카를로스 사건집</t>
        </is>
      </c>
      <c r="E244" s="13" t="n">
        <v>5755</v>
      </c>
      <c r="F244" s="13" t="n">
        <v>12</v>
      </c>
      <c r="G244" s="15" t="inlineStr">
        <is>
          <t>알바로가 하비에르에게 이번 사건의 전모를 설명합니다. 이번엔 보도가 불가능한 국가안보 사안 임을 확인합니다.</t>
        </is>
      </c>
    </row>
    <row r="245" ht="15" customHeight="1" s="11">
      <c r="A245" s="13" t="n">
        <v>244</v>
      </c>
      <c r="B245" s="13" t="n">
        <v>25</v>
      </c>
      <c r="C245" s="14">
        <f>INDEX('부작 목록'!$C$2:$C$66,B245)</f>
        <v/>
      </c>
      <c r="D245" s="14" t="inlineStr">
        <is>
          <t>B 카를로스 사건집</t>
        </is>
      </c>
      <c r="E245" s="13" t="n">
        <v>5769</v>
      </c>
      <c r="F245" s="13" t="n">
        <v>10</v>
      </c>
      <c r="G245" s="15" t="inlineStr">
        <is>
          <t>며칠 후, 알바로가 카를로스와 소니아 프라도와 함께 저녁을 먹으며 사건을 마무리합니다.</t>
        </is>
      </c>
    </row>
    <row r="246" ht="28.35" customHeight="1" s="11">
      <c r="A246" s="13" t="n">
        <v>245</v>
      </c>
      <c r="B246" s="13" t="n">
        <v>26</v>
      </c>
      <c r="C246" s="14">
        <f>INDEX('부작 목록'!$C$2:$C$66,B246)</f>
        <v/>
      </c>
      <c r="D246" s="14" t="inlineStr">
        <is>
          <t>B 카를로스 사건집</t>
        </is>
      </c>
      <c r="E246" s="13" t="n">
        <v>5782</v>
      </c>
      <c r="F246" s="13" t="n">
        <v>13</v>
      </c>
      <c r="G246" s="15" t="inlineStr">
        <is>
          <t>새로운 취재. 라 리오하의 한 가상 와이너리 '보데가스 몬테알토'가 저가 포도주를 고급 리오하 원산지 인증(D.O.)으로 속여 판매하고 있다는 제보가 들어옵니다.</t>
        </is>
      </c>
    </row>
    <row r="247" ht="15" customHeight="1" s="11">
      <c r="A247" s="13" t="n">
        <v>246</v>
      </c>
      <c r="B247" s="13" t="n">
        <v>26</v>
      </c>
      <c r="C247" s="14">
        <f>INDEX('부작 목록'!$C$2:$C$66,B247)</f>
        <v/>
      </c>
      <c r="D247" s="14" t="inlineStr">
        <is>
          <t>B 카를로스 사건집</t>
        </is>
      </c>
      <c r="E247" s="13" t="n">
        <v>5798</v>
      </c>
      <c r="F247" s="13" t="n">
        <v>10</v>
      </c>
      <c r="G247" s="15" t="inlineStr">
        <is>
          <t>소믈리에 카르멘 이글레시아스와 함께 두 와인을 비교 시음합니다.</t>
        </is>
      </c>
    </row>
    <row r="248" ht="15" customHeight="1" s="11">
      <c r="A248" s="13" t="n">
        <v>247</v>
      </c>
      <c r="B248" s="13" t="n">
        <v>26</v>
      </c>
      <c r="C248" s="14">
        <f>INDEX('부작 목록'!$C$2:$C$66,B248)</f>
        <v/>
      </c>
      <c r="D248" s="14" t="inlineStr">
        <is>
          <t>B 카를로스 사건집</t>
        </is>
      </c>
      <c r="E248" s="13" t="n">
        <v>5810</v>
      </c>
      <c r="F248" s="13" t="n">
        <v>11</v>
      </c>
      <c r="G248" s="15" t="inlineStr">
        <is>
          <t>하비에르가 원산지 인증 규제위원회 기록을 조사한 결과를 공유합니다.</t>
        </is>
      </c>
    </row>
    <row r="249" ht="15" customHeight="1" s="11">
      <c r="A249" s="13" t="n">
        <v>248</v>
      </c>
      <c r="B249" s="13" t="n">
        <v>26</v>
      </c>
      <c r="C249" s="14">
        <f>INDEX('부작 목록'!$C$2:$C$66,B249)</f>
        <v/>
      </c>
      <c r="D249" s="14" t="inlineStr">
        <is>
          <t>B 카를로스 사건집</t>
        </is>
      </c>
      <c r="E249" s="13" t="n">
        <v>5824</v>
      </c>
      <c r="F249" s="13" t="n">
        <v>12</v>
      </c>
      <c r="G249" s="15" t="inlineStr">
        <is>
          <t>알바로와 하비에르가 몬테알토 와이너리를 방문해 대표 페르난도 로요와 대화합니다.</t>
        </is>
      </c>
    </row>
    <row r="250" ht="15" customHeight="1" s="11">
      <c r="A250" s="13" t="n">
        <v>249</v>
      </c>
      <c r="B250" s="13" t="n">
        <v>26</v>
      </c>
      <c r="C250" s="14">
        <f>INDEX('부작 목록'!$C$2:$C$66,B250)</f>
        <v/>
      </c>
      <c r="D250" s="14" t="inlineStr">
        <is>
          <t>B 카를로스 사건집</t>
        </is>
      </c>
      <c r="E250" s="13" t="n">
        <v>5839</v>
      </c>
      <c r="F250" s="13" t="n">
        <v>10</v>
      </c>
      <c r="G250" s="15" t="inlineStr">
        <is>
          <t>규제위원회가 조사에 착수하고, 보도가 이뤄집니다.</t>
        </is>
      </c>
    </row>
    <row r="251" ht="28.35" customHeight="1" s="11">
      <c r="A251" s="13" t="n">
        <v>250</v>
      </c>
      <c r="B251" s="13" t="n">
        <v>26</v>
      </c>
      <c r="C251" s="14">
        <f>INDEX('부작 목록'!$C$2:$C$66,B251)</f>
        <v/>
      </c>
      <c r="D251" s="14" t="inlineStr">
        <is>
          <t>B 카를로스 사건집</t>
        </is>
      </c>
      <c r="E251" s="13" t="n">
        <v>5851</v>
      </c>
      <c r="F251" s="13" t="n">
        <v>17</v>
      </c>
      <c r="G251" s="15" t="inlineStr">
        <is>
          <t>보도를 마친 뒤, 알바로와 하비에르, 카르멘이 로그로뇨의 한 술집에서 편하게 어울립니다. 이번 엔 사건 얘기 없이, 순수한 일상 잡담입니다.</t>
        </is>
      </c>
    </row>
    <row r="252" ht="28.35" customHeight="1" s="11">
      <c r="A252" s="13" t="n">
        <v>251</v>
      </c>
      <c r="B252" s="13" t="n">
        <v>27</v>
      </c>
      <c r="C252" s="14">
        <f>INDEX('부작 목록'!$C$2:$C$66,B252)</f>
        <v/>
      </c>
      <c r="D252" s="14" t="inlineStr">
        <is>
          <t>B 카를로스 사건집</t>
        </is>
      </c>
      <c r="E252" s="13" t="n">
        <v>5871</v>
      </c>
      <c r="F252" s="13" t="n">
        <v>14</v>
      </c>
      <c r="G252" s="15" t="inlineStr">
        <is>
          <t>새로운 작전. 카를로스가 알바로에게 역외 페이퍼컴퍼니를 이용한 대규모 탈세 네트워크를 조사 해달라고 요청합니다. 이번 아크는 300문장 분량으로 계획합니다.</t>
        </is>
      </c>
    </row>
    <row r="253" ht="15" customHeight="1" s="11">
      <c r="A253" s="13" t="n">
        <v>252</v>
      </c>
      <c r="B253" s="13" t="n">
        <v>27</v>
      </c>
      <c r="C253" s="14">
        <f>INDEX('부작 목록'!$C$2:$C$66,B253)</f>
        <v/>
      </c>
      <c r="D253" s="14" t="inlineStr">
        <is>
          <t>B 카를로스 사건집</t>
        </is>
      </c>
      <c r="E253" s="13" t="n">
        <v>5888</v>
      </c>
      <c r="F253" s="13" t="n">
        <v>14</v>
      </c>
      <c r="G253" s="15" t="inlineStr">
        <is>
          <t>경제 전문가 로드리고 casal이 알바로에게 역외 금융·조세 구조 관련 지식을 속성으로 가르칩니 다.</t>
        </is>
      </c>
    </row>
    <row r="254" ht="15" customHeight="1" s="11">
      <c r="A254" s="13" t="n">
        <v>253</v>
      </c>
      <c r="B254" s="13" t="n">
        <v>27</v>
      </c>
      <c r="C254" s="14">
        <f>INDEX('부작 목록'!$C$2:$C$66,B254)</f>
        <v/>
      </c>
      <c r="D254" s="14" t="inlineStr">
        <is>
          <t>B 카를로스 사건집</t>
        </is>
      </c>
      <c r="E254" s="13" t="n">
        <v>5905</v>
      </c>
      <c r="F254" s="13" t="n">
        <v>14</v>
      </c>
      <c r="G254" s="15" t="inlineStr">
        <is>
          <t>알바로가 '알레한드로 푸익' 위장 신분으로 페란 이 아소시아도스 사무실을 방문해 대표 쿠스토 디오 페란을 만납니다.</t>
        </is>
      </c>
    </row>
    <row r="255" ht="15" customHeight="1" s="11">
      <c r="A255" s="13" t="n">
        <v>254</v>
      </c>
      <c r="B255" s="13" t="n">
        <v>27</v>
      </c>
      <c r="C255" s="14">
        <f>INDEX('부작 목록'!$C$2:$C$66,B255)</f>
        <v/>
      </c>
      <c r="D255" s="14" t="inlineStr">
        <is>
          <t>B 카를로스 사건집</t>
        </is>
      </c>
      <c r="E255" s="13" t="n">
        <v>5922</v>
      </c>
      <c r="F255" s="13" t="n">
        <v>10</v>
      </c>
      <c r="G255" s="15" t="inlineStr">
        <is>
          <t>알바로가 카를로스에게 첫 접선 결과를 보고합니다.</t>
        </is>
      </c>
    </row>
    <row r="256" ht="15" customHeight="1" s="11">
      <c r="A256" s="13" t="n">
        <v>255</v>
      </c>
      <c r="B256" s="13" t="n">
        <v>27</v>
      </c>
      <c r="C256" s="14">
        <f>INDEX('부작 목록'!$C$2:$C$66,B256)</f>
        <v/>
      </c>
      <c r="D256" s="14" t="inlineStr">
        <is>
          <t>B 카를로스 사건집</t>
        </is>
      </c>
      <c r="E256" s="13" t="n">
        <v>5934</v>
      </c>
      <c r="F256" s="13" t="n">
        <v>15</v>
      </c>
      <c r="G256" s="15" t="inlineStr">
        <is>
          <t>두 번째 만남에서 페란이 구체적인 역외 구조를 제시합니다.</t>
        </is>
      </c>
    </row>
    <row r="257" ht="15" customHeight="1" s="11">
      <c r="A257" s="13" t="n">
        <v>256</v>
      </c>
      <c r="B257" s="13" t="n">
        <v>27</v>
      </c>
      <c r="C257" s="14">
        <f>INDEX('부작 목록'!$C$2:$C$66,B257)</f>
        <v/>
      </c>
      <c r="D257" s="14" t="inlineStr">
        <is>
          <t>B 카를로스 사건집</t>
        </is>
      </c>
      <c r="E257" s="13" t="n">
        <v>5952</v>
      </c>
      <c r="F257" s="13" t="n">
        <v>10</v>
      </c>
      <c r="G257" s="15" t="inlineStr">
        <is>
          <t>알바로가 카를로스에게 제시받은 구조의 세부사항을 보고합니다.</t>
        </is>
      </c>
    </row>
    <row r="258" ht="15" customHeight="1" s="11">
      <c r="A258" s="13" t="n">
        <v>257</v>
      </c>
      <c r="B258" s="13" t="n">
        <v>27</v>
      </c>
      <c r="C258" s="14">
        <f>INDEX('부작 목록'!$C$2:$C$66,B258)</f>
        <v/>
      </c>
      <c r="D258" s="14" t="inlineStr">
        <is>
          <t>B 카를로스 사건집</t>
        </is>
      </c>
      <c r="E258" s="13" t="n">
        <v>5965</v>
      </c>
      <c r="F258" s="13" t="n">
        <v>13</v>
      </c>
      <c r="G258" s="15" t="inlineStr">
        <is>
          <t>세 번째 만남에서 페란이 무심코 다른 유명 고객을 언급합니다.</t>
        </is>
      </c>
    </row>
    <row r="259" ht="15" customHeight="1" s="11">
      <c r="A259" s="13" t="n">
        <v>258</v>
      </c>
      <c r="B259" s="13" t="n">
        <v>27</v>
      </c>
      <c r="C259" s="14">
        <f>INDEX('부작 목록'!$C$2:$C$66,B259)</f>
        <v/>
      </c>
      <c r="D259" s="14" t="inlineStr">
        <is>
          <t>B 카를로스 사건집</t>
        </is>
      </c>
      <c r="E259" s="13" t="n">
        <v>5980</v>
      </c>
      <c r="F259" s="13" t="n">
        <v>11</v>
      </c>
      <c r="G259" s="15" t="inlineStr">
        <is>
          <t>알바로가 카를로스에게 제네바 은행에 대한 정보를 전달합니다.</t>
        </is>
      </c>
    </row>
    <row r="260" ht="15" customHeight="1" s="11">
      <c r="A260" s="13" t="n">
        <v>259</v>
      </c>
      <c r="B260" s="13" t="n">
        <v>27</v>
      </c>
      <c r="C260" s="14">
        <f>INDEX('부작 목록'!$C$2:$C$66,B260)</f>
        <v/>
      </c>
      <c r="D260" s="14" t="inlineStr">
        <is>
          <t>B 카를로스 사건집</t>
        </is>
      </c>
      <c r="E260" s="13" t="n">
        <v>5994</v>
      </c>
      <c r="F260" s="13" t="n">
        <v>12</v>
      </c>
      <c r="G260" s="15" t="inlineStr">
        <is>
          <t>네 번째 만남에서 알바로가 서명 직전 결정적 문서를 확보합니다.</t>
        </is>
      </c>
    </row>
    <row r="261" ht="15" customHeight="1" s="11">
      <c r="A261" s="13" t="n">
        <v>260</v>
      </c>
      <c r="B261" s="13" t="n">
        <v>27</v>
      </c>
      <c r="C261" s="14">
        <f>INDEX('부작 목록'!$C$2:$C$66,B261)</f>
        <v/>
      </c>
      <c r="D261" s="14" t="inlineStr">
        <is>
          <t>B 카를로스 사건집</t>
        </is>
      </c>
      <c r="E261" s="13" t="n">
        <v>6009</v>
      </c>
      <c r="F261" s="13" t="n">
        <v>10</v>
      </c>
      <c r="G261" s="15" t="inlineStr">
        <is>
          <t>알바로가 확보한 서류를 카를로스에게 전달합니다.</t>
        </is>
      </c>
    </row>
    <row r="262" ht="15" customHeight="1" s="11">
      <c r="A262" s="13" t="n">
        <v>261</v>
      </c>
      <c r="B262" s="13" t="n">
        <v>27</v>
      </c>
      <c r="C262" s="14">
        <f>INDEX('부작 목록'!$C$2:$C$66,B262)</f>
        <v/>
      </c>
      <c r="D262" s="14" t="inlineStr">
        <is>
          <t>B 카를로스 사건집</t>
        </is>
      </c>
      <c r="E262" s="13" t="n">
        <v>6021</v>
      </c>
      <c r="F262" s="13" t="n">
        <v>12</v>
      </c>
      <c r="G262" s="15" t="inlineStr">
        <is>
          <t>판사의 승인을 받아, 페란 이 아소시아도스 사무실에 대한 압수수색이 집행됩니다.</t>
        </is>
      </c>
    </row>
    <row r="263" ht="15" customHeight="1" s="11">
      <c r="A263" s="13" t="n">
        <v>262</v>
      </c>
      <c r="B263" s="13" t="n">
        <v>27</v>
      </c>
      <c r="C263" s="14">
        <f>INDEX('부작 목록'!$C$2:$C$66,B263)</f>
        <v/>
      </c>
      <c r="D263" s="14" t="inlineStr">
        <is>
          <t>B 카를로스 사건집</t>
        </is>
      </c>
      <c r="E263" s="13" t="n">
        <v>6036</v>
      </c>
      <c r="F263" s="13" t="n">
        <v>12</v>
      </c>
      <c r="G263" s="15" t="inlineStr">
        <is>
          <t>며칠 후, 알바로와 카를로스가 함께 저녁을 먹으며 사건을 정리합니다.</t>
        </is>
      </c>
    </row>
    <row r="264" ht="15" customHeight="1" s="11">
      <c r="A264" s="13" t="n">
        <v>263</v>
      </c>
      <c r="B264" s="13" t="n">
        <v>27</v>
      </c>
      <c r="C264" s="14">
        <f>INDEX('부작 목록'!$C$2:$C$66,B264)</f>
        <v/>
      </c>
      <c r="D264" s="14" t="inlineStr">
        <is>
          <t>B 카를로스 사건집</t>
        </is>
      </c>
      <c r="E264" s="13" t="n">
        <v>6051</v>
      </c>
      <c r="F264" s="13" t="n">
        <v>11</v>
      </c>
      <c r="G264" s="15" t="inlineStr">
        <is>
          <t>알바로가 하비에르에게 이번 사건의 전모를 설명하며, 언제 보도가 가능할지 논의합니다.</t>
        </is>
      </c>
    </row>
    <row r="265" ht="15" customHeight="1" s="11">
      <c r="A265" s="13" t="n">
        <v>264</v>
      </c>
      <c r="B265" s="13" t="n">
        <v>27</v>
      </c>
      <c r="C265" s="14">
        <f>INDEX('부작 목록'!$C$2:$C$66,B265)</f>
        <v/>
      </c>
      <c r="D265" s="14" t="inlineStr">
        <is>
          <t>B 카를로스 사건집</t>
        </is>
      </c>
      <c r="E265" s="13" t="n">
        <v>6064</v>
      </c>
      <c r="F265" s="13" t="n">
        <v>10</v>
      </c>
      <c r="G265" s="15" t="inlineStr">
        <is>
          <t>알바로가 카를로스와의 마지막 대화에서, 이번 사건이 남긴 인상을 정리합니다.</t>
        </is>
      </c>
    </row>
    <row r="266" ht="15" customHeight="1" s="11">
      <c r="A266" s="13" t="n">
        <v>265</v>
      </c>
      <c r="B266" s="13" t="n">
        <v>27</v>
      </c>
      <c r="C266" s="14">
        <f>INDEX('부작 목록'!$C$2:$C$66,B266)</f>
        <v/>
      </c>
      <c r="D266" s="14" t="inlineStr">
        <is>
          <t>B 카를로스 사건집</t>
        </is>
      </c>
      <c r="E266" s="13" t="n">
        <v>6077</v>
      </c>
      <c r="F266" s="13" t="n">
        <v>10</v>
      </c>
      <c r="G266" s="15" t="inlineStr">
        <is>
          <t>몇 달 후, 사법 비밀이 해제되며 사건이 최종적으로 마무리됩니다.</t>
        </is>
      </c>
    </row>
    <row r="267" ht="28.35" customHeight="1" s="11">
      <c r="A267" s="13" t="n">
        <v>266</v>
      </c>
      <c r="B267" s="13" t="n">
        <v>28</v>
      </c>
      <c r="C267" s="14">
        <f>INDEX('부작 목록'!$C$2:$C$66,B267)</f>
        <v/>
      </c>
      <c r="D267" s="14" t="inlineStr">
        <is>
          <t>B 카를로스 사건집</t>
        </is>
      </c>
      <c r="E267" s="13" t="n">
        <v>6089</v>
      </c>
      <c r="F267" s="13" t="n">
        <v>12</v>
      </c>
      <c r="G267" s="15" t="inlineStr">
        <is>
          <t>페란 사건 특종이 보도된 직후, 예상치 못한 압박이 시작됩니다. 정치권 고객 중 한 명, 전직 장 관 알베르토 이바라의 이름이 확인되면서 사건이 새로운 국면으로 접어듭니다.</t>
        </is>
      </c>
    </row>
    <row r="268" ht="15" customHeight="1" s="11">
      <c r="A268" s="13" t="n">
        <v>267</v>
      </c>
      <c r="B268" s="13" t="n">
        <v>28</v>
      </c>
      <c r="C268" s="14">
        <f>INDEX('부작 목록'!$C$2:$C$66,B268)</f>
        <v/>
      </c>
      <c r="D268" s="14" t="inlineStr">
        <is>
          <t>B 카를로스 사건집</t>
        </is>
      </c>
      <c r="E268" s="13" t="n">
        <v>6104</v>
      </c>
      <c r="F268" s="13" t="n">
        <v>13</v>
      </c>
      <c r="G268" s="15" t="inlineStr">
        <is>
          <t>알바로와 하비에르가 카를로스에게 협박 전화에 대해 알립니다.</t>
        </is>
      </c>
    </row>
    <row r="269" ht="15" customHeight="1" s="11">
      <c r="A269" s="13" t="n">
        <v>268</v>
      </c>
      <c r="B269" s="13" t="n">
        <v>28</v>
      </c>
      <c r="C269" s="14">
        <f>INDEX('부작 목록'!$C$2:$C$66,B269)</f>
        <v/>
      </c>
      <c r="D269" s="14" t="inlineStr">
        <is>
          <t>B 카를로스 사건집</t>
        </is>
      </c>
      <c r="E269" s="13" t="n">
        <v>6120</v>
      </c>
      <c r="F269" s="13" t="n">
        <v>10</v>
      </c>
      <c r="G269" s="15" t="inlineStr">
        <is>
          <t>알바로와 하비에르가 이바라 전 장관에게 공식 답변을 요청하며 직접 접촉을 시도합니다.</t>
        </is>
      </c>
    </row>
    <row r="270" ht="15" customHeight="1" s="11">
      <c r="A270" s="13" t="n">
        <v>269</v>
      </c>
      <c r="B270" s="13" t="n">
        <v>28</v>
      </c>
      <c r="C270" s="14">
        <f>INDEX('부작 목록'!$C$2:$C$66,B270)</f>
        <v/>
      </c>
      <c r="D270" s="14" t="inlineStr">
        <is>
          <t>B 카를로스 사건집</t>
        </is>
      </c>
      <c r="E270" s="13" t="n">
        <v>6132</v>
      </c>
      <c r="F270" s="13" t="n">
        <v>12</v>
      </c>
      <c r="G270" s="15" t="inlineStr">
        <is>
          <t>카를로스가 이바라 명의의 역외 구조에 대한 세부 정보를 알바로와 공유합니다.</t>
        </is>
      </c>
    </row>
    <row r="271" ht="15" customHeight="1" s="11">
      <c r="A271" s="13" t="n">
        <v>270</v>
      </c>
      <c r="B271" s="13" t="n">
        <v>28</v>
      </c>
      <c r="C271" s="14">
        <f>INDEX('부작 목록'!$C$2:$C$66,B271)</f>
        <v/>
      </c>
      <c r="D271" s="14" t="inlineStr">
        <is>
          <t>B 카를로스 사건집</t>
        </is>
      </c>
      <c r="E271" s="13" t="n">
        <v>6147</v>
      </c>
      <c r="F271" s="13" t="n">
        <v>10</v>
      </c>
      <c r="G271" s="15" t="inlineStr">
        <is>
          <t>이틀 후, 이바라 측에서 서면 답변이 도착합니다. 예상대로 회피성입니다.</t>
        </is>
      </c>
    </row>
    <row r="272" ht="15" customHeight="1" s="11">
      <c r="A272" s="13" t="n">
        <v>271</v>
      </c>
      <c r="B272" s="13" t="n">
        <v>28</v>
      </c>
      <c r="C272" s="14">
        <f>INDEX('부작 목록'!$C$2:$C$66,B272)</f>
        <v/>
      </c>
      <c r="D272" s="14" t="inlineStr">
        <is>
          <t>B 카를로스 사건집</t>
        </is>
      </c>
      <c r="E272" s="13" t="n">
        <v>6159</v>
      </c>
      <c r="F272" s="13" t="n">
        <v>11</v>
      </c>
      <c r="G272" s="15" t="inlineStr">
        <is>
          <t>두 번째 보도가 나간 뒤, 위협의 수위가 높아집니다.</t>
        </is>
      </c>
    </row>
    <row r="273" ht="15" customHeight="1" s="11">
      <c r="A273" s="13" t="n">
        <v>272</v>
      </c>
      <c r="B273" s="13" t="n">
        <v>28</v>
      </c>
      <c r="C273" s="14">
        <f>INDEX('부작 목록'!$C$2:$C$66,B273)</f>
        <v/>
      </c>
      <c r="D273" s="14" t="inlineStr">
        <is>
          <t>B 카를로스 사건집</t>
        </is>
      </c>
      <c r="E273" s="13" t="n">
        <v>6172</v>
      </c>
      <c r="F273" s="13" t="n">
        <v>13</v>
      </c>
      <c r="G273" s="15" t="inlineStr">
        <is>
          <t>카를로스가 리히텐슈타인 신탁회사에 대한 국제 공조 조사 결과를 전합니다.</t>
        </is>
      </c>
    </row>
    <row r="274" ht="15" customHeight="1" s="11">
      <c r="A274" s="13" t="n">
        <v>273</v>
      </c>
      <c r="B274" s="13" t="n">
        <v>28</v>
      </c>
      <c r="C274" s="14">
        <f>INDEX('부작 목록'!$C$2:$C$66,B274)</f>
        <v/>
      </c>
      <c r="D274" s="14" t="inlineStr">
        <is>
          <t>B 카를로스 사건집</t>
        </is>
      </c>
      <c r="E274" s="13" t="n">
        <v>6188</v>
      </c>
      <c r="F274" s="13" t="n">
        <v>9</v>
      </c>
      <c r="G274" s="15" t="inlineStr">
        <is>
          <t>며칠 후, 하비에르가 문서에서 잠재적 협력 가능 인물을 발견합니다.</t>
        </is>
      </c>
    </row>
    <row r="275" ht="15" customHeight="1" s="11">
      <c r="A275" s="13" t="n">
        <v>274</v>
      </c>
      <c r="B275" s="13" t="n">
        <v>28</v>
      </c>
      <c r="C275" s="14">
        <f>INDEX('부작 목록'!$C$2:$C$66,B275)</f>
        <v/>
      </c>
      <c r="D275" s="14" t="inlineStr">
        <is>
          <t>B 카를로스 사건집</t>
        </is>
      </c>
      <c r="E275" s="13" t="n">
        <v>6199</v>
      </c>
      <c r="F275" s="13" t="n">
        <v>13</v>
      </c>
      <c r="G275" s="15" t="inlineStr">
        <is>
          <t>공통 지인을 통해, 하비에르가 펠리시아노 루스와 조심스럽게 접선합니다.</t>
        </is>
      </c>
    </row>
    <row r="276" ht="15" customHeight="1" s="11">
      <c r="A276" s="13" t="n">
        <v>275</v>
      </c>
      <c r="B276" s="13" t="n">
        <v>28</v>
      </c>
      <c r="C276" s="14">
        <f>INDEX('부작 목록'!$C$2:$C$66,B276)</f>
        <v/>
      </c>
      <c r="D276" s="14" t="inlineStr">
        <is>
          <t>B 카를로스 사건집</t>
        </is>
      </c>
      <c r="E276" s="13" t="n">
        <v>6215</v>
      </c>
      <c r="F276" s="13" t="n">
        <v>11</v>
      </c>
      <c r="G276" s="15" t="inlineStr">
        <is>
          <t>펠리시아노가 결정적 실마리를 제공합니다.</t>
        </is>
      </c>
    </row>
    <row r="277" ht="15" customHeight="1" s="11">
      <c r="A277" s="13" t="n">
        <v>276</v>
      </c>
      <c r="B277" s="13" t="n">
        <v>28</v>
      </c>
      <c r="C277" s="14">
        <f>INDEX('부작 목록'!$C$2:$C$66,B277)</f>
        <v/>
      </c>
      <c r="D277" s="14" t="inlineStr">
        <is>
          <t>B 카를로스 사건집</t>
        </is>
      </c>
      <c r="E277" s="13" t="n">
        <v>6229</v>
      </c>
      <c r="F277" s="13" t="n">
        <v>11</v>
      </c>
      <c r="G277" s="15" t="inlineStr">
        <is>
          <t>카를로스와 기술 전문가가 확보한 이메일의 발신 경로를 분석합니다.</t>
        </is>
      </c>
    </row>
    <row r="278" ht="15" customHeight="1" s="11">
      <c r="A278" s="13" t="n">
        <v>277</v>
      </c>
      <c r="B278" s="13" t="n">
        <v>28</v>
      </c>
      <c r="C278" s="14">
        <f>INDEX('부작 목록'!$C$2:$C$66,B278)</f>
        <v/>
      </c>
      <c r="D278" s="14" t="inlineStr">
        <is>
          <t>B 카를로스 사건집</t>
        </is>
      </c>
      <c r="E278" s="13" t="n">
        <v>6242</v>
      </c>
      <c r="F278" s="13" t="n">
        <v>10</v>
      </c>
      <c r="G278" s="15" t="inlineStr">
        <is>
          <t>하비에르가 또 다른 형태의 협박을 받으며 긴장이 고조됩니다.</t>
        </is>
      </c>
    </row>
    <row r="279" ht="15" customHeight="1" s="11">
      <c r="A279" s="13" t="n">
        <v>278</v>
      </c>
      <c r="B279" s="13" t="n">
        <v>28</v>
      </c>
      <c r="C279" s="14">
        <f>INDEX('부작 목록'!$C$2:$C$66,B279)</f>
        <v/>
      </c>
      <c r="D279" s="14" t="inlineStr">
        <is>
          <t>B 카를로스 사건집</t>
        </is>
      </c>
      <c r="E279" s="13" t="n">
        <v>6255</v>
      </c>
      <c r="F279" s="13" t="n">
        <v>11</v>
      </c>
      <c r="G279" s="15" t="inlineStr">
        <is>
          <t>카를로스가 런던 로펌의 실제 의뢰인을 추적한 결과를 전합니다.</t>
        </is>
      </c>
    </row>
    <row r="280" ht="15" customHeight="1" s="11">
      <c r="A280" s="13" t="n">
        <v>279</v>
      </c>
      <c r="B280" s="13" t="n">
        <v>28</v>
      </c>
      <c r="C280" s="14">
        <f>INDEX('부작 목록'!$C$2:$C$66,B280)</f>
        <v/>
      </c>
      <c r="D280" s="14" t="inlineStr">
        <is>
          <t>B 카를로스 사건집</t>
        </is>
      </c>
      <c r="E280" s="13" t="n">
        <v>6269</v>
      </c>
      <c r="F280" s="13" t="n">
        <v>10</v>
      </c>
      <c r="G280" s="15" t="inlineStr">
        <is>
          <t>며칠 후, 하비에르가 직접적인 협박 메시지를 받습니다.</t>
        </is>
      </c>
    </row>
    <row r="281" ht="15" customHeight="1" s="11">
      <c r="A281" s="13" t="n">
        <v>280</v>
      </c>
      <c r="B281" s="13" t="n">
        <v>28</v>
      </c>
      <c r="C281" s="14">
        <f>INDEX('부작 목록'!$C$2:$C$66,B281)</f>
        <v/>
      </c>
      <c r="D281" s="14" t="inlineStr">
        <is>
          <t>B 카를로스 사건집</t>
        </is>
      </c>
      <c r="E281" s="13" t="n">
        <v>6281</v>
      </c>
      <c r="F281" s="13" t="n">
        <v>12</v>
      </c>
      <c r="G281" s="15" t="inlineStr">
        <is>
          <t>카를로스가 협박 메시지를 보낸 발신자를 역추적한 결과를 전합니다.</t>
        </is>
      </c>
    </row>
    <row r="282" ht="15" customHeight="1" s="11">
      <c r="A282" s="13" t="n">
        <v>281</v>
      </c>
      <c r="B282" s="13" t="n">
        <v>28</v>
      </c>
      <c r="C282" s="14">
        <f>INDEX('부작 목록'!$C$2:$C$66,B282)</f>
        <v/>
      </c>
      <c r="D282" s="14" t="inlineStr">
        <is>
          <t>B 카를로스 사건집</t>
        </is>
      </c>
      <c r="E282" s="13" t="n">
        <v>6296</v>
      </c>
      <c r="F282" s="13" t="n">
        <v>10</v>
      </c>
      <c r="G282" s="15" t="inlineStr">
        <is>
          <t>알바로가 지금까지의 패턴을 되짚어보며, 예전 루에다 조직과의 연결 가능성을 카를로스에게 제 기합니다.</t>
        </is>
      </c>
    </row>
    <row r="283" ht="15" customHeight="1" s="11">
      <c r="A283" s="13" t="n">
        <v>282</v>
      </c>
      <c r="B283" s="13" t="n">
        <v>28</v>
      </c>
      <c r="C283" s="14">
        <f>INDEX('부작 목록'!$C$2:$C$66,B283)</f>
        <v/>
      </c>
      <c r="D283" s="14" t="inlineStr">
        <is>
          <t>B 카를로스 사건집</t>
        </is>
      </c>
      <c r="E283" s="13" t="n">
        <v>6308</v>
      </c>
      <c r="F283" s="13" t="n">
        <v>11</v>
      </c>
      <c r="G283" s="15" t="inlineStr">
        <is>
          <t>며칠 후, 카를로스가 데이터 대조 결과를 알바로에게 전합니다.</t>
        </is>
      </c>
    </row>
    <row r="284" ht="15" customHeight="1" s="11">
      <c r="A284" s="13" t="n">
        <v>283</v>
      </c>
      <c r="B284" s="13" t="n">
        <v>28</v>
      </c>
      <c r="C284" s="14">
        <f>INDEX('부작 목록'!$C$2:$C$66,B284)</f>
        <v/>
      </c>
      <c r="D284" s="14" t="inlineStr">
        <is>
          <t>B 카를로스 사건집</t>
        </is>
      </c>
      <c r="E284" s="13" t="n">
        <v>6321</v>
      </c>
      <c r="F284" s="13" t="n">
        <v>14</v>
      </c>
      <c r="G284" s="15" t="inlineStr">
        <is>
          <t>뜻밖에도, 알바로가 익명의 인물로부터 직접 연락을 받습니다.</t>
        </is>
      </c>
    </row>
    <row r="285" ht="15" customHeight="1" s="11">
      <c r="A285" s="13" t="n">
        <v>284</v>
      </c>
      <c r="B285" s="13" t="n">
        <v>28</v>
      </c>
      <c r="C285" s="14">
        <f>INDEX('부작 목록'!$C$2:$C$66,B285)</f>
        <v/>
      </c>
      <c r="D285" s="14" t="inlineStr">
        <is>
          <t>B 카를로스 사건집</t>
        </is>
      </c>
      <c r="E285" s="13" t="n">
        <v>6338</v>
      </c>
      <c r="F285" s="13" t="n">
        <v>12</v>
      </c>
      <c r="G285" s="15" t="inlineStr">
        <is>
          <t>알바로가 카를로스에게 직접 받은 전화를 보고하고, 함께 통화를 분석합니다.</t>
        </is>
      </c>
    </row>
    <row r="286" ht="15" customHeight="1" s="11">
      <c r="A286" s="13" t="n">
        <v>285</v>
      </c>
      <c r="B286" s="13" t="n">
        <v>28</v>
      </c>
      <c r="C286" s="14">
        <f>INDEX('부작 목록'!$C$2:$C$66,B286)</f>
        <v/>
      </c>
      <c r="D286" s="14" t="inlineStr">
        <is>
          <t>B 카를로스 사건집</t>
        </is>
      </c>
      <c r="E286" s="13" t="n">
        <v>6352</v>
      </c>
      <c r="F286" s="13" t="n">
        <v>10</v>
      </c>
      <c r="G286" s="15" t="inlineStr">
        <is>
          <t>알바로가 하비에르와 함께, 위협에도 불구하고 계속 나아갈지 논의합니다.</t>
        </is>
      </c>
    </row>
    <row r="287" ht="15" customHeight="1" s="11">
      <c r="A287" s="13" t="n">
        <v>286</v>
      </c>
      <c r="B287" s="13" t="n">
        <v>28</v>
      </c>
      <c r="C287" s="14">
        <f>INDEX('부작 목록'!$C$2:$C$66,B287)</f>
        <v/>
      </c>
      <c r="D287" s="14" t="inlineStr">
        <is>
          <t>B 카를로스 사건집</t>
        </is>
      </c>
      <c r="E287" s="13" t="n">
        <v>6365</v>
      </c>
      <c r="F287" s="13" t="n">
        <v>10</v>
      </c>
      <c r="G287" s="15" t="inlineStr">
        <is>
          <t>몇 주 후, 스위스 당국과의 공조 수사가 결실을 맺습니다.</t>
        </is>
      </c>
    </row>
    <row r="288" ht="15" customHeight="1" s="11">
      <c r="A288" s="13" t="n">
        <v>287</v>
      </c>
      <c r="B288" s="13" t="n">
        <v>28</v>
      </c>
      <c r="C288" s="14">
        <f>INDEX('부작 목록'!$C$2:$C$66,B288)</f>
        <v/>
      </c>
      <c r="D288" s="14" t="inlineStr">
        <is>
          <t>B 카를로스 사건집</t>
        </is>
      </c>
      <c r="E288" s="13" t="n">
        <v>6378</v>
      </c>
      <c r="F288" s="13" t="n">
        <v>11</v>
      </c>
      <c r="G288" s="15" t="inlineStr">
        <is>
          <t>다음 날, 압수수색 결과가 전해집니다.</t>
        </is>
      </c>
    </row>
    <row r="289" ht="15" customHeight="1" s="11">
      <c r="A289" s="13" t="n">
        <v>288</v>
      </c>
      <c r="B289" s="13" t="n">
        <v>28</v>
      </c>
      <c r="C289" s="14">
        <f>INDEX('부작 목록'!$C$2:$C$66,B289)</f>
        <v/>
      </c>
      <c r="D289" s="14" t="inlineStr">
        <is>
          <t>B 카를로스 사건집</t>
        </is>
      </c>
      <c r="E289" s="13" t="n">
        <v>6391</v>
      </c>
      <c r="F289" s="13" t="n">
        <v>9</v>
      </c>
      <c r="G289" s="15" t="inlineStr">
        <is>
          <t>압수 자료를 근거로, 검찰이 이바라 전 장관에 대한 정식 수사를 개시합니다.</t>
        </is>
      </c>
    </row>
    <row r="290" ht="15" customHeight="1" s="11">
      <c r="A290" s="13" t="n">
        <v>289</v>
      </c>
      <c r="B290" s="13" t="n">
        <v>28</v>
      </c>
      <c r="C290" s="14">
        <f>INDEX('부작 목록'!$C$2:$C$66,B290)</f>
        <v/>
      </c>
      <c r="D290" s="14" t="inlineStr">
        <is>
          <t>B 카를로스 사건집</t>
        </is>
      </c>
      <c r="E290" s="13" t="n">
        <v>6403</v>
      </c>
      <c r="F290" s="13" t="n">
        <v>9</v>
      </c>
      <c r="G290" s="15" t="inlineStr">
        <is>
          <t>알바로가 하비에르에게 소식을 전하며, 함께 최종 보도를 준비합니다.</t>
        </is>
      </c>
    </row>
    <row r="291" ht="15" customHeight="1" s="11">
      <c r="A291" s="13" t="n">
        <v>290</v>
      </c>
      <c r="B291" s="13" t="n">
        <v>28</v>
      </c>
      <c r="C291" s="14">
        <f>INDEX('부작 목록'!$C$2:$C$66,B291)</f>
        <v/>
      </c>
      <c r="D291" s="14" t="inlineStr">
        <is>
          <t>B 카를로스 사건집</t>
        </is>
      </c>
      <c r="E291" s="13" t="n">
        <v>6414</v>
      </c>
      <c r="F291" s="13" t="n">
        <v>10</v>
      </c>
      <c r="G291" s="15" t="inlineStr">
        <is>
          <t>보도가 나간 뒤, 국내외에서 큰 반향이 일어납니다.</t>
        </is>
      </c>
    </row>
    <row r="292" ht="15" customHeight="1" s="11">
      <c r="A292" s="13" t="n">
        <v>291</v>
      </c>
      <c r="B292" s="13" t="n">
        <v>28</v>
      </c>
      <c r="C292" s="14">
        <f>INDEX('부작 목록'!$C$2:$C$66,B292)</f>
        <v/>
      </c>
      <c r="D292" s="14" t="inlineStr">
        <is>
          <t>B 카를로스 사건집</t>
        </is>
      </c>
      <c r="E292" s="13" t="n">
        <v>6427</v>
      </c>
      <c r="F292" s="13" t="n">
        <v>16</v>
      </c>
      <c r="G292" s="15" t="inlineStr">
        <is>
          <t>며칠 후, 알바로·하비에르·카를로스가 함께 저녁을 먹으며 이 긴 여정을 정리합니다.</t>
        </is>
      </c>
    </row>
    <row r="293" ht="41.75" customHeight="1" s="11">
      <c r="A293" s="13" t="n">
        <v>292</v>
      </c>
      <c r="B293" s="13" t="n">
        <v>29</v>
      </c>
      <c r="C293" s="14">
        <f>INDEX('부작 목록'!$C$2:$C$66,B293)</f>
        <v/>
      </c>
      <c r="D293" s="14" t="inlineStr">
        <is>
          <t>B 카를로스 사건집</t>
        </is>
      </c>
      <c r="E293" s="13" t="n">
        <v>6446</v>
      </c>
      <c r="F293" s="13" t="n">
        <v>16</v>
      </c>
      <c r="G293" s="15" t="inlineStr">
        <is>
          <t>새로운 작전. 카를로스가 알바로에게 '가짜 주권 클라우드' 사건을 제안합니다. 스페인 공공기관 데이터를 EU 역내에만 저장한다고 광고해온 기업 '누베 이베리카'가, 실제로는 데이터를 역외로 우회시키고 있다는 의혹입니다. 등장인물은 전원 남성으로 구성합니다.</t>
        </is>
      </c>
    </row>
    <row r="294" ht="15" customHeight="1" s="11">
      <c r="A294" s="13" t="n">
        <v>293</v>
      </c>
      <c r="B294" s="13" t="n">
        <v>29</v>
      </c>
      <c r="C294" s="14">
        <f>INDEX('부작 목록'!$C$2:$C$66,B294)</f>
        <v/>
      </c>
      <c r="D294" s="14" t="inlineStr">
        <is>
          <t>B 카를로스 사건집</t>
        </is>
      </c>
      <c r="E294" s="13" t="n">
        <v>6465</v>
      </c>
      <c r="F294" s="13" t="n">
        <v>12</v>
      </c>
      <c r="G294" s="15" t="inlineStr">
        <is>
          <t>기술 전문가 마르코스 utrero가 알바로에게 클라우드 인프라와 데이터 주권 관련 지식을 속성으 로 가르칩니다.</t>
        </is>
      </c>
    </row>
    <row r="295" ht="15" customHeight="1" s="11">
      <c r="A295" s="13" t="n">
        <v>294</v>
      </c>
      <c r="B295" s="13" t="n">
        <v>29</v>
      </c>
      <c r="C295" s="14">
        <f>INDEX('부작 목록'!$C$2:$C$66,B295)</f>
        <v/>
      </c>
      <c r="D295" s="14" t="inlineStr">
        <is>
          <t>B 카를로스 사건집</t>
        </is>
      </c>
      <c r="E295" s="13" t="n">
        <v>6479</v>
      </c>
      <c r="F295" s="13" t="n">
        <v>10</v>
      </c>
      <c r="G295" s="15" t="inlineStr">
        <is>
          <t>알바로가 컨설턴트 신분으로 누베 이베리카 본사에 출입합니다. 기술이사 헤라르도 몰리나가 그 를 맞이합니다.</t>
        </is>
      </c>
    </row>
    <row r="296" ht="15" customHeight="1" s="11">
      <c r="A296" s="13" t="n">
        <v>295</v>
      </c>
      <c r="B296" s="13" t="n">
        <v>29</v>
      </c>
      <c r="C296" s="14">
        <f>INDEX('부작 목록'!$C$2:$C$66,B296)</f>
        <v/>
      </c>
      <c r="D296" s="14" t="inlineStr">
        <is>
          <t>B 카를로스 사건집</t>
        </is>
      </c>
      <c r="E296" s="13" t="n">
        <v>6492</v>
      </c>
      <c r="F296" s="13" t="n">
        <v>10</v>
      </c>
      <c r="G296" s="15" t="inlineStr">
        <is>
          <t>알바로가 네트워크 트래픽 기록을 분석하며 이상 징후를 발견합니다.</t>
        </is>
      </c>
    </row>
    <row r="297" ht="15" customHeight="1" s="11">
      <c r="A297" s="13" t="n">
        <v>296</v>
      </c>
      <c r="B297" s="13" t="n">
        <v>29</v>
      </c>
      <c r="C297" s="14">
        <f>INDEX('부작 목록'!$C$2:$C$66,B297)</f>
        <v/>
      </c>
      <c r="D297" s="14" t="inlineStr">
        <is>
          <t>B 카를로스 사건집</t>
        </is>
      </c>
      <c r="E297" s="13" t="n">
        <v>6504</v>
      </c>
      <c r="F297" s="13" t="n">
        <v>13</v>
      </c>
      <c r="G297" s="15" t="inlineStr">
        <is>
          <t>알바로가 시스템 엔지니어 사무엘 로카와 자연스럽게 대화를나누며 정보를 캐냅니다.</t>
        </is>
      </c>
    </row>
    <row r="298" ht="15" customHeight="1" s="11">
      <c r="A298" s="13" t="n">
        <v>297</v>
      </c>
      <c r="B298" s="13" t="n">
        <v>29</v>
      </c>
      <c r="C298" s="14">
        <f>INDEX('부작 목록'!$C$2:$C$66,B298)</f>
        <v/>
      </c>
      <c r="D298" s="14" t="inlineStr">
        <is>
          <t>B 카를로스 사건집</t>
        </is>
      </c>
      <c r="E298" s="13" t="n">
        <v>6519</v>
      </c>
      <c r="F298" s="13" t="n">
        <v>10</v>
      </c>
      <c r="G298" s="15" t="inlineStr">
        <is>
          <t>알바로가 카를로스에게 사무엘과의 대화 내용을 보고합니다.</t>
        </is>
      </c>
    </row>
    <row r="299" ht="15" customHeight="1" s="11">
      <c r="A299" s="13" t="n">
        <v>298</v>
      </c>
      <c r="B299" s="13" t="n">
        <v>29</v>
      </c>
      <c r="C299" s="14">
        <f>INDEX('부작 목록'!$C$2:$C$66,B299)</f>
        <v/>
      </c>
      <c r="D299" s="14" t="inlineStr">
        <is>
          <t>B 카를로스 사건집</t>
        </is>
      </c>
      <c r="E299" s="13" t="n">
        <v>6532</v>
      </c>
      <c r="F299" s="13" t="n">
        <v>10</v>
      </c>
      <c r="G299" s="15" t="inlineStr">
        <is>
          <t>알바로가 헤라르도에게 외부 컨설팅 계약서를 요청하며 반응을 살핍니다.</t>
        </is>
      </c>
    </row>
    <row r="300" ht="15" customHeight="1" s="11">
      <c r="A300" s="13" t="n">
        <v>299</v>
      </c>
      <c r="B300" s="13" t="n">
        <v>29</v>
      </c>
      <c r="C300" s="14">
        <f>INDEX('부작 목록'!$C$2:$C$66,B300)</f>
        <v/>
      </c>
      <c r="D300" s="14" t="inlineStr">
        <is>
          <t>B 카를로스 사건집</t>
        </is>
      </c>
      <c r="E300" s="13" t="n">
        <v>6544</v>
      </c>
      <c r="F300" s="13" t="n">
        <v>12</v>
      </c>
      <c r="G300" s="15" t="inlineStr">
        <is>
          <t>그날 밤, 알바로가 자신도 감시당하고 있다는 걸 눈치챕니다.</t>
        </is>
      </c>
    </row>
    <row r="301" ht="15" customHeight="1" s="11">
      <c r="A301" s="13" t="n">
        <v>300</v>
      </c>
      <c r="B301" s="13" t="n">
        <v>29</v>
      </c>
      <c r="C301" s="14">
        <f>INDEX('부작 목록'!$C$2:$C$66,B301)</f>
        <v/>
      </c>
      <c r="D301" s="14" t="inlineStr">
        <is>
          <t>B 카를로스 사건집</t>
        </is>
      </c>
      <c r="E301" s="13" t="n">
        <v>6559</v>
      </c>
      <c r="F301" s="13" t="n">
        <v>11</v>
      </c>
      <c r="G301" s="15" t="inlineStr">
        <is>
          <t>며칠 후, 헤라르도가 마지못해 계약서 일부를 알바로에게 제공합니다.</t>
        </is>
      </c>
    </row>
    <row r="302" ht="15" customHeight="1" s="11">
      <c r="A302" s="13" t="n">
        <v>301</v>
      </c>
      <c r="B302" s="13" t="n">
        <v>29</v>
      </c>
      <c r="C302" s="14">
        <f>INDEX('부작 목록'!$C$2:$C$66,B302)</f>
        <v/>
      </c>
      <c r="D302" s="14" t="inlineStr">
        <is>
          <t>B 카를로스 사건집</t>
        </is>
      </c>
      <c r="E302" s="13" t="n">
        <v>6572</v>
      </c>
      <c r="F302" s="13" t="n">
        <v>11</v>
      </c>
      <c r="G302" s="15" t="inlineStr">
        <is>
          <t>카를로스가 노르드링크 솔루션스에 대한 조사 결과를 전합니다.</t>
        </is>
      </c>
    </row>
    <row r="303" ht="15" customHeight="1" s="11">
      <c r="A303" s="13" t="n">
        <v>302</v>
      </c>
      <c r="B303" s="13" t="n">
        <v>29</v>
      </c>
      <c r="C303" s="14">
        <f>INDEX('부작 목록'!$C$2:$C$66,B303)</f>
        <v/>
      </c>
      <c r="D303" s="14" t="inlineStr">
        <is>
          <t>B 카를로스 사건집</t>
        </is>
      </c>
      <c r="E303" s="13" t="n">
        <v>6585</v>
      </c>
      <c r="F303" s="13" t="n">
        <v>10</v>
      </c>
      <c r="G303" s="15" t="inlineStr">
        <is>
          <t>다음 날, 헤라르도가 알바로에게 예상치 못한 질문을 던지며 긴장이 고조됩니다.</t>
        </is>
      </c>
    </row>
    <row r="304" ht="15" customHeight="1" s="11">
      <c r="A304" s="13" t="n">
        <v>303</v>
      </c>
      <c r="B304" s="13" t="n">
        <v>29</v>
      </c>
      <c r="C304" s="14">
        <f>INDEX('부작 목록'!$C$2:$C$66,B304)</f>
        <v/>
      </c>
      <c r="D304" s="14" t="inlineStr">
        <is>
          <t>B 카를로스 사건집</t>
        </is>
      </c>
      <c r="E304" s="13" t="n">
        <v>6598</v>
      </c>
      <c r="F304" s="13" t="n">
        <v>9</v>
      </c>
      <c r="G304" s="15" t="inlineStr">
        <is>
          <t>알바로가 카를로스에게 상황을 보고하며 시간이 촉박함을 알립니다.</t>
        </is>
      </c>
    </row>
    <row r="305" ht="15" customHeight="1" s="11">
      <c r="A305" s="13" t="n">
        <v>304</v>
      </c>
      <c r="B305" s="13" t="n">
        <v>29</v>
      </c>
      <c r="C305" s="14">
        <f>INDEX('부작 목록'!$C$2:$C$66,B305)</f>
        <v/>
      </c>
      <c r="D305" s="14" t="inlineStr">
        <is>
          <t>B 카를로스 사건집</t>
        </is>
      </c>
      <c r="E305" s="13" t="n">
        <v>6609</v>
      </c>
      <c r="F305" s="13" t="n">
        <v>10</v>
      </c>
      <c r="G305" s="15" t="inlineStr">
        <is>
          <t>그날 밤, 알바로가 늦게까지 남아 결정적 트래픽 로그를 확보합니다.</t>
        </is>
      </c>
    </row>
    <row r="306" ht="15" customHeight="1" s="11">
      <c r="A306" s="13" t="n">
        <v>305</v>
      </c>
      <c r="B306" s="13" t="n">
        <v>29</v>
      </c>
      <c r="C306" s="14">
        <f>INDEX('부작 목록'!$C$2:$C$66,B306)</f>
        <v/>
      </c>
      <c r="D306" s="14" t="inlineStr">
        <is>
          <t>B 카를로스 사건집</t>
        </is>
      </c>
      <c r="E306" s="13" t="n">
        <v>6622</v>
      </c>
      <c r="F306" s="13" t="n">
        <v>10</v>
      </c>
      <c r="G306" s="15" t="inlineStr">
        <is>
          <t>다음 날, 카를로스와 마르코스가 확보한 증거를 분석합니다.</t>
        </is>
      </c>
    </row>
    <row r="307" ht="15" customHeight="1" s="11">
      <c r="A307" s="13" t="n">
        <v>306</v>
      </c>
      <c r="B307" s="13" t="n">
        <v>29</v>
      </c>
      <c r="C307" s="14">
        <f>INDEX('부작 목록'!$C$2:$C$66,B307)</f>
        <v/>
      </c>
      <c r="D307" s="14" t="inlineStr">
        <is>
          <t>B 카를로스 사건집</t>
        </is>
      </c>
      <c r="E307" s="13" t="n">
        <v>6634</v>
      </c>
      <c r="F307" s="13" t="n">
        <v>11</v>
      </c>
      <c r="G307" s="15" t="inlineStr">
        <is>
          <t>판사의 승인을 받아, 누베 이베리카 본사에 대한 개입이 이뤄집니다.</t>
        </is>
      </c>
    </row>
    <row r="308" ht="15" customHeight="1" s="11">
      <c r="A308" s="13" t="n">
        <v>307</v>
      </c>
      <c r="B308" s="13" t="n">
        <v>29</v>
      </c>
      <c r="C308" s="14">
        <f>INDEX('부작 목록'!$C$2:$C$66,B308)</f>
        <v/>
      </c>
      <c r="D308" s="14" t="inlineStr">
        <is>
          <t>B 카를로스 사건집</t>
        </is>
      </c>
      <c r="E308" s="13" t="n">
        <v>6648</v>
      </c>
      <c r="F308" s="13" t="n">
        <v>12</v>
      </c>
      <c r="G308" s="15" t="inlineStr">
        <is>
          <t>며칠 후, 카를로스가 배후에 대한 최종 정보를 전합니다.</t>
        </is>
      </c>
    </row>
    <row r="309" ht="15" customHeight="1" s="11">
      <c r="A309" s="13" t="n">
        <v>308</v>
      </c>
      <c r="B309" s="13" t="n">
        <v>29</v>
      </c>
      <c r="C309" s="14">
        <f>INDEX('부작 목록'!$C$2:$C$66,B309)</f>
        <v/>
      </c>
      <c r="D309" s="14" t="inlineStr">
        <is>
          <t>B 카를로스 사건집</t>
        </is>
      </c>
      <c r="E309" s="13" t="n">
        <v>6663</v>
      </c>
      <c r="F309" s="13" t="n">
        <v>12</v>
      </c>
      <c r="G309" s="15" t="inlineStr">
        <is>
          <t>알바로가 하비에르에게 이번 사건의 전모를 설명하며, 이번에도 보도 불가한 사안임을 확인합니 다.</t>
        </is>
      </c>
    </row>
    <row r="310" ht="15" customHeight="1" s="11">
      <c r="A310" s="13" t="n">
        <v>309</v>
      </c>
      <c r="B310" s="13" t="n">
        <v>29</v>
      </c>
      <c r="C310" s="14">
        <f>INDEX('부작 목록'!$C$2:$C$66,B310)</f>
        <v/>
      </c>
      <c r="D310" s="14" t="inlineStr">
        <is>
          <t>B 카를로스 사건집</t>
        </is>
      </c>
      <c r="E310" s="13" t="n">
        <v>6677</v>
      </c>
      <c r="F310" s="13" t="n">
        <v>13</v>
      </c>
      <c r="G310" s="15" t="inlineStr">
        <is>
          <t>며칠 후, 알바로·카를로스·마르코스가 함께 저녁을 먹으며 사건을 정리합니다.</t>
        </is>
      </c>
    </row>
    <row r="311" ht="15" customHeight="1" s="11">
      <c r="A311" s="13" t="n">
        <v>310</v>
      </c>
      <c r="B311" s="13" t="n">
        <v>29</v>
      </c>
      <c r="C311" s="14">
        <f>INDEX('부작 목록'!$C$2:$C$66,B311)</f>
        <v/>
      </c>
      <c r="D311" s="14" t="inlineStr">
        <is>
          <t>B 카를로스 사건집</t>
        </is>
      </c>
      <c r="E311" s="13" t="n">
        <v>6693</v>
      </c>
      <c r="F311" s="13" t="n">
        <v>29</v>
      </c>
      <c r="G311" s="15" t="inlineStr">
        <is>
          <t>체포 이후, 헤라르도 몰리나가 수사에 전면 협조하며 예상보다 훨씬 큰 그림을 드러냅니다.</t>
        </is>
      </c>
    </row>
    <row r="312" ht="28.35" customHeight="1" s="11">
      <c r="A312" s="13" t="n">
        <v>311</v>
      </c>
      <c r="B312" s="13" t="n">
        <v>29</v>
      </c>
      <c r="C312" s="14">
        <f>INDEX('부작 목록'!$C$2:$C$66,B312)</f>
        <v/>
      </c>
      <c r="D312" s="14" t="inlineStr">
        <is>
          <t>B 카를로스 사건집</t>
        </is>
      </c>
      <c r="E312" s="13" t="n">
        <v>6726</v>
      </c>
      <c r="F312" s="13" t="n">
        <v>19</v>
      </c>
      <c r="G312" s="15" t="inlineStr">
        <is>
          <t>헤라르도의 이메일을 근거로, 카를로스가 포르투갈·이탈리아 정보기관과의 공조 회의를 주선합 니다. 알바로도 배석합니다.</t>
        </is>
      </c>
    </row>
    <row r="313" ht="15" customHeight="1" s="11">
      <c r="A313" s="13" t="n">
        <v>312</v>
      </c>
      <c r="B313" s="13" t="n">
        <v>29</v>
      </c>
      <c r="C313" s="14">
        <f>INDEX('부작 목록'!$C$2:$C$66,B313)</f>
        <v/>
      </c>
      <c r="D313" s="14" t="inlineStr">
        <is>
          <t>B 카를로스 사건집</t>
        </is>
      </c>
      <c r="E313" s="13" t="n">
        <v>6748</v>
      </c>
      <c r="F313" s="13" t="n">
        <v>15</v>
      </c>
      <c r="G313" s="15" t="inlineStr">
        <is>
          <t>협조 중이던 헤라르도가 감옥 안에서 위협을 받으며 새로운 위기가 발생합니다.</t>
        </is>
      </c>
    </row>
    <row r="314" ht="15" customHeight="1" s="11">
      <c r="A314" s="13" t="n">
        <v>313</v>
      </c>
      <c r="B314" s="13" t="n">
        <v>29</v>
      </c>
      <c r="C314" s="14">
        <f>INDEX('부작 목록'!$C$2:$C$66,B314)</f>
        <v/>
      </c>
      <c r="D314" s="14" t="inlineStr">
        <is>
          <t>B 카를로스 사건집</t>
        </is>
      </c>
      <c r="E314" s="13" t="n">
        <v>6765</v>
      </c>
      <c r="F314" s="13" t="n">
        <v>13</v>
      </c>
      <c r="G314" s="15" t="inlineStr">
        <is>
          <t>몇 주간의 준비 끝에, 스페인·포르투갈·이탈리아가 동시에 관련 기업들을 급습합니다.</t>
        </is>
      </c>
    </row>
    <row r="315" ht="15" customHeight="1" s="11">
      <c r="A315" s="13" t="n">
        <v>314</v>
      </c>
      <c r="B315" s="13" t="n">
        <v>29</v>
      </c>
      <c r="C315" s="14">
        <f>INDEX('부작 목록'!$C$2:$C$66,B315)</f>
        <v/>
      </c>
      <c r="D315" s="14" t="inlineStr">
        <is>
          <t>B 카를로스 사건집</t>
        </is>
      </c>
      <c r="E315" s="13" t="n">
        <v>6780</v>
      </c>
      <c r="F315" s="13" t="n">
        <v>18</v>
      </c>
      <c r="G315" s="15" t="inlineStr">
        <is>
          <t>며칠 후, 마르코스와 카를로스가 압수된 서버 장비 분석 결과를 알바로와 공유합니다.</t>
        </is>
      </c>
    </row>
    <row r="316" ht="15" customHeight="1" s="11">
      <c r="A316" s="13" t="n">
        <v>315</v>
      </c>
      <c r="B316" s="13" t="n">
        <v>29</v>
      </c>
      <c r="C316" s="14">
        <f>INDEX('부작 목록'!$C$2:$C$66,B316)</f>
        <v/>
      </c>
      <c r="D316" s="14" t="inlineStr">
        <is>
          <t>B 카를로스 사건집</t>
        </is>
      </c>
      <c r="E316" s="13" t="n">
        <v>6801</v>
      </c>
      <c r="F316" s="13" t="n">
        <v>16</v>
      </c>
      <c r="G316" s="15" t="inlineStr">
        <is>
          <t>알바로가 하비에르에게 이번 국제 사건의 전모를 상세히 설명합니다.</t>
        </is>
      </c>
    </row>
    <row r="317" ht="15" customHeight="1" s="11">
      <c r="A317" s="13" t="n">
        <v>316</v>
      </c>
      <c r="B317" s="13" t="n">
        <v>29</v>
      </c>
      <c r="C317" s="14">
        <f>INDEX('부작 목록'!$C$2:$C$66,B317)</f>
        <v/>
      </c>
      <c r="D317" s="14" t="inlineStr">
        <is>
          <t>B 카를로스 사건집</t>
        </is>
      </c>
      <c r="E317" s="13" t="n">
        <v>6820</v>
      </c>
      <c r="F317" s="13" t="n">
        <v>21</v>
      </c>
      <c r="G317" s="15" t="inlineStr">
        <is>
          <t>몇 주 후, 알바로·카를로스·마르코스·하비에르가 함께 저녁을 먹으며 이 긴 국제 수사를 마무리 짓습니다.</t>
        </is>
      </c>
    </row>
    <row r="318" ht="15" customHeight="1" s="11">
      <c r="A318" s="13" t="n">
        <v>317</v>
      </c>
      <c r="B318" s="13" t="n">
        <v>29</v>
      </c>
      <c r="C318" s="14">
        <f>INDEX('부작 목록'!$C$2:$C$66,B318)</f>
        <v/>
      </c>
      <c r="D318" s="14" t="inlineStr">
        <is>
          <t>B 카를로스 사건집</t>
        </is>
      </c>
      <c r="E318" s="13" t="n">
        <v>6844</v>
      </c>
      <c r="F318" s="13" t="n">
        <v>17</v>
      </c>
      <c r="G318" s="15" t="inlineStr">
        <is>
          <t>몇 주 후, 카를로스가 알바로에게 이번 사건이 남긴 정책적 여파를 설명합니다.</t>
        </is>
      </c>
    </row>
    <row r="319" ht="41.75" customHeight="1" s="11">
      <c r="A319" s="13" t="n">
        <v>318</v>
      </c>
      <c r="B319" s="13" t="n">
        <v>30</v>
      </c>
      <c r="C319" s="14">
        <f>INDEX('부작 목록'!$C$2:$C$66,B319)</f>
        <v/>
      </c>
      <c r="D319" s="14" t="inlineStr">
        <is>
          <t>B 카를로스 사건집</t>
        </is>
      </c>
      <c r="E319" s="13" t="n">
        <v>6864</v>
      </c>
      <c r="F319" s="13" t="n">
        <v>13</v>
      </c>
      <c r="G319" s="15" t="inlineStr">
        <is>
          <t>새로운 취재. 하비에르가 노동인권 NGO '푼다시온 암파로'로부터 제보를 받습니다. 남부 스페인 의 한 채소 농장 지대에서 이주노동자들이 빚에 묶여 사실상 강제노동을 당하고 있다는 내용입 니다. 등장인물은 전원 남성으로 구성했습니다.</t>
        </is>
      </c>
    </row>
    <row r="320" ht="15" customHeight="1" s="11">
      <c r="A320" s="13" t="n">
        <v>319</v>
      </c>
      <c r="B320" s="13" t="n">
        <v>30</v>
      </c>
      <c r="C320" s="14">
        <f>INDEX('부작 목록'!$C$2:$C$66,B320)</f>
        <v/>
      </c>
      <c r="D320" s="14" t="inlineStr">
        <is>
          <t>B 카를로스 사건집</t>
        </is>
      </c>
      <c r="E320" s="13" t="n">
        <v>6880</v>
      </c>
      <c r="F320" s="13" t="n">
        <v>11</v>
      </c>
      <c r="G320" s="15" t="inlineStr">
        <is>
          <t>하비에르가 알바로에게 사건을 전하며, 이번엔 노동자로 위장 취업하는 방식을 논의합니다.</t>
        </is>
      </c>
    </row>
    <row r="321" ht="28.35" customHeight="1" s="11">
      <c r="A321" s="13" t="n">
        <v>320</v>
      </c>
      <c r="B321" s="13" t="n">
        <v>30</v>
      </c>
      <c r="C321" s="14">
        <f>INDEX('부작 목록'!$C$2:$C$66,B321)</f>
        <v/>
      </c>
      <c r="D321" s="14" t="inlineStr">
        <is>
          <t>B 카를로스 사건집</t>
        </is>
      </c>
      <c r="E321" s="13" t="n">
        <v>6894</v>
      </c>
      <c r="F321" s="13" t="n">
        <v>16</v>
      </c>
      <c r="G321" s="15" t="inlineStr">
        <is>
          <t>알바로가 위장 신분 '마놀로 이바라'로 마노스 세구라스 모집 사무소를 찾아갑니다. 채용 담당 오스왈도가 그를 맞이합니다.</t>
        </is>
      </c>
    </row>
    <row r="322" ht="15" customHeight="1" s="11">
      <c r="A322" s="13" t="n">
        <v>321</v>
      </c>
      <c r="B322" s="13" t="n">
        <v>30</v>
      </c>
      <c r="C322" s="14">
        <f>INDEX('부작 목록'!$C$2:$C$66,B322)</f>
        <v/>
      </c>
      <c r="D322" s="14" t="inlineStr">
        <is>
          <t>B 카를로스 사건집</t>
        </is>
      </c>
      <c r="E322" s="13" t="n">
        <v>6912</v>
      </c>
      <c r="F322" s="13" t="n">
        <v>12</v>
      </c>
      <c r="G322" s="15" t="inlineStr">
        <is>
          <t>다음 날 새벽, 알바로가 다른 노동자들과 함께 농장에 도착합니다. 열악한 실태를 처음 목격합</t>
        </is>
      </c>
    </row>
    <row r="323" ht="15" customHeight="1" s="11">
      <c r="A323" s="13" t="n">
        <v>322</v>
      </c>
      <c r="B323" s="13" t="n">
        <v>30</v>
      </c>
      <c r="C323" s="14">
        <f>INDEX('부작 목록'!$C$2:$C$66,B323)</f>
        <v/>
      </c>
      <c r="D323" s="14" t="inlineStr">
        <is>
          <t>B 카를로스 사건집</t>
        </is>
      </c>
      <c r="E323" s="13" t="n">
        <v>6927</v>
      </c>
      <c r="F323" s="13" t="n">
        <v>16</v>
      </c>
      <c r="G323" s="15" t="inlineStr">
        <is>
          <t>그날 밤, 숙소에서 알바로가 다른 노동자들과 이야기를 나누며 실태를 더 파악합니다.</t>
        </is>
      </c>
    </row>
    <row r="324" ht="15" customHeight="1" s="11">
      <c r="A324" s="13" t="n">
        <v>323</v>
      </c>
      <c r="B324" s="13" t="n">
        <v>30</v>
      </c>
      <c r="C324" s="14">
        <f>INDEX('부작 목록'!$C$2:$C$66,B324)</f>
        <v/>
      </c>
      <c r="D324" s="14" t="inlineStr">
        <is>
          <t>B 카를로스 사건집</t>
        </is>
      </c>
      <c r="E324" s="13" t="n">
        <v>6946</v>
      </c>
      <c r="F324" s="13" t="n">
        <v>10</v>
      </c>
      <c r="G324" s="15" t="inlineStr">
        <is>
          <t>다음 날, 알바로가 감독관 페드로 사엔스와 처음으로 긴장된 상황을 겪습니다.</t>
        </is>
      </c>
    </row>
    <row r="325" ht="15" customHeight="1" s="11">
      <c r="A325" s="13" t="n">
        <v>324</v>
      </c>
      <c r="B325" s="13" t="n">
        <v>30</v>
      </c>
      <c r="C325" s="14">
        <f>INDEX('부작 목록'!$C$2:$C$66,B325)</f>
        <v/>
      </c>
      <c r="D325" s="14" t="inlineStr">
        <is>
          <t>B 카를로스 사건집</t>
        </is>
      </c>
      <c r="E325" s="13" t="n">
        <v>6959</v>
      </c>
      <c r="F325" s="13" t="n">
        <v>13</v>
      </c>
      <c r="G325" s="15" t="inlineStr">
        <is>
          <t>며칠 후, 알바로가 몰래 마을 상점 전화를 빌려 하비에르에게 상황을 전합니다.</t>
        </is>
      </c>
    </row>
    <row r="326" ht="15" customHeight="1" s="11">
      <c r="A326" s="13" t="n">
        <v>325</v>
      </c>
      <c r="B326" s="13" t="n">
        <v>30</v>
      </c>
      <c r="C326" s="14">
        <f>INDEX('부작 목록'!$C$2:$C$66,B326)</f>
        <v/>
      </c>
      <c r="D326" s="14" t="inlineStr">
        <is>
          <t>B 카를로스 사건집</t>
        </is>
      </c>
      <c r="E326" s="13" t="n">
        <v>6974</v>
      </c>
      <c r="F326" s="13" t="n">
        <v>10</v>
      </c>
      <c r="G326" s="15" t="inlineStr">
        <is>
          <t>하비에르가 루벤에게 알바로의 보고 내용을 전하며, 실종된 노동자에 대한 대응을 논의합니다.</t>
        </is>
      </c>
    </row>
    <row r="327" ht="15" customHeight="1" s="11">
      <c r="A327" s="13" t="n">
        <v>326</v>
      </c>
      <c r="B327" s="13" t="n">
        <v>30</v>
      </c>
      <c r="C327" s="14">
        <f>INDEX('부작 목록'!$C$2:$C$66,B327)</f>
        <v/>
      </c>
      <c r="D327" s="14" t="inlineStr">
        <is>
          <t>B 카를로스 사건집</t>
        </is>
      </c>
      <c r="E327" s="13" t="n">
        <v>6987</v>
      </c>
      <c r="F327" s="13" t="n">
        <v>15</v>
      </c>
      <c r="G327" s="15" t="inlineStr">
        <is>
          <t>알바로가 급여명세서 문제로 사무소를 다시 찾아가 오스왈도와 대화하며, 조직 규모를 파악합니 다.</t>
        </is>
      </c>
    </row>
    <row r="328" ht="15" customHeight="1" s="11">
      <c r="A328" s="13" t="n">
        <v>327</v>
      </c>
      <c r="B328" s="13" t="n">
        <v>30</v>
      </c>
      <c r="C328" s="14">
        <f>INDEX('부작 목록'!$C$2:$C$66,B328)</f>
        <v/>
      </c>
      <c r="D328" s="14" t="inlineStr">
        <is>
          <t>B 카를로스 사건집</t>
        </is>
      </c>
      <c r="E328" s="13" t="n">
        <v>7005</v>
      </c>
      <c r="F328" s="13" t="n">
        <v>14</v>
      </c>
      <c r="G328" s="15" t="inlineStr">
        <is>
          <t>밤에, 알바로가 트라바하도르3과 실종된 동료에 대해 좀 더 깊이 이야기를 나눕니다.</t>
        </is>
      </c>
    </row>
    <row r="329" ht="15" customHeight="1" s="11">
      <c r="A329" s="13" t="n">
        <v>328</v>
      </c>
      <c r="B329" s="13" t="n">
        <v>30</v>
      </c>
      <c r="C329" s="14">
        <f>INDEX('부작 목록'!$C$2:$C$66,B329)</f>
        <v/>
      </c>
      <c r="D329" s="14" t="inlineStr">
        <is>
          <t>B 카를로스 사건집</t>
        </is>
      </c>
      <c r="E329" s="13" t="n">
        <v>7021</v>
      </c>
      <c r="F329" s="13" t="n">
        <v>10</v>
      </c>
      <c r="G329" s="15" t="inlineStr">
        <is>
          <t>알바로가 몰래 숨겨둔 소형 카메라로 숙소와 임금대장을 촬영합니다.</t>
        </is>
      </c>
    </row>
    <row r="330" ht="15" customHeight="1" s="11">
      <c r="A330" s="13" t="n">
        <v>329</v>
      </c>
      <c r="B330" s="13" t="n">
        <v>30</v>
      </c>
      <c r="C330" s="14">
        <f>INDEX('부작 목록'!$C$2:$C$66,B330)</f>
        <v/>
      </c>
      <c r="D330" s="14" t="inlineStr">
        <is>
          <t>B 카를로스 사건집</t>
        </is>
      </c>
      <c r="E330" s="13" t="n">
        <v>7034</v>
      </c>
      <c r="F330" s="13" t="n">
        <v>11</v>
      </c>
      <c r="G330" s="15" t="inlineStr">
        <is>
          <t>며칠 후, 알바로가 마을에서 잠시 짬을 내 하비에르에게 증거 자료를 전달합니다.</t>
        </is>
      </c>
    </row>
    <row r="331" ht="15" customHeight="1" s="11">
      <c r="A331" s="13" t="n">
        <v>330</v>
      </c>
      <c r="B331" s="13" t="n">
        <v>30</v>
      </c>
      <c r="C331" s="14">
        <f>INDEX('부작 목록'!$C$2:$C$66,B331)</f>
        <v/>
      </c>
      <c r="D331" s="14" t="inlineStr">
        <is>
          <t>B 카를로스 사건집</t>
        </is>
      </c>
      <c r="E331" s="13" t="n">
        <v>7047</v>
      </c>
      <c r="F331" s="13" t="n">
        <v>8</v>
      </c>
      <c r="G331" s="15" t="inlineStr">
        <is>
          <t>며칠 후, 한 노동자가 작업 중 다쳐 아무런 의료 지원도 받지 못하는 상황이 벌어집니다.</t>
        </is>
      </c>
    </row>
    <row r="332" ht="15" customHeight="1" s="11">
      <c r="A332" s="13" t="n">
        <v>331</v>
      </c>
      <c r="B332" s="13" t="n">
        <v>30</v>
      </c>
      <c r="C332" s="14">
        <f>INDEX('부작 목록'!$C$2:$C$66,B332)</f>
        <v/>
      </c>
      <c r="D332" s="14" t="inlineStr">
        <is>
          <t>B 카를로스 사건집</t>
        </is>
      </c>
      <c r="E332" s="13" t="n">
        <v>7057</v>
      </c>
      <c r="F332" s="13" t="n">
        <v>7</v>
      </c>
      <c r="G332" s="15" t="inlineStr">
        <is>
          <t>그날 밤, 부상당한 노동자의 상태가 악화되며 알바로가 결단을 내립니다.</t>
        </is>
      </c>
    </row>
    <row r="333" ht="15" customHeight="1" s="11">
      <c r="A333" s="13" t="n">
        <v>332</v>
      </c>
      <c r="B333" s="13" t="n">
        <v>30</v>
      </c>
      <c r="C333" s="14">
        <f>INDEX('부작 목록'!$C$2:$C$66,B333)</f>
        <v/>
      </c>
      <c r="D333" s="14" t="inlineStr">
        <is>
          <t>B 카를로스 사건집</t>
        </is>
      </c>
      <c r="E333" s="13" t="n">
        <v>7066</v>
      </c>
      <c r="F333" s="13" t="n">
        <v>11</v>
      </c>
      <c r="G333" s="15" t="inlineStr">
        <is>
          <t>알바로가 부상당한 트라바하도르1을 인근 병원으로 데려가며, 하비에르에게 긴급 연락합니다.</t>
        </is>
      </c>
    </row>
    <row r="334" ht="15" customHeight="1" s="11">
      <c r="A334" s="13" t="n">
        <v>333</v>
      </c>
      <c r="B334" s="13" t="n">
        <v>30</v>
      </c>
      <c r="C334" s="14">
        <f>INDEX('부작 목록'!$C$2:$C$66,B334)</f>
        <v/>
      </c>
      <c r="D334" s="14" t="inlineStr">
        <is>
          <t>B 카를로스 사건집</t>
        </is>
      </c>
      <c r="E334" s="13" t="n">
        <v>7080</v>
      </c>
      <c r="F334" s="13" t="n">
        <v>9</v>
      </c>
      <c r="G334" s="15" t="inlineStr">
        <is>
          <t>병원에서 트라바하도르1(이제 실명으로 오마르라고 밝혀짐)의 상태를 확인하고, 향후 보호 방안 을 논의합니다.</t>
        </is>
      </c>
    </row>
    <row r="335" ht="15" customHeight="1" s="11">
      <c r="A335" s="13" t="n">
        <v>334</v>
      </c>
      <c r="B335" s="13" t="n">
        <v>30</v>
      </c>
      <c r="C335" s="14">
        <f>INDEX('부작 목록'!$C$2:$C$66,B335)</f>
        <v/>
      </c>
      <c r="D335" s="14" t="inlineStr">
        <is>
          <t>B 카를로스 사건집</t>
        </is>
      </c>
      <c r="E335" s="13" t="n">
        <v>7092</v>
      </c>
      <c r="F335" s="13" t="n">
        <v>13</v>
      </c>
      <c r="G335" s="15" t="inlineStr">
        <is>
          <t>루벤이 노동감독관 인마쿨라다... 아니, 정정: 남성 감독관 페르난도 로요 감독관과 긴급 회의를 주선합니다.</t>
        </is>
      </c>
    </row>
    <row r="336" ht="15" customHeight="1" s="11">
      <c r="A336" s="13" t="n">
        <v>335</v>
      </c>
      <c r="B336" s="13" t="n">
        <v>30</v>
      </c>
      <c r="C336" s="14">
        <f>INDEX('부작 목록'!$C$2:$C$66,B336)</f>
        <v/>
      </c>
      <c r="D336" s="14" t="inlineStr">
        <is>
          <t>B 카를로스 사건집</t>
        </is>
      </c>
      <c r="E336" s="13" t="n">
        <v>7107</v>
      </c>
      <c r="F336" s="13" t="n">
        <v>9</v>
      </c>
      <c r="G336" s="15" t="inlineStr">
        <is>
          <t>페르난도가 유수프 트라오레에 대한 실종 신고 여부를 확인한 결과를 전합니다.</t>
        </is>
      </c>
    </row>
    <row r="337" ht="15" customHeight="1" s="11">
      <c r="A337" s="13" t="n">
        <v>336</v>
      </c>
      <c r="B337" s="13" t="n">
        <v>30</v>
      </c>
      <c r="C337" s="14">
        <f>INDEX('부작 목록'!$C$2:$C$66,B337)</f>
        <v/>
      </c>
      <c r="D337" s="14" t="inlineStr">
        <is>
          <t>B 카를로스 사건집</t>
        </is>
      </c>
      <c r="E337" s="13" t="n">
        <v>7118</v>
      </c>
      <c r="F337" s="13" t="n">
        <v>9</v>
      </c>
      <c r="G337" s="15" t="inlineStr">
        <is>
          <t>다음 날 새벽, 노동감독관과 경찰이 농장과 모집 사무소를 동시에 급습합니다.</t>
        </is>
      </c>
    </row>
    <row r="338" ht="15" customHeight="1" s="11">
      <c r="A338" s="13" t="n">
        <v>337</v>
      </c>
      <c r="B338" s="13" t="n">
        <v>30</v>
      </c>
      <c r="C338" s="14">
        <f>INDEX('부작 목록'!$C$2:$C$66,B338)</f>
        <v/>
      </c>
      <c r="D338" s="14" t="inlineStr">
        <is>
          <t>B 카를로스 사건집</t>
        </is>
      </c>
      <c r="E338" s="13" t="n">
        <v>7130</v>
      </c>
      <c r="F338" s="13" t="n">
        <v>11</v>
      </c>
      <c r="G338" s="15" t="inlineStr">
        <is>
          <t>며칠 후, 알바로가 안전한 임시 숙소에서 트라바하도르 2와 3, 그리고 회복 중인 오마르와 재회 합니다.</t>
        </is>
      </c>
    </row>
    <row r="339" ht="15" customHeight="1" s="11">
      <c r="A339" s="13" t="n">
        <v>338</v>
      </c>
      <c r="B339" s="13" t="n">
        <v>30</v>
      </c>
      <c r="C339" s="14">
        <f>INDEX('부작 목록'!$C$2:$C$66,B339)</f>
        <v/>
      </c>
      <c r="D339" s="14" t="inlineStr">
        <is>
          <t>B 카를로스 사건집</t>
        </is>
      </c>
      <c r="E339" s="13" t="n">
        <v>7143</v>
      </c>
      <c r="F339" s="13" t="n">
        <v>12</v>
      </c>
      <c r="G339" s="15" t="inlineStr">
        <is>
          <t>몇 주 후, 페르난도가 유수프에 대한 소식을 전합니다.</t>
        </is>
      </c>
    </row>
    <row r="340" ht="15" customHeight="1" s="11">
      <c r="A340" s="13" t="n">
        <v>339</v>
      </c>
      <c r="B340" s="13" t="n">
        <v>30</v>
      </c>
      <c r="C340" s="14">
        <f>INDEX('부작 목록'!$C$2:$C$66,B340)</f>
        <v/>
      </c>
      <c r="D340" s="14" t="inlineStr">
        <is>
          <t>B 카를로스 사건집</t>
        </is>
      </c>
      <c r="E340" s="13" t="n">
        <v>7158</v>
      </c>
      <c r="F340" s="13" t="n">
        <v>12</v>
      </c>
      <c r="G340" s="15" t="inlineStr">
        <is>
          <t>몇 달 후, 오스왈도와 페드로에 대한 재판이 준비됩니다. 루벤이 알바로와 함께 진행 상황을 점 검합니다.</t>
        </is>
      </c>
    </row>
    <row r="341" ht="15" customHeight="1" s="11">
      <c r="A341" s="13" t="n">
        <v>340</v>
      </c>
      <c r="B341" s="13" t="n">
        <v>30</v>
      </c>
      <c r="C341" s="14">
        <f>INDEX('부작 목록'!$C$2:$C$66,B341)</f>
        <v/>
      </c>
      <c r="D341" s="14" t="inlineStr">
        <is>
          <t>B 카를로스 사건집</t>
        </is>
      </c>
      <c r="E341" s="13" t="n">
        <v>7173</v>
      </c>
      <c r="F341" s="13" t="n">
        <v>16</v>
      </c>
      <c r="G341" s="15" t="inlineStr">
        <is>
          <t>재판이 시작됩니다. 알바로가 증인으로 출석합니다.</t>
        </is>
      </c>
    </row>
    <row r="342" ht="15" customHeight="1" s="11">
      <c r="A342" s="13" t="n">
        <v>341</v>
      </c>
      <c r="B342" s="13" t="n">
        <v>30</v>
      </c>
      <c r="C342" s="14">
        <f>INDEX('부작 목록'!$C$2:$C$66,B342)</f>
        <v/>
      </c>
      <c r="D342" s="14" t="inlineStr">
        <is>
          <t>B 카를로스 사건집</t>
        </is>
      </c>
      <c r="E342" s="13" t="n">
        <v>7192</v>
      </c>
      <c r="F342" s="13" t="n">
        <v>10</v>
      </c>
      <c r="G342" s="15" t="inlineStr">
        <is>
          <t>재판이 진행되는 동안, 알바로와 하비에르가 최종 보도를 준비합니다.</t>
        </is>
      </c>
    </row>
    <row r="343" ht="15" customHeight="1" s="11">
      <c r="A343" s="13" t="n">
        <v>342</v>
      </c>
      <c r="B343" s="13" t="n">
        <v>30</v>
      </c>
      <c r="C343" s="14">
        <f>INDEX('부작 목록'!$C$2:$C$66,B343)</f>
        <v/>
      </c>
      <c r="D343" s="14" t="inlineStr">
        <is>
          <t>B 카를로스 사건집</t>
        </is>
      </c>
      <c r="E343" s="13" t="n">
        <v>7204</v>
      </c>
      <c r="F343" s="13" t="n">
        <v>17</v>
      </c>
      <c r="G343" s="15" t="inlineStr">
        <is>
          <t>몇 주 후, 알바로·하비에르·루벤이 오마르와 함께 저녁을 먹으며 이 긴 여정을 마무리합니다.</t>
        </is>
      </c>
    </row>
    <row r="344" ht="15" customHeight="1" s="11">
      <c r="A344" s="13" t="n">
        <v>343</v>
      </c>
      <c r="B344" s="13" t="n">
        <v>30</v>
      </c>
      <c r="C344" s="14">
        <f>INDEX('부작 목록'!$C$2:$C$66,B344)</f>
        <v/>
      </c>
      <c r="D344" s="14" t="inlineStr">
        <is>
          <t>B 카를로스 사건집</t>
        </is>
      </c>
      <c r="E344" s="13" t="n">
        <v>7224</v>
      </c>
      <c r="F344" s="13" t="n">
        <v>11</v>
      </c>
      <c r="G344" s="15" t="inlineStr">
        <is>
          <t>몇 달 후, 최종 판결이 내려집니다.</t>
        </is>
      </c>
    </row>
    <row r="345" ht="15" customHeight="1" s="11">
      <c r="A345" s="13" t="n">
        <v>344</v>
      </c>
      <c r="B345" s="13" t="n">
        <v>30</v>
      </c>
      <c r="C345" s="14">
        <f>INDEX('부작 목록'!$C$2:$C$66,B345)</f>
        <v/>
      </c>
      <c r="D345" s="14" t="inlineStr">
        <is>
          <t>B 카를로스 사건집</t>
        </is>
      </c>
      <c r="E345" s="13" t="n">
        <v>7238</v>
      </c>
      <c r="F345" s="13" t="n">
        <v>10</v>
      </c>
      <c r="G345" s="15" t="inlineStr">
        <is>
          <t>판결 이후, 알바로가 조용히 하비에르와 마지막 대화를 나눕니다.</t>
        </is>
      </c>
    </row>
    <row r="346" ht="28.35" customHeight="1" s="11">
      <c r="A346" s="13" t="n">
        <v>345</v>
      </c>
      <c r="B346" s="13" t="n">
        <v>31</v>
      </c>
      <c r="C346" s="14">
        <f>INDEX('부작 목록'!$C$2:$C$66,B346)</f>
        <v/>
      </c>
      <c r="D346" s="14" t="inlineStr">
        <is>
          <t>B 카를로스 사건집</t>
        </is>
      </c>
      <c r="E346" s="13" t="n">
        <v>7250</v>
      </c>
      <c r="F346" s="13" t="n">
        <v>23</v>
      </c>
      <c r="G346" s="15" t="inlineStr">
        <is>
          <t>새로운 작전. 카를로스가 알바로에게 콜롬비아-스페인 마약 유통 조직에 대한 마지막 브리핑을 합니다. 이번엔 통신이 극도로 제한되어, 알바로가 거의 혼자 작전을 수행해야 합니다.</t>
        </is>
      </c>
    </row>
    <row r="347" ht="15" customHeight="1" s="11">
      <c r="A347" s="13" t="n">
        <v>346</v>
      </c>
      <c r="B347" s="13" t="n">
        <v>31</v>
      </c>
      <c r="C347" s="14">
        <f>INDEX('부작 목록'!$C$2:$C$66,B347)</f>
        <v/>
      </c>
      <c r="D347" s="14" t="inlineStr">
        <is>
          <t>B 카를로스 사건집</t>
        </is>
      </c>
      <c r="E347" s="13" t="n">
        <v>7277</v>
      </c>
      <c r="F347" s="13" t="n">
        <v>12</v>
      </c>
      <c r="G347" s="15" t="inlineStr">
        <is>
          <t>알바로가 갈리시아의 한 항구 술집에서 중개인 시메온과 접선합니다.</t>
        </is>
      </c>
    </row>
    <row r="348" ht="15" customHeight="1" s="11">
      <c r="A348" s="13" t="n">
        <v>347</v>
      </c>
      <c r="B348" s="13" t="n">
        <v>31</v>
      </c>
      <c r="C348" s="14">
        <f>INDEX('부작 목록'!$C$2:$C$66,B348)</f>
        <v/>
      </c>
      <c r="D348" s="14" t="inlineStr">
        <is>
          <t>B 카를로스 사건집</t>
        </is>
      </c>
      <c r="E348" s="13" t="n">
        <v>7291</v>
      </c>
      <c r="F348" s="13" t="n">
        <v>14</v>
      </c>
      <c r="G348" s="15" t="inlineStr">
        <is>
          <t>다음 날 밤, 알바로가 창고에서 조직의 리더 리고베르토 아리스티사발을 처음 만납니다.</t>
        </is>
      </c>
    </row>
    <row r="349" ht="15" customHeight="1" s="11">
      <c r="A349" s="13" t="n">
        <v>348</v>
      </c>
      <c r="B349" s="13" t="n">
        <v>31</v>
      </c>
      <c r="C349" s="14">
        <f>INDEX('부작 목록'!$C$2:$C$66,B349)</f>
        <v/>
      </c>
      <c r="D349" s="14" t="inlineStr">
        <is>
          <t>B 카를로스 사건집</t>
        </is>
      </c>
      <c r="E349" s="13" t="n">
        <v>7308</v>
      </c>
      <c r="F349" s="13" t="n">
        <v>14</v>
      </c>
      <c r="G349" s="15" t="inlineStr">
        <is>
          <t>창고에서 일을 시작한 알바로가 회계 담당 카밀라 레예스를 처음 만납니다.</t>
        </is>
      </c>
    </row>
    <row r="350" ht="15" customHeight="1" s="11">
      <c r="A350" s="13" t="n">
        <v>349</v>
      </c>
      <c r="B350" s="13" t="n">
        <v>31</v>
      </c>
      <c r="C350" s="14">
        <f>INDEX('부작 목록'!$C$2:$C$66,B350)</f>
        <v/>
      </c>
      <c r="D350" s="14" t="inlineStr">
        <is>
          <t>B 카를로스 사건집</t>
        </is>
      </c>
      <c r="E350" s="13" t="n">
        <v>7325</v>
      </c>
      <c r="F350" s="13" t="n">
        <v>11</v>
      </c>
      <c r="G350" s="15" t="inlineStr">
        <is>
          <t>그날 밤, 알바로가 처음으로 화물 하역 작업에 투입됩니다.</t>
        </is>
      </c>
    </row>
    <row r="351" ht="15" customHeight="1" s="11">
      <c r="A351" s="13" t="n">
        <v>350</v>
      </c>
      <c r="B351" s="13" t="n">
        <v>31</v>
      </c>
      <c r="C351" s="14">
        <f>INDEX('부작 목록'!$C$2:$C$66,B351)</f>
        <v/>
      </c>
      <c r="D351" s="14" t="inlineStr">
        <is>
          <t>B 카를로스 사건집</t>
        </is>
      </c>
      <c r="E351" s="13" t="n">
        <v>7338</v>
      </c>
      <c r="F351" s="13" t="n">
        <v>12</v>
      </c>
      <c r="G351" s="17" t="inlineStr">
        <is>
          <t>2주 후, 성실히 일해온 알바로에게 리고베르토가 더 큰 임무를 맡깁니다.</t>
        </is>
      </c>
    </row>
    <row r="352" ht="15" customHeight="1" s="11">
      <c r="A352" s="13" t="n">
        <v>351</v>
      </c>
      <c r="B352" s="13" t="n">
        <v>31</v>
      </c>
      <c r="C352" s="14">
        <f>INDEX('부작 목록'!$C$2:$C$66,B352)</f>
        <v/>
      </c>
      <c r="D352" s="14" t="inlineStr">
        <is>
          <t>B 카를로스 사건집</t>
        </is>
      </c>
      <c r="E352" s="13" t="n">
        <v>7353</v>
      </c>
      <c r="F352" s="13" t="n">
        <v>13</v>
      </c>
      <c r="G352" s="15" t="inlineStr">
        <is>
          <t>알바로와 카밀라가 함께 물류 세부사항을 준비하며, 조금씩 서로를 알아갑니다.</t>
        </is>
      </c>
    </row>
    <row r="353" ht="15" customHeight="1" s="11">
      <c r="A353" s="13" t="n">
        <v>352</v>
      </c>
      <c r="B353" s="13" t="n">
        <v>31</v>
      </c>
      <c r="C353" s="14">
        <f>INDEX('부작 목록'!$C$2:$C$66,B353)</f>
        <v/>
      </c>
      <c r="D353" s="14" t="inlineStr">
        <is>
          <t>B 카를로스 사건집</t>
        </is>
      </c>
      <c r="E353" s="13" t="n">
        <v>7368</v>
      </c>
      <c r="F353" s="13" t="n">
        <v>11</v>
      </c>
      <c r="G353" s="15" t="inlineStr">
        <is>
          <t>알바로가 첫 운송 임무를 수행하며, 검문소를 통과하는 긴장된 순간을 겪습니다.</t>
        </is>
      </c>
    </row>
    <row r="354" ht="15" customHeight="1" s="11">
      <c r="A354" s="13" t="n">
        <v>353</v>
      </c>
      <c r="B354" s="13" t="n">
        <v>31</v>
      </c>
      <c r="C354" s="14">
        <f>INDEX('부작 목록'!$C$2:$C$66,B354)</f>
        <v/>
      </c>
      <c r="D354" s="14" t="inlineStr">
        <is>
          <t>B 카를로스 사건집</t>
        </is>
      </c>
      <c r="E354" s="13" t="n">
        <v>7381</v>
      </c>
      <c r="F354" s="13" t="n">
        <v>12</v>
      </c>
      <c r="G354" s="15" t="inlineStr">
        <is>
          <t>화물을 무사히 인도한 뒤, 돌아오는 길에 알바로와 카밀라가 잠시 휴식을 취합니다.</t>
        </is>
      </c>
    </row>
    <row r="355" ht="15" customHeight="1" s="11">
      <c r="A355" s="13" t="n">
        <v>354</v>
      </c>
      <c r="B355" s="13" t="n">
        <v>31</v>
      </c>
      <c r="C355" s="14">
        <f>INDEX('부작 목록'!$C$2:$C$66,B355)</f>
        <v/>
      </c>
      <c r="D355" s="14" t="inlineStr">
        <is>
          <t>B 카를로스 사건집</t>
        </is>
      </c>
      <c r="E355" s="13" t="n">
        <v>7396</v>
      </c>
      <c r="F355" s="13" t="n">
        <v>9</v>
      </c>
      <c r="G355" s="15" t="inlineStr">
        <is>
          <t>창고로 돌아온 뒤, 시메온이 알바로에게 경계심을 드러냅니다.</t>
        </is>
      </c>
    </row>
    <row r="356" ht="15" customHeight="1" s="11">
      <c r="A356" s="13" t="n">
        <v>355</v>
      </c>
      <c r="B356" s="13" t="n">
        <v>31</v>
      </c>
      <c r="C356" s="14">
        <f>INDEX('부작 목록'!$C$2:$C$66,B356)</f>
        <v/>
      </c>
      <c r="D356" s="14" t="inlineStr">
        <is>
          <t>B 카를로스 사건집</t>
        </is>
      </c>
      <c r="E356" s="13" t="n">
        <v>7407</v>
      </c>
      <c r="F356" s="13" t="n">
        <v>15</v>
      </c>
      <c r="G356" s="15" t="inlineStr">
        <is>
          <t>며칠 후, 리고베르토가 알바로를 직접 심문합니다. 카밀라도 자리에 함께합니다.</t>
        </is>
      </c>
    </row>
    <row r="357" ht="15" customHeight="1" s="11">
      <c r="A357" s="13" t="n">
        <v>356</v>
      </c>
      <c r="B357" s="13" t="n">
        <v>31</v>
      </c>
      <c r="C357" s="14">
        <f>INDEX('부작 목록'!$C$2:$C$66,B357)</f>
        <v/>
      </c>
      <c r="D357" s="14" t="inlineStr">
        <is>
          <t>B 카를로스 사건집</t>
        </is>
      </c>
      <c r="E357" s="13" t="n">
        <v>7425</v>
      </c>
      <c r="F357" s="13" t="n">
        <v>13</v>
      </c>
      <c r="G357" s="15" t="inlineStr">
        <is>
          <t>심문 이후, 카밀라가 은밀히 알바로를 찾아와 경고와 위로를 전합니다.</t>
        </is>
      </c>
    </row>
    <row r="358" ht="15" customHeight="1" s="11">
      <c r="A358" s="13" t="n">
        <v>357</v>
      </c>
      <c r="B358" s="13" t="n">
        <v>31</v>
      </c>
      <c r="C358" s="14">
        <f>INDEX('부작 목록'!$C$2:$C$66,B358)</f>
        <v/>
      </c>
      <c r="D358" s="14" t="inlineStr">
        <is>
          <t>B 카를로스 사건집</t>
        </is>
      </c>
      <c r="E358" s="13" t="n">
        <v>7441</v>
      </c>
      <c r="F358" s="13" t="n">
        <v>9</v>
      </c>
      <c r="G358" s="15" t="inlineStr">
        <is>
          <t>며칠 후, 리고베르토가 알바로에게 결정적인 충성 시험을 제시합니다.</t>
        </is>
      </c>
    </row>
    <row r="359" ht="28.35" customHeight="1" s="11">
      <c r="A359" s="13" t="n">
        <v>358</v>
      </c>
      <c r="B359" s="13" t="n">
        <v>31</v>
      </c>
      <c r="C359" s="14">
        <f>INDEX('부작 목록'!$C$2:$C$66,B359)</f>
        <v/>
      </c>
      <c r="D359" s="14" t="inlineStr">
        <is>
          <t>B 카를로스 사건집</t>
        </is>
      </c>
      <c r="E359" s="13" t="n">
        <v>7452</v>
      </c>
      <c r="F359" s="13" t="n">
        <v>12</v>
      </c>
      <c r="G359" s="15" t="inlineStr">
        <is>
          <t>다음 날 밤, 알바로가 혼자 마드리드로 향하던 중 예상치 못한 검문에 걸립니다. 이번엔 카밀라 도, 카를로스도 없이 혼자 헤쳐나가야 합니다.</t>
        </is>
      </c>
    </row>
    <row r="360" ht="15" customHeight="1" s="11">
      <c r="A360" s="13" t="n">
        <v>359</v>
      </c>
      <c r="B360" s="13" t="n">
        <v>31</v>
      </c>
      <c r="C360" s="14">
        <f>INDEX('부작 목록'!$C$2:$C$66,B360)</f>
        <v/>
      </c>
      <c r="D360" s="14" t="inlineStr">
        <is>
          <t>B 카를로스 사건집</t>
        </is>
      </c>
      <c r="E360" s="13" t="n">
        <v>7466</v>
      </c>
      <c r="F360" s="13" t="n">
        <v>10</v>
      </c>
      <c r="G360" s="15" t="inlineStr">
        <is>
          <t>마드리드에 도착한 알바로가 혼자 화물을 인도하며, 새로운 위험 인물과 마주칩니다.</t>
        </is>
      </c>
    </row>
    <row r="361" ht="15" customHeight="1" s="11">
      <c r="A361" s="13" t="n">
        <v>360</v>
      </c>
      <c r="B361" s="13" t="n">
        <v>31</v>
      </c>
      <c r="C361" s="14">
        <f>INDEX('부작 목록'!$C$2:$C$66,B361)</f>
        <v/>
      </c>
      <c r="D361" s="14" t="inlineStr">
        <is>
          <t>B 카를로스 사건집</t>
        </is>
      </c>
      <c r="E361" s="13" t="n">
        <v>7479</v>
      </c>
      <c r="F361" s="13" t="n">
        <v>8</v>
      </c>
      <c r="G361" s="15" t="inlineStr">
        <is>
          <t>갈리시아로 돌아온 알바로가 리고베르토에게 성공적인 임무 완수를 보고합니다.</t>
        </is>
      </c>
    </row>
    <row r="362" ht="15" customHeight="1" s="11">
      <c r="A362" s="13" t="n">
        <v>361</v>
      </c>
      <c r="B362" s="13" t="n">
        <v>31</v>
      </c>
      <c r="C362" s="14">
        <f>INDEX('부작 목록'!$C$2:$C$66,B362)</f>
        <v/>
      </c>
      <c r="D362" s="14" t="inlineStr">
        <is>
          <t>B 카를로스 사건집</t>
        </is>
      </c>
      <c r="E362" s="13" t="n">
        <v>7489</v>
      </c>
      <c r="F362" s="13" t="n">
        <v>15</v>
      </c>
      <c r="G362" s="15" t="inlineStr">
        <is>
          <t>그날 밤, 카밀라가 은밀히 알바로를 찾아와 안도감과 애정을 드러냅니다.</t>
        </is>
      </c>
    </row>
    <row r="363" ht="15" customHeight="1" s="11">
      <c r="A363" s="13" t="n">
        <v>362</v>
      </c>
      <c r="B363" s="13" t="n">
        <v>31</v>
      </c>
      <c r="C363" s="14">
        <f>INDEX('부작 목록'!$C$2:$C$66,B363)</f>
        <v/>
      </c>
      <c r="D363" s="14" t="inlineStr">
        <is>
          <t>B 카를로스 사건집</t>
        </is>
      </c>
      <c r="E363" s="13" t="n">
        <v>7507</v>
      </c>
      <c r="F363" s="13" t="n">
        <v>12</v>
      </c>
      <c r="G363" s="15" t="inlineStr">
        <is>
          <t>며칠 후, 조용한 순간에 알바로가 카밀라에게 자신의 진짜 임무를 털어놓습니다.</t>
        </is>
      </c>
    </row>
    <row r="364" ht="15" customHeight="1" s="11">
      <c r="A364" s="13" t="n">
        <v>363</v>
      </c>
      <c r="B364" s="13" t="n">
        <v>31</v>
      </c>
      <c r="C364" s="14">
        <f>INDEX('부작 목록'!$C$2:$C$66,B364)</f>
        <v/>
      </c>
      <c r="D364" s="14" t="inlineStr">
        <is>
          <t>B 카를로스 사건집</t>
        </is>
      </c>
      <c r="E364" s="13" t="n">
        <v>7522</v>
      </c>
      <c r="F364" s="13" t="n">
        <v>12</v>
      </c>
      <c r="G364" s="15" t="inlineStr">
        <is>
          <t>알바로와 카밀라가 함께 리고베르토를 무너뜨릴 증거 확보 계획을 세웁니다.</t>
        </is>
      </c>
    </row>
    <row r="365" ht="15" customHeight="1" s="11">
      <c r="A365" s="13" t="n">
        <v>364</v>
      </c>
      <c r="B365" s="13" t="n">
        <v>31</v>
      </c>
      <c r="C365" s="14">
        <f>INDEX('부작 목록'!$C$2:$C$66,B365)</f>
        <v/>
      </c>
      <c r="D365" s="14" t="inlineStr">
        <is>
          <t>B 카를로스 사건집</t>
        </is>
      </c>
      <c r="E365" s="13" t="n">
        <v>7536</v>
      </c>
      <c r="F365" s="13" t="n">
        <v>13</v>
      </c>
      <c r="G365" s="15" t="inlineStr">
        <is>
          <t>일주일 후, 리고베르토가 비고로 떠난 밤. 카밀라가 금고를 열고 문서를 복사하는 동안 알바로 가 주변을 경계합니다.</t>
        </is>
      </c>
    </row>
    <row r="366" ht="15" customHeight="1" s="11">
      <c r="A366" s="13" t="n">
        <v>365</v>
      </c>
      <c r="B366" s="13" t="n">
        <v>31</v>
      </c>
      <c r="C366" s="14">
        <f>INDEX('부작 목록'!$C$2:$C$66,B366)</f>
        <v/>
      </c>
      <c r="D366" s="14" t="inlineStr">
        <is>
          <t>B 카를로스 사건집</t>
        </is>
      </c>
      <c r="E366" s="13" t="n">
        <v>7553</v>
      </c>
      <c r="F366" s="13" t="n">
        <v>12</v>
      </c>
      <c r="G366" s="15" t="inlineStr">
        <is>
          <t>카밀라가 마지막 문서를 촬영하는 순간, 예상보다 일찍 시메온이 돌아옵니다.</t>
        </is>
      </c>
    </row>
    <row r="367" ht="15" customHeight="1" s="11">
      <c r="A367" s="13" t="n">
        <v>366</v>
      </c>
      <c r="B367" s="13" t="n">
        <v>31</v>
      </c>
      <c r="C367" s="14">
        <f>INDEX('부작 목록'!$C$2:$C$66,B367)</f>
        <v/>
      </c>
      <c r="D367" s="14" t="inlineStr">
        <is>
          <t>B 카를로스 사건집</t>
        </is>
      </c>
      <c r="E367" s="13" t="n">
        <v>7568</v>
      </c>
      <c r="F367" s="13" t="n">
        <v>11</v>
      </c>
      <c r="G367" s="15" t="inlineStr">
        <is>
          <t>알바로가 시메온의 주의를 끄는 동안, 카밀라가 겨우 사무실을 빠져나옵니다.</t>
        </is>
      </c>
    </row>
    <row r="368" ht="15" customHeight="1" s="11">
      <c r="A368" s="13" t="n">
        <v>367</v>
      </c>
      <c r="B368" s="13" t="n">
        <v>31</v>
      </c>
      <c r="C368" s="14">
        <f>INDEX('부작 목록'!$C$2:$C$66,B368)</f>
        <v/>
      </c>
      <c r="D368" s="14" t="inlineStr">
        <is>
          <t>B 카를로스 사건집</t>
        </is>
      </c>
      <c r="E368" s="13" t="n">
        <v>7581</v>
      </c>
      <c r="F368" s="13" t="n">
        <v>12</v>
      </c>
      <c r="G368" s="15" t="inlineStr">
        <is>
          <t>다음 날, 알바로가 극도로 조심스럽게 유일하게 허락된 비상 연락 수단을 사용합니다.</t>
        </is>
      </c>
    </row>
    <row r="369" ht="15" customHeight="1" s="11">
      <c r="A369" s="13" t="n">
        <v>368</v>
      </c>
      <c r="B369" s="13" t="n">
        <v>31</v>
      </c>
      <c r="C369" s="14">
        <f>INDEX('부작 목록'!$C$2:$C$66,B369)</f>
        <v/>
      </c>
      <c r="D369" s="14" t="inlineStr">
        <is>
          <t>B 카를로스 사건집</t>
        </is>
      </c>
      <c r="E369" s="13" t="n">
        <v>7596</v>
      </c>
      <c r="F369" s="13" t="n">
        <v>9</v>
      </c>
      <c r="G369" s="15" t="inlineStr">
        <is>
          <t>리고베르토가 돌아온 다음 날, 시메온이 지난밤의 이상함을 다시 파고들며 위기가 고조됩니다.</t>
        </is>
      </c>
    </row>
    <row r="370" ht="15" customHeight="1" s="11">
      <c r="A370" s="13" t="n">
        <v>369</v>
      </c>
      <c r="B370" s="13" t="n">
        <v>31</v>
      </c>
      <c r="C370" s="14">
        <f>INDEX('부작 목록'!$C$2:$C$66,B370)</f>
        <v/>
      </c>
      <c r="D370" s="14" t="inlineStr">
        <is>
          <t>B 카를로스 사건집</t>
        </is>
      </c>
      <c r="E370" s="13" t="n">
        <v>7607</v>
      </c>
      <c r="F370" s="13" t="n">
        <v>11</v>
      </c>
      <c r="G370" s="15" t="inlineStr">
        <is>
          <t>몇 시간 후, 리고베르토가 알바로를 직접 대면하며 진실을 요구합니다.</t>
        </is>
      </c>
    </row>
    <row r="371" ht="15" customHeight="1" s="11">
      <c r="A371" s="13" t="n">
        <v>370</v>
      </c>
      <c r="B371" s="13" t="n">
        <v>31</v>
      </c>
      <c r="C371" s="14">
        <f>INDEX('부작 목록'!$C$2:$C$66,B371)</f>
        <v/>
      </c>
      <c r="D371" s="14" t="inlineStr">
        <is>
          <t>B 카를로스 사건집</t>
        </is>
      </c>
      <c r="E371" s="13" t="n">
        <v>7621</v>
      </c>
      <c r="F371" s="13" t="n">
        <v>8</v>
      </c>
      <c r="G371" s="15" t="inlineStr">
        <is>
          <t>감시가 느슨해진 틈을 타, 알바로가 탈출을 시도합니다.</t>
        </is>
      </c>
    </row>
    <row r="372" ht="15" customHeight="1" s="11">
      <c r="A372" s="13" t="n">
        <v>371</v>
      </c>
      <c r="B372" s="13" t="n">
        <v>31</v>
      </c>
      <c r="C372" s="14">
        <f>INDEX('부작 목록'!$C$2:$C$66,B372)</f>
        <v/>
      </c>
      <c r="D372" s="14" t="inlineStr">
        <is>
          <t>B 카를로스 사건집</t>
        </is>
      </c>
      <c r="E372" s="13" t="n">
        <v>7631</v>
      </c>
      <c r="F372" s="13" t="n">
        <v>12</v>
      </c>
      <c r="G372" s="15" t="inlineStr">
        <is>
          <t>긴박한 추격 끝에, 미리 예정된 접선 지점에서 구조대가 도착합니다.</t>
        </is>
      </c>
    </row>
    <row r="373" ht="15" customHeight="1" s="11">
      <c r="A373" s="13" t="n">
        <v>372</v>
      </c>
      <c r="B373" s="13" t="n">
        <v>31</v>
      </c>
      <c r="C373" s="14">
        <f>INDEX('부작 목록'!$C$2:$C$66,B373)</f>
        <v/>
      </c>
      <c r="D373" s="14" t="inlineStr">
        <is>
          <t>B 카를로스 사건집</t>
        </is>
      </c>
      <c r="E373" s="13" t="n">
        <v>7645</v>
      </c>
      <c r="F373" s="13" t="n">
        <v>16</v>
      </c>
      <c r="G373" s="15" t="inlineStr">
        <is>
          <t>경찰이 리고베르토의 창고를 급습하고, 알바로가 마침내 카를로스와 재회합니다.</t>
        </is>
      </c>
    </row>
    <row r="374" ht="15" customHeight="1" s="11">
      <c r="A374" s="13" t="n">
        <v>373</v>
      </c>
      <c r="B374" s="13" t="n">
        <v>31</v>
      </c>
      <c r="C374" s="14">
        <f>INDEX('부작 목록'!$C$2:$C$66,B374)</f>
        <v/>
      </c>
      <c r="D374" s="14" t="inlineStr">
        <is>
          <t>B 카를로스 사건집</t>
        </is>
      </c>
      <c r="E374" s="13" t="n">
        <v>7664</v>
      </c>
      <c r="F374" s="13" t="n">
        <v>11</v>
      </c>
      <c r="G374" s="15" t="inlineStr">
        <is>
          <t>몇 주 후, 카밀라의 증언을 위한 재판 준비 과정에서 두 사람이 다시 만납니다.</t>
        </is>
      </c>
    </row>
    <row r="375" ht="15" customHeight="1" s="11">
      <c r="A375" s="13" t="n">
        <v>374</v>
      </c>
      <c r="B375" s="13" t="n">
        <v>31</v>
      </c>
      <c r="C375" s="14">
        <f>INDEX('부작 목록'!$C$2:$C$66,B375)</f>
        <v/>
      </c>
      <c r="D375" s="14" t="inlineStr">
        <is>
          <t>B 카를로스 사건집</t>
        </is>
      </c>
      <c r="E375" s="13" t="n">
        <v>7677</v>
      </c>
      <c r="F375" s="13" t="n">
        <v>12</v>
      </c>
      <c r="G375" s="15" t="inlineStr">
        <is>
          <t>재판이 시작됩니다. 카밀라가 증인으로 증언합니다.</t>
        </is>
      </c>
    </row>
    <row r="376" ht="15" customHeight="1" s="11">
      <c r="A376" s="13" t="n">
        <v>375</v>
      </c>
      <c r="B376" s="13" t="n">
        <v>31</v>
      </c>
      <c r="C376" s="14">
        <f>INDEX('부작 목록'!$C$2:$C$66,B376)</f>
        <v/>
      </c>
      <c r="D376" s="14" t="inlineStr">
        <is>
          <t>B 카를로스 사건집</t>
        </is>
      </c>
      <c r="E376" s="13" t="n">
        <v>7691</v>
      </c>
      <c r="F376" s="13" t="n">
        <v>10</v>
      </c>
      <c r="G376" s="15" t="inlineStr">
        <is>
          <t>몇 달 후, 최종 판결이 내려집니다.</t>
        </is>
      </c>
    </row>
    <row r="377" ht="15" customHeight="1" s="11">
      <c r="A377" s="13" t="n">
        <v>376</v>
      </c>
      <c r="B377" s="13" t="n">
        <v>31</v>
      </c>
      <c r="C377" s="14">
        <f>INDEX('부작 목록'!$C$2:$C$66,B377)</f>
        <v/>
      </c>
      <c r="D377" s="14" t="inlineStr">
        <is>
          <t>B 카를로스 사건집</t>
        </is>
      </c>
      <c r="E377" s="13" t="n">
        <v>7704</v>
      </c>
      <c r="F377" s="13" t="n">
        <v>15</v>
      </c>
      <c r="G377" s="15" t="inlineStr">
        <is>
          <t>몇 주 후, 마드리드의 한 카페 테라스에서 알바로와 카밀라가 재판 이후 처음으로 편안한 시간 을 보냅니다.</t>
        </is>
      </c>
    </row>
    <row r="378" ht="28.35" customHeight="1" s="11">
      <c r="A378" s="13" t="n">
        <v>377</v>
      </c>
      <c r="B378" s="13" t="n">
        <v>32</v>
      </c>
      <c r="C378" s="14">
        <f>INDEX('부작 목록'!$C$2:$C$66,B378)</f>
        <v/>
      </c>
      <c r="D378" s="14" t="inlineStr">
        <is>
          <t>C EU 로비</t>
        </is>
      </c>
      <c r="E378" s="13" t="n">
        <v>7722</v>
      </c>
      <c r="F378" s="13" t="n">
        <v>23</v>
      </c>
      <c r="G378" s="15" t="inlineStr">
        <is>
          <t>몇 달 후, 마드리드에 정착한 알바로와 카밀라. 하비에르가 '엘 아르키텍토' 네트워크가 EU 브뤼 셀 로비 조직과 연결됐다는 새 실마리를 갖고 옵니다. 16번 아크(역외 페이퍼컴퍼니)의 직접적인 후속편입니다.</t>
        </is>
      </c>
    </row>
    <row r="379" ht="15" customHeight="1" s="11">
      <c r="A379" s="13" t="n">
        <v>378</v>
      </c>
      <c r="B379" s="13" t="n">
        <v>32</v>
      </c>
      <c r="C379" s="14">
        <f>INDEX('부작 목록'!$C$2:$C$66,B379)</f>
        <v/>
      </c>
      <c r="D379" s="14" t="inlineStr">
        <is>
          <t>C EU 로비</t>
        </is>
      </c>
      <c r="E379" s="13" t="n">
        <v>7748</v>
      </c>
      <c r="F379" s="13" t="n">
        <v>20</v>
      </c>
      <c r="G379" s="15" t="inlineStr">
        <is>
          <t>알바로, 카밀라, 하비에르가 브뤼셀 취재 여행을 준비하며 상세한 전략을 세웁니다.</t>
        </is>
      </c>
    </row>
    <row r="380" ht="28.35" customHeight="1" s="11">
      <c r="A380" s="13" t="n">
        <v>379</v>
      </c>
      <c r="B380" s="13" t="n">
        <v>32</v>
      </c>
      <c r="C380" s="14">
        <f>INDEX('부작 목록'!$C$2:$C$66,B380)</f>
        <v/>
      </c>
      <c r="D380" s="14" t="inlineStr">
        <is>
          <t>C EU 로비</t>
        </is>
      </c>
      <c r="E380" s="13" t="n">
        <v>7771</v>
      </c>
      <c r="F380" s="13" t="n">
        <v>15</v>
      </c>
      <c r="G380" s="15" t="inlineStr">
        <is>
          <t>브뤼셀. 카밀라가 '엘레나 몬투리올'이라는 위장 신분으로 메리디안 퍼블릭 어페어스 주최 행사 에 참석해, 대표 이니고 카살스와 첫 대화를 나눕니다.</t>
        </is>
      </c>
    </row>
    <row r="381" ht="15" customHeight="1" s="11">
      <c r="A381" s="13" t="n">
        <v>380</v>
      </c>
      <c r="B381" s="13" t="n">
        <v>32</v>
      </c>
      <c r="C381" s="14">
        <f>INDEX('부작 목록'!$C$2:$C$66,B381)</f>
        <v/>
      </c>
      <c r="D381" s="14" t="inlineStr">
        <is>
          <t>C EU 로비</t>
        </is>
      </c>
      <c r="E381" s="13" t="n">
        <v>7789</v>
      </c>
      <c r="F381" s="13" t="n">
        <v>12</v>
      </c>
      <c r="G381" s="15" t="inlineStr">
        <is>
          <t>동시에, 하비에르가 유럽의회 투명성 등록부를 조사하며 관련 의원들을 파악합니다.</t>
        </is>
      </c>
    </row>
    <row r="382" ht="15" customHeight="1" s="11">
      <c r="A382" s="13" t="n">
        <v>381</v>
      </c>
      <c r="B382" s="13" t="n">
        <v>32</v>
      </c>
      <c r="C382" s="14">
        <f>INDEX('부작 목록'!$C$2:$C$66,B382)</f>
        <v/>
      </c>
      <c r="D382" s="14" t="inlineStr">
        <is>
          <t>C EU 로비</t>
        </is>
      </c>
      <c r="E382" s="13" t="n">
        <v>7804</v>
      </c>
      <c r="F382" s="13" t="n">
        <v>17</v>
      </c>
      <c r="G382" s="15" t="inlineStr">
        <is>
          <t>하비에르가 폴란드 출신 유럽의원 마레크 코발스키를 인터뷰합니다.</t>
        </is>
      </c>
    </row>
    <row r="383" ht="15" customHeight="1" s="11">
      <c r="A383" s="13" t="n">
        <v>382</v>
      </c>
      <c r="B383" s="13" t="n">
        <v>32</v>
      </c>
      <c r="C383" s="14">
        <f>INDEX('부작 목록'!$C$2:$C$66,B383)</f>
        <v/>
      </c>
      <c r="D383" s="14" t="inlineStr">
        <is>
          <t>C EU 로비</t>
        </is>
      </c>
      <c r="E383" s="13" t="n">
        <v>7824</v>
      </c>
      <c r="F383" s="13" t="n">
        <v>19</v>
      </c>
      <c r="G383" s="15" t="inlineStr">
        <is>
          <t>카밀라가 이니고 카살스와 두 번째로 만나 좀 더 깊은 대화를 나눕니다.</t>
        </is>
      </c>
    </row>
    <row r="384" ht="15" customHeight="1" s="11">
      <c r="A384" s="13" t="n">
        <v>383</v>
      </c>
      <c r="B384" s="13" t="n">
        <v>32</v>
      </c>
      <c r="C384" s="14">
        <f>INDEX('부작 목록'!$C$2:$C$66,B384)</f>
        <v/>
      </c>
      <c r="D384" s="14" t="inlineStr">
        <is>
          <t>C EU 로비</t>
        </is>
      </c>
      <c r="E384" s="13" t="n">
        <v>7846</v>
      </c>
      <c r="F384" s="13" t="n">
        <v>16</v>
      </c>
      <c r="G384" s="15" t="inlineStr">
        <is>
          <t>그날 밤, 브뤼셀의 호텔방에서 알바로와 카밀라가 하루 성과를 공유하며 서로를 걱정합니다.</t>
        </is>
      </c>
    </row>
    <row r="385" ht="15" customHeight="1" s="11">
      <c r="A385" s="13" t="n">
        <v>384</v>
      </c>
      <c r="B385" s="13" t="n">
        <v>32</v>
      </c>
      <c r="C385" s="14">
        <f>INDEX('부작 목록'!$C$2:$C$66,B385)</f>
        <v/>
      </c>
      <c r="D385" s="14" t="inlineStr">
        <is>
          <t>C EU 로비</t>
        </is>
      </c>
      <c r="E385" s="13" t="n">
        <v>7864</v>
      </c>
      <c r="F385" s="13" t="n">
        <v>16</v>
      </c>
      <c r="G385" s="15" t="inlineStr">
        <is>
          <t>며칠 후, 카밀라가 메리디안의 비공개 클라이언트 행사에 참석해 예상치 못한 인물을 마주칩니 다.</t>
        </is>
      </c>
    </row>
    <row r="386" ht="15" customHeight="1" s="11">
      <c r="A386" s="13" t="n">
        <v>385</v>
      </c>
      <c r="B386" s="13" t="n">
        <v>32</v>
      </c>
      <c r="C386" s="14">
        <f>INDEX('부작 목록'!$C$2:$C$66,B386)</f>
        <v/>
      </c>
      <c r="D386" s="14" t="inlineStr">
        <is>
          <t>C EU 로비</t>
        </is>
      </c>
      <c r="E386" s="13" t="n">
        <v>7883</v>
      </c>
      <c r="F386" s="13" t="n">
        <v>16</v>
      </c>
      <c r="G386" s="15" t="inlineStr">
        <is>
          <t>행사가 끝난 뒤, 카밀라가 알바로와 하비에르에게 결정적 소식을 전합니다.</t>
        </is>
      </c>
    </row>
    <row r="387" ht="15" customHeight="1" s="11">
      <c r="A387" s="13" t="n">
        <v>386</v>
      </c>
      <c r="B387" s="13" t="n">
        <v>32</v>
      </c>
      <c r="C387" s="14">
        <f>INDEX('부작 목록'!$C$2:$C$66,B387)</f>
        <v/>
      </c>
      <c r="D387" s="14" t="inlineStr">
        <is>
          <t>C EU 로비</t>
        </is>
      </c>
      <c r="E387" s="13" t="n">
        <v>7902</v>
      </c>
      <c r="F387" s="13" t="n">
        <v>15</v>
      </c>
      <c r="G387" s="15" t="inlineStr">
        <is>
          <t>알바로가 오랜만에 카를로스에게 연락해 결정적 소식을 전하고, 유럽 차원의 공조 수사를 준비 합니다.</t>
        </is>
      </c>
    </row>
    <row r="388" ht="15" customHeight="1" s="11">
      <c r="A388" s="13" t="n">
        <v>387</v>
      </c>
      <c r="B388" s="13" t="n">
        <v>32</v>
      </c>
      <c r="C388" s="14">
        <f>INDEX('부작 목록'!$C$2:$C$66,B388)</f>
        <v/>
      </c>
      <c r="D388" s="14" t="inlineStr">
        <is>
          <t>C EU 로비</t>
        </is>
      </c>
      <c r="E388" s="13" t="n">
        <v>7920</v>
      </c>
      <c r="F388" s="13" t="n">
        <v>14</v>
      </c>
      <c r="G388" s="15" t="inlineStr">
        <is>
          <t>며칠 후, 카를로스가 벨기에·스페인 당국과의 공조 회의를 주선합니다. 알바로와 하비에르가 배 석합니다.</t>
        </is>
      </c>
    </row>
    <row r="389" ht="15" customHeight="1" s="11">
      <c r="A389" s="13" t="n">
        <v>388</v>
      </c>
      <c r="B389" s="13" t="n">
        <v>32</v>
      </c>
      <c r="C389" s="14">
        <f>INDEX('부작 목록'!$C$2:$C$66,B389)</f>
        <v/>
      </c>
      <c r="D389" s="14" t="inlineStr">
        <is>
          <t>C EU 로비</t>
        </is>
      </c>
      <c r="E389" s="13" t="n">
        <v>7937</v>
      </c>
      <c r="F389" s="13" t="n">
        <v>18</v>
      </c>
      <c r="G389" s="15" t="inlineStr">
        <is>
          <t>며칠 후, 로셀요가 카밀라에게 직접 연락해 개인적인 만남을 제안합니다. 이번엔 훨씬 날카로운 대화입니다.</t>
        </is>
      </c>
    </row>
    <row r="390" ht="15" customHeight="1" s="11">
      <c r="A390" s="13" t="n">
        <v>389</v>
      </c>
      <c r="B390" s="13" t="n">
        <v>32</v>
      </c>
      <c r="C390" s="14">
        <f>INDEX('부작 목록'!$C$2:$C$66,B390)</f>
        <v/>
      </c>
      <c r="D390" s="14" t="inlineStr">
        <is>
          <t>C EU 로비</t>
        </is>
      </c>
      <c r="E390" s="13" t="n">
        <v>7958</v>
      </c>
      <c r="F390" s="13" t="n">
        <v>14</v>
      </c>
      <c r="G390" s="15" t="inlineStr">
        <is>
          <t>카밀라의 보고를 들은 알바로가 심각한 우려를 표하며, 작전을 계속할지 격렬하게 논의합니다.</t>
        </is>
      </c>
    </row>
    <row r="391" ht="15" customHeight="1" s="11">
      <c r="A391" s="13" t="n">
        <v>390</v>
      </c>
      <c r="B391" s="13" t="n">
        <v>32</v>
      </c>
      <c r="C391" s="14">
        <f>INDEX('부작 목록'!$C$2:$C$66,B391)</f>
        <v/>
      </c>
      <c r="D391" s="14" t="inlineStr">
        <is>
          <t>C EU 로비</t>
        </is>
      </c>
      <c r="E391" s="13" t="n">
        <v>7975</v>
      </c>
      <c r="F391" s="13" t="n">
        <v>13</v>
      </c>
      <c r="G391" s="15" t="inlineStr">
        <is>
          <t>일주일 후, 카밀라가 로셀요의 개인 사무실을 방문합니다. 알바로와 요원들이 근처에서 대기합 니다.</t>
        </is>
      </c>
    </row>
    <row r="392" ht="15" customHeight="1" s="11">
      <c r="A392" s="13" t="n">
        <v>391</v>
      </c>
      <c r="B392" s="13" t="n">
        <v>32</v>
      </c>
      <c r="C392" s="14">
        <f>INDEX('부작 목록'!$C$2:$C$66,B392)</f>
        <v/>
      </c>
      <c r="D392" s="14" t="inlineStr">
        <is>
          <t>C EU 로비</t>
        </is>
      </c>
      <c r="E392" s="13" t="n">
        <v>7990</v>
      </c>
      <c r="F392" s="13" t="n">
        <v>11</v>
      </c>
      <c r="G392" s="15" t="inlineStr">
        <is>
          <t>카밀라가 미리 정한 위기 신호를 보내며 상황이 급박해집니다.</t>
        </is>
      </c>
    </row>
    <row r="393" ht="15" customHeight="1" s="11">
      <c r="A393" s="13" t="n">
        <v>392</v>
      </c>
      <c r="B393" s="13" t="n">
        <v>32</v>
      </c>
      <c r="C393" s="14">
        <f>INDEX('부작 목록'!$C$2:$C$66,B393)</f>
        <v/>
      </c>
      <c r="D393" s="14" t="inlineStr">
        <is>
          <t>C EU 로비</t>
        </is>
      </c>
      <c r="E393" s="13" t="n">
        <v>8004</v>
      </c>
      <c r="F393" s="13" t="n">
        <v>12</v>
      </c>
      <c r="G393" s="15" t="inlineStr">
        <is>
          <t>바로 그 순간, 알바로와 요원들이 개입합니다.</t>
        </is>
      </c>
    </row>
    <row r="394" ht="15" customHeight="1" s="11">
      <c r="A394" s="13" t="n">
        <v>393</v>
      </c>
      <c r="B394" s="13" t="n">
        <v>32</v>
      </c>
      <c r="C394" s="14">
        <f>INDEX('부작 목록'!$C$2:$C$66,B394)</f>
        <v/>
      </c>
      <c r="D394" s="14" t="inlineStr">
        <is>
          <t>C EU 로비</t>
        </is>
      </c>
      <c r="E394" s="13" t="n">
        <v>8019</v>
      </c>
      <c r="F394" s="13" t="n">
        <v>11</v>
      </c>
      <c r="G394" s="15" t="inlineStr">
        <is>
          <t>동시에, 벨기에 당국이 메리디안 퍼블릭 어페어스 사무실을 급습합니다.</t>
        </is>
      </c>
    </row>
    <row r="395" ht="15" customHeight="1" s="11">
      <c r="A395" s="13" t="n">
        <v>394</v>
      </c>
      <c r="B395" s="13" t="n">
        <v>32</v>
      </c>
      <c r="C395" s="14">
        <f>INDEX('부작 목록'!$C$2:$C$66,B395)</f>
        <v/>
      </c>
      <c r="D395" s="14" t="inlineStr">
        <is>
          <t>C EU 로비</t>
        </is>
      </c>
      <c r="E395" s="13" t="n">
        <v>8032</v>
      </c>
      <c r="F395" s="13" t="n">
        <v>14</v>
      </c>
      <c r="G395" s="15" t="inlineStr">
        <is>
          <t>몇 시간 후, 알바로가 카밀라와 재회하고, 하비에르가 사건의 전체 규모를 정리합니다.</t>
        </is>
      </c>
    </row>
    <row r="396" ht="28.35" customHeight="1" s="11">
      <c r="A396" s="13" t="n">
        <v>395</v>
      </c>
      <c r="B396" s="13" t="n">
        <v>32</v>
      </c>
      <c r="C396" s="14">
        <f>INDEX('부작 목록'!$C$2:$C$66,B396)</f>
        <v/>
      </c>
      <c r="D396" s="14" t="inlineStr">
        <is>
          <t>C EU 로비</t>
        </is>
      </c>
      <c r="E396" s="13" t="n">
        <v>8049</v>
      </c>
      <c r="F396" s="13" t="n">
        <v>14</v>
      </c>
      <c r="G396" s="15" t="inlineStr">
        <is>
          <t>몇 주 후, 유럽의회 반부패위원회가 소집한 공개 청문회에서 코발스키 의원이 질의를 받습니다. 알바로와 하비에르가 취재합니다.</t>
        </is>
      </c>
    </row>
    <row r="397" ht="15" customHeight="1" s="11">
      <c r="A397" s="13" t="n">
        <v>396</v>
      </c>
      <c r="B397" s="13" t="n">
        <v>32</v>
      </c>
      <c r="C397" s="14">
        <f>INDEX('부작 목록'!$C$2:$C$66,B397)</f>
        <v/>
      </c>
      <c r="D397" s="14" t="inlineStr">
        <is>
          <t>C EU 로비</t>
        </is>
      </c>
      <c r="E397" s="13" t="n">
        <v>8066</v>
      </c>
      <c r="F397" s="13" t="n">
        <v>12</v>
      </c>
      <c r="G397" s="15" t="inlineStr">
        <is>
          <t>몇 주 후, 카밀라가 벨기에 재판을 위한 증언 준비 과정에서 변호사와 상세히 논의합니다.</t>
        </is>
      </c>
    </row>
    <row r="398" ht="15" customHeight="1" s="11">
      <c r="A398" s="13" t="n">
        <v>397</v>
      </c>
      <c r="B398" s="13" t="n">
        <v>32</v>
      </c>
      <c r="C398" s="14">
        <f>INDEX('부작 목록'!$C$2:$C$66,B398)</f>
        <v/>
      </c>
      <c r="D398" s="14" t="inlineStr">
        <is>
          <t>C EU 로비</t>
        </is>
      </c>
      <c r="E398" s="13" t="n">
        <v>8081</v>
      </c>
      <c r="F398" s="13" t="n">
        <v>11</v>
      </c>
      <c r="G398" s="15" t="inlineStr">
        <is>
          <t>벨기에 재판이 시작됩니다. 카밀라가 증인으로 출석합니다.</t>
        </is>
      </c>
    </row>
    <row r="399" ht="15" customHeight="1" s="11">
      <c r="A399" s="13" t="n">
        <v>398</v>
      </c>
      <c r="B399" s="13" t="n">
        <v>32</v>
      </c>
      <c r="C399" s="14">
        <f>INDEX('부작 목록'!$C$2:$C$66,B399)</f>
        <v/>
      </c>
      <c r="D399" s="14" t="inlineStr">
        <is>
          <t>C EU 로비</t>
        </is>
      </c>
      <c r="E399" s="13" t="n">
        <v>8094</v>
      </c>
      <c r="F399" s="13" t="n">
        <v>14</v>
      </c>
      <c r="G399" s="15" t="inlineStr">
        <is>
          <t>재판 중, 로셀요가 직접 증언대에 서서 알바로와 간접적으로 맞섭니다.</t>
        </is>
      </c>
    </row>
    <row r="400" ht="15" customHeight="1" s="11">
      <c r="A400" s="13" t="n">
        <v>399</v>
      </c>
      <c r="B400" s="13" t="n">
        <v>32</v>
      </c>
      <c r="C400" s="14">
        <f>INDEX('부작 목록'!$C$2:$C$66,B400)</f>
        <v/>
      </c>
      <c r="D400" s="14" t="inlineStr">
        <is>
          <t>C EU 로비</t>
        </is>
      </c>
      <c r="E400" s="13" t="n">
        <v>8111</v>
      </c>
      <c r="F400" s="13" t="n">
        <v>11</v>
      </c>
      <c r="G400" s="15" t="inlineStr">
        <is>
          <t>몇 달 후, 최종 판결이 내려집니다.</t>
        </is>
      </c>
    </row>
    <row r="401" ht="15" customHeight="1" s="11">
      <c r="A401" s="13" t="n">
        <v>400</v>
      </c>
      <c r="B401" s="13" t="n">
        <v>32</v>
      </c>
      <c r="C401" s="14">
        <f>INDEX('부작 목록'!$C$2:$C$66,B401)</f>
        <v/>
      </c>
      <c r="D401" s="14" t="inlineStr">
        <is>
          <t>C EU 로비</t>
        </is>
      </c>
      <c r="E401" s="13" t="n">
        <v>8125</v>
      </c>
      <c r="F401" s="13" t="n">
        <v>11</v>
      </c>
      <c r="G401" s="15" t="inlineStr">
        <is>
          <t>판결 이후, 카를로스가 알바로에게 이 사건의 광범위한 여파를 정리해줍니다.</t>
        </is>
      </c>
    </row>
    <row r="402" ht="15" customHeight="1" s="11">
      <c r="A402" s="13" t="n">
        <v>401</v>
      </c>
      <c r="B402" s="13" t="n">
        <v>32</v>
      </c>
      <c r="C402" s="14">
        <f>INDEX('부작 목록'!$C$2:$C$66,B402)</f>
        <v/>
      </c>
      <c r="D402" s="14" t="inlineStr">
        <is>
          <t>C EU 로비</t>
        </is>
      </c>
      <c r="E402" s="13" t="n">
        <v>8138</v>
      </c>
      <c r="F402" s="13" t="n">
        <v>13</v>
      </c>
      <c r="G402" s="15" t="inlineStr">
        <is>
          <t>알바로와 하비에르가 최종 보도를 준비하며, 이번 사건이 남긴 의미를 정리합니다.</t>
        </is>
      </c>
    </row>
    <row r="403" ht="28.35" customHeight="1" s="11">
      <c r="A403" s="13" t="n">
        <v>402</v>
      </c>
      <c r="B403" s="13" t="n">
        <v>32</v>
      </c>
      <c r="C403" s="14">
        <f>INDEX('부작 목록'!$C$2:$C$66,B403)</f>
        <v/>
      </c>
      <c r="D403" s="14" t="inlineStr">
        <is>
          <t>C EU 로비</t>
        </is>
      </c>
      <c r="E403" s="13" t="n">
        <v>8154</v>
      </c>
      <c r="F403" s="13" t="n">
        <v>20</v>
      </c>
      <c r="G403" s="15" t="inlineStr">
        <is>
          <t>몇 주 후, 마드리드의 작은 아파트에서 알바로와 카밀라가 함께 아침을 맞이합니다. 시리즈 전 체를 마무리하는 조용하고 따뜻한 장면입니다.</t>
        </is>
      </c>
    </row>
    <row r="404" ht="15" customHeight="1" s="11">
      <c r="A404" s="13" t="n">
        <v>403</v>
      </c>
      <c r="B404" s="13" t="n">
        <v>32</v>
      </c>
      <c r="C404" s="14">
        <f>INDEX('부작 목록'!$C$2:$C$66,B404)</f>
        <v/>
      </c>
      <c r="D404" s="14" t="inlineStr">
        <is>
          <t>C EU 로비</t>
        </is>
      </c>
      <c r="E404" s="13" t="n">
        <v>8177</v>
      </c>
      <c r="F404" s="13" t="n">
        <v>11</v>
      </c>
      <c r="G404" s="15" t="inlineStr">
        <is>
          <t>몇 주 후, 유럽위원회가 로비 투명성 개혁안을 발표하는 기자회견이 열립니다. 하비에르가 취재 합니다.</t>
        </is>
      </c>
    </row>
    <row r="405" ht="15" customHeight="1" s="11">
      <c r="A405" s="13" t="n">
        <v>404</v>
      </c>
      <c r="B405" s="13" t="n">
        <v>32</v>
      </c>
      <c r="C405" s="14">
        <f>INDEX('부작 목록'!$C$2:$C$66,B405)</f>
        <v/>
      </c>
      <c r="D405" s="14" t="inlineStr">
        <is>
          <t>C EU 로비</t>
        </is>
      </c>
      <c r="E405" s="13" t="n">
        <v>8191</v>
      </c>
      <c r="F405" s="13" t="n">
        <v>13</v>
      </c>
      <c r="G405" s="15" t="inlineStr">
        <is>
          <t>몇 달 후, 카를로스가 알바로에게 유럽 전역으로 확산된 수사 상황을 정리해줍니다.</t>
        </is>
      </c>
    </row>
    <row r="406" ht="15" customHeight="1" s="11">
      <c r="A406" s="13" t="n">
        <v>405</v>
      </c>
      <c r="B406" s="13" t="n">
        <v>32</v>
      </c>
      <c r="C406" s="14">
        <f>INDEX('부작 목록'!$C$2:$C$66,B406)</f>
        <v/>
      </c>
      <c r="D406" s="14" t="inlineStr">
        <is>
          <t>C EU 로비</t>
        </is>
      </c>
      <c r="E406" s="13" t="n">
        <v>8207</v>
      </c>
      <c r="F406" s="13" t="n">
        <v>13</v>
      </c>
      <c r="G406" s="15" t="inlineStr">
        <is>
          <t>몇 주 후, 알바로와 카밀라가 마드리드에서 루벤(노동착취 아크의 NGO 대표)과 우연히 재회합 니다.</t>
        </is>
      </c>
    </row>
    <row r="407" ht="15" customHeight="1" s="11">
      <c r="A407" s="13" t="n">
        <v>406</v>
      </c>
      <c r="B407" s="13" t="n">
        <v>32</v>
      </c>
      <c r="C407" s="14">
        <f>INDEX('부작 목록'!$C$2:$C$66,B407)</f>
        <v/>
      </c>
      <c r="D407" s="14" t="inlineStr">
        <is>
          <t>C EU 로비</t>
        </is>
      </c>
      <c r="E407" s="13" t="n">
        <v>8222</v>
      </c>
      <c r="F407" s="13" t="n">
        <v>14</v>
      </c>
      <c r="G407" s="15" t="inlineStr">
        <is>
          <t>몇 달 후, 카밀라가 합법적인 회계법인에서 새 직장 첫날을 마치고 돌아와 알바로와 저녁을 함 께합니다.</t>
        </is>
      </c>
    </row>
    <row r="408" ht="15" customHeight="1" s="11">
      <c r="A408" s="13" t="n">
        <v>407</v>
      </c>
      <c r="B408" s="13" t="n">
        <v>32</v>
      </c>
      <c r="C408" s="14">
        <f>INDEX('부작 목록'!$C$2:$C$66,B408)</f>
        <v/>
      </c>
      <c r="D408" s="14" t="inlineStr">
        <is>
          <t>C EU 로비</t>
        </is>
      </c>
      <c r="E408" s="13" t="n">
        <v>8239</v>
      </c>
      <c r="F408" s="13" t="n">
        <v>15</v>
      </c>
      <c r="G408" s="15" t="inlineStr">
        <is>
          <t>몇 달 후, 하비에르와 알바로의 연작 보도가 유럽 언론상을 수상하며, 모두가 함께 축하하는 자 리를 갖습니다.</t>
        </is>
      </c>
    </row>
    <row r="409" ht="28.35" customHeight="1" s="11">
      <c r="A409" s="13" t="n">
        <v>408</v>
      </c>
      <c r="B409" s="13" t="n">
        <v>32</v>
      </c>
      <c r="C409" s="14">
        <f>INDEX('부작 목록'!$C$2:$C$66,B409)</f>
        <v/>
      </c>
      <c r="D409" s="14" t="inlineStr">
        <is>
          <t>C EU 로비</t>
        </is>
      </c>
      <c r="E409" s="13" t="n">
        <v>8257</v>
      </c>
      <c r="F409" s="13" t="n">
        <v>15</v>
      </c>
      <c r="G409" s="15" t="inlineStr">
        <is>
          <t>몇 주 후, 카밀라의 오빠 마테오(위장 신분과 같은 이름의 우연)가 마드리드에 정착한 뒤 처음 으로 함께 저녁 식사를 합니다.</t>
        </is>
      </c>
    </row>
    <row r="410" ht="28.35" customHeight="1" s="11">
      <c r="A410" s="13" t="n">
        <v>409</v>
      </c>
      <c r="B410" s="13" t="n">
        <v>32</v>
      </c>
      <c r="C410" s="14">
        <f>INDEX('부작 목록'!$C$2:$C$66,B410)</f>
        <v/>
      </c>
      <c r="D410" s="14" t="inlineStr">
        <is>
          <t>C EU 로비</t>
        </is>
      </c>
      <c r="E410" s="13" t="n">
        <v>8275</v>
      </c>
      <c r="F410" s="13" t="n">
        <v>14</v>
      </c>
      <c r="G410" s="15" t="inlineStr">
        <is>
          <t>몇 달 후, 카를로스가 로셀요의 압수 자료에서 마침내 루에다와의 직접적 연결 정황을 발견했다 는 소식을 전합니다. 시리즈 전체의 다음 장을 예고합니다.</t>
        </is>
      </c>
    </row>
    <row r="411" ht="15" customHeight="1" s="11">
      <c r="A411" s="13" t="n">
        <v>410</v>
      </c>
      <c r="B411" s="13" t="n">
        <v>32</v>
      </c>
      <c r="C411" s="14">
        <f>INDEX('부작 목록'!$C$2:$C$66,B411)</f>
        <v/>
      </c>
      <c r="D411" s="14" t="inlineStr">
        <is>
          <t>C EU 로비</t>
        </is>
      </c>
      <c r="E411" s="13" t="n">
        <v>8292</v>
      </c>
      <c r="F411" s="13" t="n">
        <v>14</v>
      </c>
      <c r="G411" s="15" t="inlineStr">
        <is>
          <t>그날 밤, 알바로가 카밀라에게 루에다 관련 새 소식을 조심스럽게 전하며 미래에 대해 이야기합 니다.</t>
        </is>
      </c>
    </row>
    <row r="412" ht="15" customHeight="1" s="11">
      <c r="A412" s="13" t="n">
        <v>411</v>
      </c>
      <c r="B412" s="13" t="n">
        <v>32</v>
      </c>
      <c r="C412" s="14">
        <f>INDEX('부작 목록'!$C$2:$C$66,B412)</f>
        <v/>
      </c>
      <c r="D412" s="14" t="inlineStr">
        <is>
          <t>C EU 로비</t>
        </is>
      </c>
      <c r="E412" s="13" t="n">
        <v>8308</v>
      </c>
      <c r="F412" s="13" t="n">
        <v>17</v>
      </c>
      <c r="G412" s="15" t="inlineStr">
        <is>
          <t>며칠 후, 알바로가 하비에르와 함께 지금까지의 모든 여정을 돌아보는 긴 대화를 나눕니다.</t>
        </is>
      </c>
    </row>
    <row r="413" ht="15" customHeight="1" s="11">
      <c r="A413" s="13" t="n">
        <v>412</v>
      </c>
      <c r="B413" s="13" t="n">
        <v>32</v>
      </c>
      <c r="C413" s="14">
        <f>INDEX('부작 목록'!$C$2:$C$66,B413)</f>
        <v/>
      </c>
      <c r="D413" s="14" t="inlineStr">
        <is>
          <t>C EU 로비</t>
        </is>
      </c>
      <c r="E413" s="13" t="n">
        <v>8328</v>
      </c>
      <c r="F413" s="13" t="n">
        <v>15</v>
      </c>
      <c r="G413" s="15" t="inlineStr">
        <is>
          <t>몇 주 후, 카밀라가 비슷한 상황에 처한 다른 사람들을 돕기 위한 새로운 프로젝트를 알바로에 게 제안합니다.</t>
        </is>
      </c>
    </row>
    <row r="414" ht="28.35" customHeight="1" s="11">
      <c r="A414" s="13" t="n">
        <v>413</v>
      </c>
      <c r="B414" s="13" t="n">
        <v>32</v>
      </c>
      <c r="C414" s="14">
        <f>INDEX('부작 목록'!$C$2:$C$66,B414)</f>
        <v/>
      </c>
      <c r="D414" s="14" t="inlineStr">
        <is>
          <t>C EU 로비</t>
        </is>
      </c>
      <c r="E414" s="13" t="n">
        <v>8346</v>
      </c>
      <c r="F414" s="13" t="n">
        <v>16</v>
      </c>
      <c r="G414" s="15" t="inlineStr">
        <is>
          <t>몇 달 후, 새로운 실마리. '엘 아르키텍토'(아드리안 로셀요) 네트워크가 브뤼셀의 로비 회사를 통해 EU 금융규제 완화를 위해 움직이고 있다는 정황이 포착됩니다.</t>
        </is>
      </c>
    </row>
    <row r="415" ht="15" customHeight="1" s="11">
      <c r="A415" s="13" t="n">
        <v>414</v>
      </c>
      <c r="B415" s="13" t="n">
        <v>32</v>
      </c>
      <c r="C415" s="14">
        <f>INDEX('부작 목록'!$C$2:$C$66,B415)</f>
        <v/>
      </c>
      <c r="D415" s="14" t="inlineStr">
        <is>
          <t>C EU 로비</t>
        </is>
      </c>
      <c r="E415" s="13" t="n">
        <v>8365</v>
      </c>
      <c r="F415" s="13" t="n">
        <v>19</v>
      </c>
      <c r="G415" s="15" t="inlineStr">
        <is>
          <t>알바로가 카밀라에게 새로운 사건을 설명하며, 도움을 요청합니다.</t>
        </is>
      </c>
    </row>
    <row r="416" ht="15" customHeight="1" s="11">
      <c r="A416" s="13" t="n">
        <v>415</v>
      </c>
      <c r="B416" s="13" t="n">
        <v>32</v>
      </c>
      <c r="C416" s="14">
        <f>INDEX('부작 목록'!$C$2:$C$66,B416)</f>
        <v/>
      </c>
      <c r="D416" s="14" t="inlineStr">
        <is>
          <t>C EU 로비</t>
        </is>
      </c>
      <c r="E416" s="13" t="n">
        <v>8387</v>
      </c>
      <c r="F416" s="13" t="n">
        <v>19</v>
      </c>
      <c r="G416" s="15" t="inlineStr">
        <is>
          <t>카밀라가 확보된 문서를 분석하며, 브뤼셀 로비 회사와 재단의 자금 구조를 설명합니다.</t>
        </is>
      </c>
    </row>
    <row r="417" ht="15" customHeight="1" s="11">
      <c r="A417" s="13" t="n">
        <v>416</v>
      </c>
      <c r="B417" s="13" t="n">
        <v>32</v>
      </c>
      <c r="C417" s="14">
        <f>INDEX('부작 목록'!$C$2:$C$66,B417)</f>
        <v/>
      </c>
      <c r="D417" s="14" t="inlineStr">
        <is>
          <t>C EU 로비</t>
        </is>
      </c>
      <c r="E417" s="13" t="n">
        <v>8409</v>
      </c>
      <c r="F417" s="13" t="n">
        <v>14</v>
      </c>
      <c r="G417" s="15" t="inlineStr">
        <is>
          <t>알바로가 하비에르의 브뤼셀 특파원 동료 이니고 사라비아와 연결해, 카밀라와 함께 3자 화상회 의를 합니다.</t>
        </is>
      </c>
    </row>
    <row r="418" ht="15" customHeight="1" s="11">
      <c r="A418" s="13" t="n">
        <v>417</v>
      </c>
      <c r="B418" s="13" t="n">
        <v>32</v>
      </c>
      <c r="C418" s="14">
        <f>INDEX('부작 목록'!$C$2:$C$66,B418)</f>
        <v/>
      </c>
      <c r="D418" s="14" t="inlineStr">
        <is>
          <t>C EU 로비</t>
        </is>
      </c>
      <c r="E418" s="13" t="n">
        <v>8426</v>
      </c>
      <c r="F418" s="13" t="n">
        <v>13</v>
      </c>
      <c r="G418" s="15" t="inlineStr">
        <is>
          <t>며칠 후, 이니고가 J. 베르호벤의 신원을 확인한 결과를 전합니다.</t>
        </is>
      </c>
    </row>
    <row r="419" ht="15" customHeight="1" s="11">
      <c r="A419" s="13" t="n">
        <v>418</v>
      </c>
      <c r="B419" s="13" t="n">
        <v>32</v>
      </c>
      <c r="C419" s="14">
        <f>INDEX('부작 목록'!$C$2:$C$66,B419)</f>
        <v/>
      </c>
      <c r="D419" s="14" t="inlineStr">
        <is>
          <t>C EU 로비</t>
        </is>
      </c>
      <c r="E419" s="13" t="n">
        <v>8442</v>
      </c>
      <c r="F419" s="13" t="n">
        <v>12</v>
      </c>
      <c r="G419" s="15" t="inlineStr">
        <is>
          <t>알바로가 카를로스에게 상황을 보고하며, 이 사건이 국가 차원을 넘어선다는 걸 확인합니다.</t>
        </is>
      </c>
    </row>
    <row r="420" ht="15" customHeight="1" s="11">
      <c r="A420" s="13" t="n">
        <v>419</v>
      </c>
      <c r="B420" s="13" t="n">
        <v>32</v>
      </c>
      <c r="C420" s="14">
        <f>INDEX('부작 목록'!$C$2:$C$66,B420)</f>
        <v/>
      </c>
      <c r="D420" s="14" t="inlineStr">
        <is>
          <t>C EU 로비</t>
        </is>
      </c>
      <c r="E420" s="13" t="n">
        <v>8456</v>
      </c>
      <c r="F420" s="13" t="n">
        <v>10</v>
      </c>
      <c r="G420" s="15" t="inlineStr">
        <is>
          <t>며칠 후, 카밀라가 익명의 메시지를 받으며 위협이 재개됩니다.</t>
        </is>
      </c>
    </row>
    <row r="421" ht="15" customHeight="1" s="11">
      <c r="A421" s="13" t="n">
        <v>420</v>
      </c>
      <c r="B421" s="13" t="n">
        <v>32</v>
      </c>
      <c r="C421" s="14">
        <f>INDEX('부작 목록'!$C$2:$C$66,B421)</f>
        <v/>
      </c>
      <c r="D421" s="14" t="inlineStr">
        <is>
          <t>C EU 로비</t>
        </is>
      </c>
      <c r="E421" s="13" t="n">
        <v>8469</v>
      </c>
      <c r="F421" s="13" t="n">
        <v>11</v>
      </c>
      <c r="G421" s="15" t="inlineStr">
        <is>
          <t>카를로스가 신속하게 카밀라 보호 조치를 강화하고, 알바로와 카밀라가 계속 조사할지 논의합니 다.</t>
        </is>
      </c>
    </row>
    <row r="422" ht="15" customHeight="1" s="11">
      <c r="A422" s="13" t="n">
        <v>421</v>
      </c>
      <c r="B422" s="13" t="n">
        <v>32</v>
      </c>
      <c r="C422" s="14">
        <f>INDEX('부작 목록'!$C$2:$C$66,B422)</f>
        <v/>
      </c>
      <c r="D422" s="14" t="inlineStr">
        <is>
          <t>C EU 로비</t>
        </is>
      </c>
      <c r="E422" s="13" t="n">
        <v>8483</v>
      </c>
      <c r="F422" s="13" t="n">
        <v>11</v>
      </c>
      <c r="G422" s="15" t="inlineStr">
        <is>
          <t>이니고가 벨기에 정보원을 통해 추가 정보를 확보합니다.</t>
        </is>
      </c>
    </row>
    <row r="423" ht="15" customHeight="1" s="11">
      <c r="A423" s="13" t="n">
        <v>422</v>
      </c>
      <c r="B423" s="13" t="n">
        <v>32</v>
      </c>
      <c r="C423" s="14">
        <f>INDEX('부작 목록'!$C$2:$C$66,B423)</f>
        <v/>
      </c>
      <c r="D423" s="14" t="inlineStr">
        <is>
          <t>C EU 로비</t>
        </is>
      </c>
      <c r="E423" s="13" t="n">
        <v>8496</v>
      </c>
      <c r="F423" s="13" t="n">
        <v>13</v>
      </c>
      <c r="G423" s="15" t="inlineStr">
        <is>
          <t>이니고가 EU 내부 제보자 마르턴 데브리스와의 접선을 성사시킵니다. 알바로가 직접 브뤼셀로 가서 만납니다.</t>
        </is>
      </c>
    </row>
    <row r="424" ht="15" customHeight="1" s="11">
      <c r="A424" s="13" t="n">
        <v>423</v>
      </c>
      <c r="B424" s="13" t="n">
        <v>32</v>
      </c>
      <c r="C424" s="14">
        <f>INDEX('부작 목록'!$C$2:$C$66,B424)</f>
        <v/>
      </c>
      <c r="D424" s="14" t="inlineStr">
        <is>
          <t>C EU 로비</t>
        </is>
      </c>
      <c r="E424" s="13" t="n">
        <v>8512</v>
      </c>
      <c r="F424" s="13" t="n">
        <v>18</v>
      </c>
      <c r="G424" s="15" t="inlineStr">
        <is>
          <t>알바로가 자스퍼 베르호벤에게 공식 인터뷰를 요청하며 직접 대면합니다.</t>
        </is>
      </c>
    </row>
    <row r="425" ht="15" customHeight="1" s="11">
      <c r="A425" s="13" t="n">
        <v>424</v>
      </c>
      <c r="B425" s="13" t="n">
        <v>32</v>
      </c>
      <c r="C425" s="14">
        <f>INDEX('부작 목록'!$C$2:$C$66,B425)</f>
        <v/>
      </c>
      <c r="D425" s="14" t="inlineStr">
        <is>
          <t>C EU 로비</t>
        </is>
      </c>
      <c r="E425" s="13" t="n">
        <v>8533</v>
      </c>
      <c r="F425" s="13" t="n">
        <v>11</v>
      </c>
      <c r="G425" s="15" t="inlineStr">
        <is>
          <t>카밀라가 마르턴이 넘긴 문서를 분석하며, 로셀요와의 직접적 연결고리를 발견합니다.</t>
        </is>
      </c>
    </row>
    <row r="426" ht="15" customHeight="1" s="11">
      <c r="A426" s="13" t="n">
        <v>425</v>
      </c>
      <c r="B426" s="13" t="n">
        <v>32</v>
      </c>
      <c r="C426" s="14">
        <f>INDEX('부작 목록'!$C$2:$C$66,B426)</f>
        <v/>
      </c>
      <c r="D426" s="14" t="inlineStr">
        <is>
          <t>C EU 로비</t>
        </is>
      </c>
      <c r="E426" s="13" t="n">
        <v>8547</v>
      </c>
      <c r="F426" s="13" t="n">
        <v>12</v>
      </c>
      <c r="G426" s="15" t="inlineStr">
        <is>
          <t>카를로스가 EU 반부패기구와의 공식 공조를 성사시킵니다.</t>
        </is>
      </c>
    </row>
    <row r="427" ht="15" customHeight="1" s="11">
      <c r="A427" s="13" t="n">
        <v>426</v>
      </c>
      <c r="B427" s="13" t="n">
        <v>32</v>
      </c>
      <c r="C427" s="14">
        <f>INDEX('부작 목록'!$C$2:$C$66,B427)</f>
        <v/>
      </c>
      <c r="D427" s="14" t="inlineStr">
        <is>
          <t>C EU 로비</t>
        </is>
      </c>
      <c r="E427" s="13" t="n">
        <v>8561</v>
      </c>
      <c r="F427" s="13" t="n">
        <v>9</v>
      </c>
      <c r="G427" s="15" t="inlineStr">
        <is>
          <t>몇 주 후, 마르턴 데브리스가 자신이 감시당하고 있다는 걸 눈치채며 위기가 발생합니다.</t>
        </is>
      </c>
    </row>
    <row r="428" ht="15" customHeight="1" s="11">
      <c r="A428" s="13" t="n">
        <v>427</v>
      </c>
      <c r="B428" s="13" t="n">
        <v>32</v>
      </c>
      <c r="C428" s="14">
        <f>INDEX('부작 목록'!$C$2:$C$66,B428)</f>
        <v/>
      </c>
      <c r="D428" s="14" t="inlineStr">
        <is>
          <t>C EU 로비</t>
        </is>
      </c>
      <c r="E428" s="13" t="n">
        <v>8573</v>
      </c>
      <c r="F428" s="13" t="n">
        <v>10</v>
      </c>
      <c r="G428" s="15" t="inlineStr">
        <is>
          <t>알바로, 카를로스, 이니고가 마르턴 보호를 위한 긴급 대응을 논의합니다.</t>
        </is>
      </c>
    </row>
    <row r="429" ht="15" customHeight="1" s="11">
      <c r="A429" s="13" t="n">
        <v>428</v>
      </c>
      <c r="B429" s="13" t="n">
        <v>32</v>
      </c>
      <c r="C429" s="14">
        <f>INDEX('부작 목록'!$C$2:$C$66,B429)</f>
        <v/>
      </c>
      <c r="D429" s="14" t="inlineStr">
        <is>
          <t>C EU 로비</t>
        </is>
      </c>
      <c r="E429" s="13" t="n">
        <v>8585</v>
      </c>
      <c r="F429" s="13" t="n">
        <v>10</v>
      </c>
      <c r="G429" s="15" t="inlineStr">
        <is>
          <t>며칠 후, 벨기에와 스페인 양국 법원이 개입을 승인합니다.</t>
        </is>
      </c>
    </row>
    <row r="430" ht="15" customHeight="1" s="11">
      <c r="A430" s="13" t="n">
        <v>429</v>
      </c>
      <c r="B430" s="13" t="n">
        <v>32</v>
      </c>
      <c r="C430" s="14">
        <f>INDEX('부작 목록'!$C$2:$C$66,B430)</f>
        <v/>
      </c>
      <c r="D430" s="14" t="inlineStr">
        <is>
          <t>C EU 로비</t>
        </is>
      </c>
      <c r="E430" s="13" t="n">
        <v>8597</v>
      </c>
      <c r="F430" s="13" t="n">
        <v>11</v>
      </c>
      <c r="G430" s="15" t="inlineStr">
        <is>
          <t>작전을 앞둔 밤, 알바로와 카밀라가 조용히 대화를 나눕니다.</t>
        </is>
      </c>
    </row>
    <row r="431" ht="15" customHeight="1" s="11">
      <c r="A431" s="13" t="n">
        <v>430</v>
      </c>
      <c r="B431" s="13" t="n">
        <v>32</v>
      </c>
      <c r="C431" s="14">
        <f>INDEX('부작 목록'!$C$2:$C$66,B431)</f>
        <v/>
      </c>
      <c r="D431" s="14" t="inlineStr">
        <is>
          <t>C EU 로비</t>
        </is>
      </c>
      <c r="E431" s="13" t="n">
        <v>8611</v>
      </c>
      <c r="F431" s="13" t="n">
        <v>14</v>
      </c>
      <c r="G431" s="15" t="inlineStr">
        <is>
          <t>개입 당일. 벨기에·룩셈부르크·스페인이 동시에 작전을 실행합니다. 알바로가 브뤼셀 현장에서 지켜봅니다.</t>
        </is>
      </c>
    </row>
    <row r="432" ht="15" customHeight="1" s="11">
      <c r="A432" s="13" t="n">
        <v>431</v>
      </c>
      <c r="B432" s="13" t="n">
        <v>32</v>
      </c>
      <c r="C432" s="14">
        <f>INDEX('부작 목록'!$C$2:$C$66,B432)</f>
        <v/>
      </c>
      <c r="D432" s="14" t="inlineStr">
        <is>
          <t>C EU 로비</t>
        </is>
      </c>
      <c r="E432" s="13" t="n">
        <v>8627</v>
      </c>
      <c r="F432" s="13" t="n">
        <v>11</v>
      </c>
      <c r="G432" s="15" t="inlineStr">
        <is>
          <t>며칠 후, 카밀라와 마르턴이 압수된 자료를 함께 분석하며 로셀요의 흔적을 추적합니다.</t>
        </is>
      </c>
    </row>
    <row r="433" ht="15" customHeight="1" s="11">
      <c r="A433" s="13" t="n">
        <v>432</v>
      </c>
      <c r="B433" s="13" t="n">
        <v>32</v>
      </c>
      <c r="C433" s="14">
        <f>INDEX('부작 목록'!$C$2:$C$66,B433)</f>
        <v/>
      </c>
      <c r="D433" s="14" t="inlineStr">
        <is>
          <t>C EU 로비</t>
        </is>
      </c>
      <c r="E433" s="13" t="n">
        <v>8641</v>
      </c>
      <c r="F433" s="13" t="n">
        <v>13</v>
      </c>
      <c r="G433" s="15" t="inlineStr">
        <is>
          <t>마르턴이 예약 패턴을 대조해 회의 장소를 특정합니다.</t>
        </is>
      </c>
    </row>
    <row r="434" ht="15" customHeight="1" s="11">
      <c r="A434" s="13" t="n">
        <v>433</v>
      </c>
      <c r="B434" s="13" t="n">
        <v>32</v>
      </c>
      <c r="C434" s="14">
        <f>INDEX('부작 목록'!$C$2:$C$66,B434)</f>
        <v/>
      </c>
      <c r="D434" s="14" t="inlineStr">
        <is>
          <t>C EU 로비</t>
        </is>
      </c>
      <c r="E434" s="13" t="n">
        <v>8657</v>
      </c>
      <c r="F434" s="13" t="n">
        <v>11</v>
      </c>
      <c r="G434" s="15" t="inlineStr">
        <is>
          <t>카를로스가 스위스 당국과의 협력을 조율하며, 최종 작전을 준비합니다.</t>
        </is>
      </c>
    </row>
    <row r="435" ht="15" customHeight="1" s="11">
      <c r="A435" s="13" t="n">
        <v>434</v>
      </c>
      <c r="B435" s="13" t="n">
        <v>32</v>
      </c>
      <c r="C435" s="14">
        <f>INDEX('부작 목록'!$C$2:$C$66,B435)</f>
        <v/>
      </c>
      <c r="D435" s="14" t="inlineStr">
        <is>
          <t>C EU 로비</t>
        </is>
      </c>
      <c r="E435" s="13" t="n">
        <v>8670</v>
      </c>
      <c r="F435" s="13" t="n">
        <v>11</v>
      </c>
      <c r="G435" s="15" t="inlineStr">
        <is>
          <t>알바로가 학회 참가자로 위장해 제네바 호텔에 도착합니다.</t>
        </is>
      </c>
    </row>
    <row r="436" ht="15" customHeight="1" s="11">
      <c r="A436" s="13" t="n">
        <v>435</v>
      </c>
      <c r="B436" s="13" t="n">
        <v>32</v>
      </c>
      <c r="C436" s="14">
        <f>INDEX('부작 목록'!$C$2:$C$66,B436)</f>
        <v/>
      </c>
      <c r="D436" s="14" t="inlineStr">
        <is>
          <t>C EU 로비</t>
        </is>
      </c>
      <c r="E436" s="13" t="n">
        <v>8683</v>
      </c>
      <c r="F436" s="13" t="n">
        <v>11</v>
      </c>
      <c r="G436" s="15" t="inlineStr">
        <is>
          <t>카를로스와 마르코스가 사진을 분석해 정체를 확인합니다.</t>
        </is>
      </c>
    </row>
    <row r="437" ht="15" customHeight="1" s="11">
      <c r="A437" s="13" t="n">
        <v>436</v>
      </c>
      <c r="B437" s="13" t="n">
        <v>32</v>
      </c>
      <c r="C437" s="14">
        <f>INDEX('부작 목록'!$C$2:$C$66,B437)</f>
        <v/>
      </c>
      <c r="D437" s="14" t="inlineStr">
        <is>
          <t>C EU 로비</t>
        </is>
      </c>
      <c r="E437" s="13" t="n">
        <v>8697</v>
      </c>
      <c r="F437" s="13" t="n">
        <v>11</v>
      </c>
      <c r="G437" s="15" t="inlineStr">
        <is>
          <t>다음 날, 알바로가 감시하던 중 로셀요(혹은 그의 협력자)에게 정체를 의심받을 뻔한 순간이 벌 어집니다.</t>
        </is>
      </c>
    </row>
    <row r="438" ht="15" customHeight="1" s="11">
      <c r="A438" s="13" t="n">
        <v>437</v>
      </c>
      <c r="B438" s="13" t="n">
        <v>32</v>
      </c>
      <c r="C438" s="14">
        <f>INDEX('부작 목록'!$C$2:$C$66,B438)</f>
        <v/>
      </c>
      <c r="D438" s="14" t="inlineStr">
        <is>
          <t>C EU 로비</t>
        </is>
      </c>
      <c r="E438" s="13" t="n">
        <v>8710</v>
      </c>
      <c r="F438" s="13" t="n">
        <v>11</v>
      </c>
      <c r="G438" s="15" t="inlineStr">
        <is>
          <t>알바로가 안전하게 철수한 뒤, 스위스 당국이 정식으로 감시를 인계받습니다.</t>
        </is>
      </c>
    </row>
    <row r="439" ht="15" customHeight="1" s="11">
      <c r="A439" s="13" t="n">
        <v>438</v>
      </c>
      <c r="B439" s="13" t="n">
        <v>32</v>
      </c>
      <c r="C439" s="14">
        <f>INDEX('부작 목록'!$C$2:$C$66,B439)</f>
        <v/>
      </c>
      <c r="D439" s="14" t="inlineStr">
        <is>
          <t>C EU 로비</t>
        </is>
      </c>
      <c r="E439" s="13" t="n">
        <v>8724</v>
      </c>
      <c r="F439" s="13" t="n">
        <v>12</v>
      </c>
      <c r="G439" s="15" t="inlineStr">
        <is>
          <t>마드리드로 돌아온 알바로가 카밀라와 재회하며, 제네바에서 있었던 일을 전합니다.</t>
        </is>
      </c>
    </row>
    <row r="440" ht="15" customHeight="1" s="11">
      <c r="A440" s="13" t="n">
        <v>439</v>
      </c>
      <c r="B440" s="13" t="n">
        <v>32</v>
      </c>
      <c r="C440" s="14">
        <f>INDEX('부작 목록'!$C$2:$C$66,B440)</f>
        <v/>
      </c>
      <c r="D440" s="14" t="inlineStr">
        <is>
          <t>C EU 로비</t>
        </is>
      </c>
      <c r="E440" s="13" t="n">
        <v>8739</v>
      </c>
      <c r="F440" s="13" t="n">
        <v>11</v>
      </c>
      <c r="G440" s="15" t="inlineStr">
        <is>
          <t>이니고가 마르턴의 안전한 이전 상황을 확인합니다.</t>
        </is>
      </c>
    </row>
    <row r="441" ht="15" customHeight="1" s="11">
      <c r="A441" s="13" t="n">
        <v>440</v>
      </c>
      <c r="B441" s="13" t="n">
        <v>32</v>
      </c>
      <c r="C441" s="14">
        <f>INDEX('부작 목록'!$C$2:$C$66,B441)</f>
        <v/>
      </c>
      <c r="D441" s="14" t="inlineStr">
        <is>
          <t>C EU 로비</t>
        </is>
      </c>
      <c r="E441" s="13" t="n">
        <v>8752</v>
      </c>
      <c r="F441" s="13" t="n">
        <v>20</v>
      </c>
      <c r="G441" s="15" t="inlineStr">
        <is>
          <t>자스퍼 베르호벤이 변호사와 상담 후 전면 협조를 결정하며, 로셀요에 대한 새로운 정보를 제공 합니다.</t>
        </is>
      </c>
    </row>
    <row r="442" ht="15" customHeight="1" s="11">
      <c r="A442" s="13" t="n">
        <v>441</v>
      </c>
      <c r="B442" s="13" t="n">
        <v>32</v>
      </c>
      <c r="C442" s="14">
        <f>INDEX('부작 목록'!$C$2:$C$66,B442)</f>
        <v/>
      </c>
      <c r="D442" s="14" t="inlineStr">
        <is>
          <t>C EU 로비</t>
        </is>
      </c>
      <c r="E442" s="13" t="n">
        <v>8775</v>
      </c>
      <c r="F442" s="13" t="n">
        <v>13</v>
      </c>
      <c r="G442" s="15" t="inlineStr">
        <is>
          <t>알바로가 하비에르에게 이번 국제 사건의 전모를 상세히 설명하며 보도를 준비합니다.</t>
        </is>
      </c>
    </row>
    <row r="443" ht="15" customHeight="1" s="11">
      <c r="A443" s="13" t="n">
        <v>442</v>
      </c>
      <c r="B443" s="13" t="n">
        <v>32</v>
      </c>
      <c r="C443" s="14">
        <f>INDEX('부작 목록'!$C$2:$C$66,B443)</f>
        <v/>
      </c>
      <c r="D443" s="14" t="inlineStr">
        <is>
          <t>C EU 로비</t>
        </is>
      </c>
      <c r="E443" s="13" t="n">
        <v>8791</v>
      </c>
      <c r="F443" s="13" t="n">
        <v>12</v>
      </c>
      <c r="G443" s="15" t="inlineStr">
        <is>
          <t>보도가 나간 뒤, 유럽 전역에서 큰 반향이 일어납니다.</t>
        </is>
      </c>
    </row>
    <row r="444" ht="15" customHeight="1" s="11">
      <c r="A444" s="13" t="n">
        <v>443</v>
      </c>
      <c r="B444" s="13" t="n">
        <v>32</v>
      </c>
      <c r="C444" s="14">
        <f>INDEX('부작 목록'!$C$2:$C$66,B444)</f>
        <v/>
      </c>
      <c r="D444" s="14" t="inlineStr">
        <is>
          <t>C EU 로비</t>
        </is>
      </c>
      <c r="E444" s="13" t="n">
        <v>8806</v>
      </c>
      <c r="F444" s="13" t="n">
        <v>16</v>
      </c>
      <c r="G444" s="15" t="inlineStr">
        <is>
          <t>몇 주 후, 카를로스가 이번 사건이 가져온 제도적 변화를 자세히 설명합니다.</t>
        </is>
      </c>
    </row>
    <row r="445" ht="15" customHeight="1" s="11">
      <c r="A445" s="13" t="n">
        <v>444</v>
      </c>
      <c r="B445" s="13" t="n">
        <v>32</v>
      </c>
      <c r="C445" s="14">
        <f>INDEX('부작 목록'!$C$2:$C$66,B445)</f>
        <v/>
      </c>
      <c r="D445" s="14" t="inlineStr">
        <is>
          <t>C EU 로비</t>
        </is>
      </c>
      <c r="E445" s="13" t="n">
        <v>8825</v>
      </c>
      <c r="F445" s="13" t="n">
        <v>10</v>
      </c>
      <c r="G445" s="15" t="inlineStr">
        <is>
          <t>카를로스가 카밀라에게 CNI 자문으로 정식 협력할 것을 제안합니다.</t>
        </is>
      </c>
    </row>
    <row r="446" ht="15" customHeight="1" s="11">
      <c r="A446" s="13" t="n">
        <v>445</v>
      </c>
      <c r="B446" s="13" t="n">
        <v>32</v>
      </c>
      <c r="C446" s="14">
        <f>INDEX('부작 목록'!$C$2:$C$66,B446)</f>
        <v/>
      </c>
      <c r="D446" s="14" t="inlineStr">
        <is>
          <t>C EU 로비</t>
        </is>
      </c>
      <c r="E446" s="13" t="n">
        <v>8837</v>
      </c>
      <c r="F446" s="13" t="n">
        <v>17</v>
      </c>
      <c r="G446" s="15" t="inlineStr">
        <is>
          <t>몇 주 후, 알바로·카밀라·하비에르·카를로스·이니고(화상)가 함께 모여 이 긴 국제 수사를 자축합 니다.</t>
        </is>
      </c>
    </row>
    <row r="447" ht="15" customHeight="1" s="11">
      <c r="A447" s="13" t="n">
        <v>446</v>
      </c>
      <c r="B447" s="13" t="n">
        <v>32</v>
      </c>
      <c r="C447" s="14">
        <f>INDEX('부작 목록'!$C$2:$C$66,B447)</f>
        <v/>
      </c>
      <c r="D447" s="14" t="inlineStr">
        <is>
          <t>C EU 로비</t>
        </is>
      </c>
      <c r="E447" s="13" t="n">
        <v>8857</v>
      </c>
      <c r="F447" s="13" t="n">
        <v>13</v>
      </c>
      <c r="G447" s="15" t="inlineStr">
        <is>
          <t>몇 달 후, 카밀라가 CNI 자문으로 일하며 새로운 이상 패턴을 발견합니다.</t>
        </is>
      </c>
    </row>
    <row r="448" ht="15" customHeight="1" s="11">
      <c r="A448" s="13" t="n">
        <v>447</v>
      </c>
      <c r="B448" s="13" t="n">
        <v>32</v>
      </c>
      <c r="C448" s="14">
        <f>INDEX('부작 목록'!$C$2:$C$66,B448)</f>
        <v/>
      </c>
      <c r="D448" s="14" t="inlineStr">
        <is>
          <t>C EU 로비</t>
        </is>
      </c>
      <c r="E448" s="13" t="n">
        <v>8873</v>
      </c>
      <c r="F448" s="13" t="n">
        <v>12</v>
      </c>
      <c r="G448" s="15" t="inlineStr">
        <is>
          <t>카를로스가 아일랜드 당국과의 초기 협조를 시작하며, 새로운 국면이 열립니다.</t>
        </is>
      </c>
    </row>
    <row r="449" ht="15" customHeight="1" s="11">
      <c r="A449" s="13" t="n">
        <v>448</v>
      </c>
      <c r="B449" s="13" t="n">
        <v>32</v>
      </c>
      <c r="C449" s="14">
        <f>INDEX('부작 목록'!$C$2:$C$66,B449)</f>
        <v/>
      </c>
      <c r="D449" s="14" t="inlineStr">
        <is>
          <t>C EU 로비</t>
        </is>
      </c>
      <c r="E449" s="13" t="n">
        <v>8888</v>
      </c>
      <c r="F449" s="13" t="n">
        <v>12</v>
      </c>
      <c r="G449" s="15" t="inlineStr">
        <is>
          <t>카밀라가 핀테크 오로라의 자금 구조를 분석하며, 이전보다 더 정교해진 패턴을 발견합니다.</t>
        </is>
      </c>
    </row>
    <row r="450" ht="15" customHeight="1" s="11">
      <c r="A450" s="13" t="n">
        <v>449</v>
      </c>
      <c r="B450" s="13" t="n">
        <v>32</v>
      </c>
      <c r="C450" s="14">
        <f>INDEX('부작 목록'!$C$2:$C$66,B450)</f>
        <v/>
      </c>
      <c r="D450" s="14" t="inlineStr">
        <is>
          <t>C EU 로비</t>
        </is>
      </c>
      <c r="E450" s="13" t="n">
        <v>8902</v>
      </c>
      <c r="F450" s="13" t="n">
        <v>12</v>
      </c>
      <c r="G450" s="15" t="inlineStr">
        <is>
          <t>카를로스가 아일랜드 금융감독 당국과 공식 회의를 주선합니다. 알바로와 카밀라도 참석합니다.</t>
        </is>
      </c>
    </row>
    <row r="451" ht="15" customHeight="1" s="11">
      <c r="A451" s="13" t="n">
        <v>450</v>
      </c>
      <c r="B451" s="13" t="n">
        <v>32</v>
      </c>
      <c r="C451" s="14">
        <f>INDEX('부작 목록'!$C$2:$C$66,B451)</f>
        <v/>
      </c>
      <c r="D451" s="14" t="inlineStr">
        <is>
          <t>C EU 로비</t>
        </is>
      </c>
      <c r="E451" s="13" t="n">
        <v>8917</v>
      </c>
      <c r="F451" s="13" t="n">
        <v>10</v>
      </c>
      <c r="G451" s="15" t="inlineStr">
        <is>
          <t>협조 중인 베르호벤이 로셀요 조직의 새로운 통신 방식에 대한 마지막 정보를 제공합니다.</t>
        </is>
      </c>
    </row>
    <row r="452" ht="15" customHeight="1" s="11">
      <c r="A452" s="13" t="n">
        <v>451</v>
      </c>
      <c r="B452" s="13" t="n">
        <v>32</v>
      </c>
      <c r="C452" s="14">
        <f>INDEX('부작 목록'!$C$2:$C$66,B452)</f>
        <v/>
      </c>
      <c r="D452" s="14" t="inlineStr">
        <is>
          <t>C EU 로비</t>
        </is>
      </c>
      <c r="E452" s="13" t="n">
        <v>8930</v>
      </c>
      <c r="F452" s="13" t="n">
        <v>12</v>
      </c>
      <c r="G452" s="15" t="inlineStr">
        <is>
          <t>카밀라와 마르코스가 몬테 디지털 옥션스의 경매 목록을 분석하며 암호화된 메시지 패턴을 찾 습니다.</t>
        </is>
      </c>
    </row>
    <row r="453" ht="15" customHeight="1" s="11">
      <c r="A453" s="13" t="n">
        <v>452</v>
      </c>
      <c r="B453" s="13" t="n">
        <v>32</v>
      </c>
      <c r="C453" s="14">
        <f>INDEX('부작 목록'!$C$2:$C$66,B453)</f>
        <v/>
      </c>
      <c r="D453" s="14" t="inlineStr">
        <is>
          <t>C EU 로비</t>
        </is>
      </c>
      <c r="E453" s="13" t="n">
        <v>8944</v>
      </c>
      <c r="F453" s="13" t="n">
        <v>13</v>
      </c>
      <c r="G453" s="15" t="inlineStr">
        <is>
          <t>카를로스가 세 개의 의심스러운 경매 계정을 추적한 결과를 전합니다.</t>
        </is>
      </c>
    </row>
    <row r="454" ht="15" customHeight="1" s="11">
      <c r="A454" s="13" t="n">
        <v>453</v>
      </c>
      <c r="B454" s="13" t="n">
        <v>32</v>
      </c>
      <c r="C454" s="14">
        <f>INDEX('부작 목록'!$C$2:$C$66,B454)</f>
        <v/>
      </c>
      <c r="D454" s="14" t="inlineStr">
        <is>
          <t>C EU 로비</t>
        </is>
      </c>
      <c r="E454" s="13" t="n">
        <v>8960</v>
      </c>
      <c r="F454" s="13" t="n">
        <v>12</v>
      </c>
      <c r="G454" s="15" t="inlineStr">
        <is>
          <t>프랑스 당국의 감시 결과, 니스 주소에 대한 새로운 정보가 전해집니다.</t>
        </is>
      </c>
    </row>
    <row r="455" ht="15" customHeight="1" s="11">
      <c r="A455" s="13" t="n">
        <v>454</v>
      </c>
      <c r="B455" s="13" t="n">
        <v>32</v>
      </c>
      <c r="C455" s="14">
        <f>INDEX('부작 목록'!$C$2:$C$66,B455)</f>
        <v/>
      </c>
      <c r="D455" s="14" t="inlineStr">
        <is>
          <t>C EU 로비</t>
        </is>
      </c>
      <c r="E455" s="13" t="n">
        <v>8975</v>
      </c>
      <c r="F455" s="13" t="n">
        <v>8</v>
      </c>
      <c r="G455" s="15" t="inlineStr">
        <is>
          <t>며칠 후, 프랑스 당국이 니스 주소에 대한 개입을 승인합니다.</t>
        </is>
      </c>
    </row>
    <row r="456" ht="15" customHeight="1" s="11">
      <c r="A456" s="13" t="n">
        <v>455</v>
      </c>
      <c r="B456" s="13" t="n">
        <v>32</v>
      </c>
      <c r="C456" s="14">
        <f>INDEX('부작 목록'!$C$2:$C$66,B456)</f>
        <v/>
      </c>
      <c r="D456" s="14" t="inlineStr">
        <is>
          <t>C EU 로비</t>
        </is>
      </c>
      <c r="E456" s="13" t="n">
        <v>8985</v>
      </c>
      <c r="F456" s="13" t="n">
        <v>13</v>
      </c>
      <c r="G456" s="15" t="inlineStr">
        <is>
          <t>다음 날 아침, 급습이 실행되고 결과가 전해집니다.</t>
        </is>
      </c>
    </row>
    <row r="457" ht="15" customHeight="1" s="11">
      <c r="A457" s="13" t="n">
        <v>456</v>
      </c>
      <c r="B457" s="13" t="n">
        <v>32</v>
      </c>
      <c r="C457" s="14">
        <f>INDEX('부작 목록'!$C$2:$C$66,B457)</f>
        <v/>
      </c>
      <c r="D457" s="14" t="inlineStr">
        <is>
          <t>C EU 로비</t>
        </is>
      </c>
      <c r="E457" s="13" t="n">
        <v>9001</v>
      </c>
      <c r="F457" s="13" t="n">
        <v>13</v>
      </c>
      <c r="G457" s="15" t="inlineStr">
        <is>
          <t>며칠 후, 압수된 노트북 분석 결과가 결정적 단서를 제공합니다.</t>
        </is>
      </c>
    </row>
    <row r="458" ht="15" customHeight="1" s="11">
      <c r="A458" s="13" t="n">
        <v>457</v>
      </c>
      <c r="B458" s="13" t="n">
        <v>32</v>
      </c>
      <c r="C458" s="14">
        <f>INDEX('부작 목록'!$C$2:$C$66,B458)</f>
        <v/>
      </c>
      <c r="D458" s="14" t="inlineStr">
        <is>
          <t>C EU 로비</t>
        </is>
      </c>
      <c r="E458" s="13" t="n">
        <v>9017</v>
      </c>
      <c r="F458" s="13" t="n">
        <v>13</v>
      </c>
      <c r="G458" s="15" t="inlineStr">
        <is>
          <t>몇 주 후, 알바로와 카밀라가 마드리드 자택에서 조용한 저녁을 보내며, 새로운 국제 수사의 시 작을 함께 맞이합니다.</t>
        </is>
      </c>
    </row>
    <row r="459" ht="15" customHeight="1" s="11">
      <c r="A459" s="13" t="n">
        <v>458</v>
      </c>
      <c r="B459" s="13" t="n">
        <v>32</v>
      </c>
      <c r="C459" s="14">
        <f>INDEX('부작 목록'!$C$2:$C$66,B459)</f>
        <v/>
      </c>
      <c r="D459" s="14" t="inlineStr">
        <is>
          <t>C EU 로비</t>
        </is>
      </c>
      <c r="E459" s="13" t="n">
        <v>9032</v>
      </c>
      <c r="F459" s="13" t="n">
        <v>10</v>
      </c>
      <c r="G459" s="15" t="inlineStr">
        <is>
          <t>알바로가 하비에르에게 독일 수사 확대 소식을 전하며, 다음 장을 예고합니다.</t>
        </is>
      </c>
    </row>
    <row r="460" ht="15" customHeight="1" s="11">
      <c r="A460" s="13" t="n">
        <v>459</v>
      </c>
      <c r="B460" s="13" t="n">
        <v>32</v>
      </c>
      <c r="C460" s="14">
        <f>INDEX('부작 목록'!$C$2:$C$66,B460)</f>
        <v/>
      </c>
      <c r="D460" s="14" t="inlineStr">
        <is>
          <t>C EU 로비</t>
        </is>
      </c>
      <c r="E460" s="13" t="n">
        <v>9044</v>
      </c>
      <c r="F460" s="13" t="n">
        <v>13</v>
      </c>
      <c r="G460" s="15" t="inlineStr">
        <is>
          <t>카를로스가 독일·네덜란드·폴란드·미국과의 공조 체계 구성 계획을 알바로와 카밀라에게 설명합 니다.</t>
        </is>
      </c>
    </row>
    <row r="461" ht="15" customHeight="1" s="11">
      <c r="A461" s="13" t="n">
        <v>460</v>
      </c>
      <c r="B461" s="13" t="n">
        <v>32</v>
      </c>
      <c r="C461" s="14">
        <f>INDEX('부작 목록'!$C$2:$C$66,B461)</f>
        <v/>
      </c>
      <c r="D461" s="14" t="inlineStr">
        <is>
          <t>C EU 로비</t>
        </is>
      </c>
      <c r="E461" s="13" t="n">
        <v>9060</v>
      </c>
      <c r="F461" s="13" t="n">
        <v>6</v>
      </c>
      <c r="G461" s="15" t="inlineStr">
        <is>
          <t>그날 밤, 알바로와 카밀라가 창가에 서서 앞으로의 여정을 되새깁니다.</t>
        </is>
      </c>
    </row>
    <row r="462" ht="28.35" customHeight="1" s="11">
      <c r="A462" s="13" t="n">
        <v>461</v>
      </c>
      <c r="B462" s="13" t="n">
        <v>33</v>
      </c>
      <c r="C462" s="14">
        <f>INDEX('부작 목록'!$C$2:$C$66,B462)</f>
        <v/>
      </c>
      <c r="D462" s="14" t="inlineStr">
        <is>
          <t>D 엘 아르키텍토 추적</t>
        </is>
      </c>
      <c r="E462" s="13" t="n">
        <v>9068</v>
      </c>
      <c r="F462" s="13" t="n">
        <v>21</v>
      </c>
      <c r="G462" s="15" t="inlineStr">
        <is>
          <t>새로운 작전. 카를로스가 알바로에게 '엘 아르키텍토'(아드리안 로셀요)가 스페인 중앙은행을 겨 냥한 공작을 벌이고 있다는 정보를 갖고 옵니다. 이번엔 알바로가 완전히 혼자 작전을 수행해야 합니다.</t>
        </is>
      </c>
    </row>
    <row r="463" ht="28.35" customHeight="1" s="11">
      <c r="A463" s="13" t="n">
        <v>462</v>
      </c>
      <c r="B463" s="13" t="n">
        <v>33</v>
      </c>
      <c r="C463" s="14">
        <f>INDEX('부작 목록'!$C$2:$C$66,B463)</f>
        <v/>
      </c>
      <c r="D463" s="14" t="inlineStr">
        <is>
          <t>D 엘 아르키텍토 추적</t>
        </is>
      </c>
      <c r="E463" s="13" t="n">
        <v>9092</v>
      </c>
      <c r="F463" s="13" t="n">
        <v>16</v>
      </c>
      <c r="G463" s="15" t="inlineStr">
        <is>
          <t>알바로가 '토마스 브라보' 신분으로 스페인 중앙은행에 처음 출입합니다. IT보안팀장 라파엘 몬 포르테가 그를 맞이합니다.</t>
        </is>
      </c>
    </row>
    <row r="464" ht="15" customHeight="1" s="11">
      <c r="A464" s="13" t="n">
        <v>463</v>
      </c>
      <c r="B464" s="13" t="n">
        <v>33</v>
      </c>
      <c r="C464" s="14">
        <f>INDEX('부작 목록'!$C$2:$C$66,B464)</f>
        <v/>
      </c>
      <c r="D464" s="14" t="inlineStr">
        <is>
          <t>D 엘 아르키텍토 추적</t>
        </is>
      </c>
      <c r="E464" s="13" t="n">
        <v>9111</v>
      </c>
      <c r="F464" s="13" t="n">
        <v>10</v>
      </c>
      <c r="G464" s="15" t="inlineStr">
        <is>
          <t>알바로가 사무실에서 접근 기록을 분석하며, 이그나시오 베르메호와 관련된 이상 패턴을 발견합 니다.</t>
        </is>
      </c>
    </row>
    <row r="465" ht="15" customHeight="1" s="11">
      <c r="A465" s="13" t="n">
        <v>464</v>
      </c>
      <c r="B465" s="13" t="n">
        <v>33</v>
      </c>
      <c r="C465" s="14">
        <f>INDEX('부작 목록'!$C$2:$C$66,B465)</f>
        <v/>
      </c>
      <c r="D465" s="14" t="inlineStr">
        <is>
          <t>D 엘 아르키텍토 추적</t>
        </is>
      </c>
      <c r="E465" s="13" t="n">
        <v>9124</v>
      </c>
      <c r="F465" s="13" t="n">
        <v>16</v>
      </c>
      <c r="G465" s="15" t="inlineStr">
        <is>
          <t>라파엘이 알바로를 이그나시오 베르메호에게 소개합니다.</t>
        </is>
      </c>
    </row>
    <row r="466" ht="15" customHeight="1" s="11">
      <c r="A466" s="13" t="n">
        <v>465</v>
      </c>
      <c r="B466" s="13" t="n">
        <v>33</v>
      </c>
      <c r="C466" s="14">
        <f>INDEX('부작 목록'!$C$2:$C$66,B466)</f>
        <v/>
      </c>
      <c r="D466" s="14" t="inlineStr">
        <is>
          <t>D 엘 아르키텍토 추적</t>
        </is>
      </c>
      <c r="E466" s="13" t="n">
        <v>9143</v>
      </c>
      <c r="F466" s="13" t="n">
        <v>9</v>
      </c>
      <c r="G466" s="15" t="inlineStr">
        <is>
          <t>알바로가 다른 경로로 전화 기록을 확보하며, 외부 연락처를 확인합니다.</t>
        </is>
      </c>
    </row>
    <row r="467" ht="15" customHeight="1" s="11">
      <c r="A467" s="13" t="n">
        <v>466</v>
      </c>
      <c r="B467" s="13" t="n">
        <v>33</v>
      </c>
      <c r="C467" s="14">
        <f>INDEX('부작 목록'!$C$2:$C$66,B467)</f>
        <v/>
      </c>
      <c r="D467" s="14" t="inlineStr">
        <is>
          <t>D 엘 아르키텍토 추적</t>
        </is>
      </c>
      <c r="E467" s="13" t="n">
        <v>9154</v>
      </c>
      <c r="F467" s="13" t="n">
        <v>14</v>
      </c>
      <c r="G467" s="15" t="inlineStr">
        <is>
          <t>알바로가 베르메호의 동료 엘레나 두케와 자연스럽게 대화를 나누며 정보를 캐냅니다.</t>
        </is>
      </c>
    </row>
    <row r="468" ht="15" customHeight="1" s="11">
      <c r="A468" s="13" t="n">
        <v>467</v>
      </c>
      <c r="B468" s="13" t="n">
        <v>33</v>
      </c>
      <c r="C468" s="14">
        <f>INDEX('부작 목록'!$C$2:$C$66,B468)</f>
        <v/>
      </c>
      <c r="D468" s="14" t="inlineStr">
        <is>
          <t>D 엘 아르키텍토 추적</t>
        </is>
      </c>
      <c r="E468" s="13" t="n">
        <v>9171</v>
      </c>
      <c r="F468" s="13" t="n">
        <v>12</v>
      </c>
      <c r="G468" s="15" t="inlineStr">
        <is>
          <t>그날 밤, 알바로가 늦게까지 남아 베르메호의 사무실 근처에서 정보를 얻으려 시도합니다.</t>
        </is>
      </c>
    </row>
    <row r="469" ht="15" customHeight="1" s="11">
      <c r="A469" s="13" t="n">
        <v>468</v>
      </c>
      <c r="B469" s="13" t="n">
        <v>33</v>
      </c>
      <c r="C469" s="14">
        <f>INDEX('부작 목록'!$C$2:$C$66,B469)</f>
        <v/>
      </c>
      <c r="D469" s="14" t="inlineStr">
        <is>
          <t>D 엘 아르키텍토 추적</t>
        </is>
      </c>
      <c r="E469" s="13" t="n">
        <v>9186</v>
      </c>
      <c r="F469" s="13" t="n">
        <v>13</v>
      </c>
      <c r="G469" s="15" t="inlineStr">
        <is>
          <t>알바로가 보안 시스템 취약점 점검을 명목으로 문서 열람 권한을 확보합니다.</t>
        </is>
      </c>
    </row>
    <row r="470" ht="15" customHeight="1" s="11">
      <c r="A470" s="13" t="n">
        <v>469</v>
      </c>
      <c r="B470" s="13" t="n">
        <v>33</v>
      </c>
      <c r="C470" s="14">
        <f>INDEX('부작 목록'!$C$2:$C$66,B470)</f>
        <v/>
      </c>
      <c r="D470" s="14" t="inlineStr">
        <is>
          <t>D 엘 아르키텍토 추적</t>
        </is>
      </c>
      <c r="E470" s="13" t="n">
        <v>9202</v>
      </c>
      <c r="F470" s="13" t="n">
        <v>12</v>
      </c>
      <c r="G470" s="15" t="inlineStr">
        <is>
          <t>알바로가 확보한 정보를 분석하며, 시간이 얼마 남지 않았음을 깨닫습니다.</t>
        </is>
      </c>
    </row>
    <row r="471" ht="15" customHeight="1" s="11">
      <c r="A471" s="13" t="n">
        <v>470</v>
      </c>
      <c r="B471" s="13" t="n">
        <v>33</v>
      </c>
      <c r="C471" s="14">
        <f>INDEX('부작 목록'!$C$2:$C$66,B471)</f>
        <v/>
      </c>
      <c r="D471" s="14" t="inlineStr">
        <is>
          <t>D 엘 아르키텍토 추적</t>
        </is>
      </c>
      <c r="E471" s="13" t="n">
        <v>9216</v>
      </c>
      <c r="F471" s="13" t="n">
        <v>12</v>
      </c>
      <c r="G471" s="15" t="inlineStr">
        <is>
          <t>다음 날, 베르메호가 알바로에게 직접 의심을 드러내며 긴장이 고조됩니다.</t>
        </is>
      </c>
    </row>
    <row r="472" ht="15" customHeight="1" s="11">
      <c r="A472" s="13" t="n">
        <v>471</v>
      </c>
      <c r="B472" s="13" t="n">
        <v>33</v>
      </c>
      <c r="C472" s="14">
        <f>INDEX('부작 목록'!$C$2:$C$66,B472)</f>
        <v/>
      </c>
      <c r="D472" s="14" t="inlineStr">
        <is>
          <t>D 엘 아르키텍토 추적</t>
        </is>
      </c>
      <c r="E472" s="13" t="n">
        <v>9230</v>
      </c>
      <c r="F472" s="13" t="n">
        <v>9</v>
      </c>
      <c r="G472" s="15" t="inlineStr">
        <is>
          <t>위험을 감지한 알바로가 남은 시간 동안 결정적 증거를 확보하기 위해 서두릅니다.</t>
        </is>
      </c>
    </row>
    <row r="473" ht="15" customHeight="1" s="11">
      <c r="A473" s="13" t="n">
        <v>472</v>
      </c>
      <c r="B473" s="13" t="n">
        <v>33</v>
      </c>
      <c r="C473" s="14">
        <f>INDEX('부작 목록'!$C$2:$C$66,B473)</f>
        <v/>
      </c>
      <c r="D473" s="14" t="inlineStr">
        <is>
          <t>D 엘 아르키텍토 추적</t>
        </is>
      </c>
      <c r="E473" s="13" t="n">
        <v>9242</v>
      </c>
      <c r="F473" s="13" t="n">
        <v>22</v>
      </c>
      <c r="G473" s="15" t="inlineStr">
        <is>
          <t>알바로가 이그나시오 베르메호를 개인적으로 찾아가 직접 대치합니다.</t>
        </is>
      </c>
    </row>
    <row r="474" ht="15" customHeight="1" s="11">
      <c r="A474" s="13" t="n">
        <v>473</v>
      </c>
      <c r="B474" s="13" t="n">
        <v>33</v>
      </c>
      <c r="C474" s="14">
        <f>INDEX('부작 목록'!$C$2:$C$66,B474)</f>
        <v/>
      </c>
      <c r="D474" s="14" t="inlineStr">
        <is>
          <t>D 엘 아르키텍토 추적</t>
        </is>
      </c>
      <c r="E474" s="13" t="n">
        <v>9267</v>
      </c>
      <c r="F474" s="13" t="n">
        <v>15</v>
      </c>
      <c r="G474" s="15" t="inlineStr">
        <is>
          <t>알바로와 이그나시오가 함께 조작된 내용을 되돌릴 계획을 세우던 중, 예상치 못한 전화가 걸려 옵니다.</t>
        </is>
      </c>
    </row>
    <row r="475" ht="15" customHeight="1" s="11">
      <c r="A475" s="13" t="n">
        <v>474</v>
      </c>
      <c r="B475" s="13" t="n">
        <v>33</v>
      </c>
      <c r="C475" s="14">
        <f>INDEX('부작 목록'!$C$2:$C$66,B475)</f>
        <v/>
      </c>
      <c r="D475" s="14" t="inlineStr">
        <is>
          <t>D 엘 아르키텍토 추적</t>
        </is>
      </c>
      <c r="E475" s="13" t="n">
        <v>9285</v>
      </c>
      <c r="F475" s="13" t="n">
        <v>12</v>
      </c>
      <c r="G475" s="15" t="inlineStr">
        <is>
          <t>이그나시오가 서류 수정을 마치고, 알바로가 그동안의 증거를 최종 정리합니다.</t>
        </is>
      </c>
    </row>
    <row r="476" ht="15" customHeight="1" s="11">
      <c r="A476" s="13" t="n">
        <v>475</v>
      </c>
      <c r="B476" s="13" t="n">
        <v>33</v>
      </c>
      <c r="C476" s="14">
        <f>INDEX('부작 목록'!$C$2:$C$66,B476)</f>
        <v/>
      </c>
      <c r="D476" s="14" t="inlineStr">
        <is>
          <t>D 엘 아르키텍토 추적</t>
        </is>
      </c>
      <c r="E476" s="13" t="n">
        <v>9300</v>
      </c>
      <c r="F476" s="13" t="n">
        <v>11</v>
      </c>
      <c r="G476" s="15" t="inlineStr">
        <is>
          <t>알바로가 문서를 챙기던 중, 라파엘이 예상치 못하게 사무실 근처에 나타나며 긴장이 고조됩니 다.</t>
        </is>
      </c>
    </row>
    <row r="477" ht="15" customHeight="1" s="11">
      <c r="A477" s="13" t="n">
        <v>476</v>
      </c>
      <c r="B477" s="13" t="n">
        <v>33</v>
      </c>
      <c r="C477" s="14">
        <f>INDEX('부작 목록'!$C$2:$C$66,B477)</f>
        <v/>
      </c>
      <c r="D477" s="14" t="inlineStr">
        <is>
          <t>D 엘 아르키텍토 추적</t>
        </is>
      </c>
      <c r="E477" s="13" t="n">
        <v>9313</v>
      </c>
      <c r="F477" s="13" t="n">
        <v>13</v>
      </c>
      <c r="G477" s="15" t="inlineStr">
        <is>
          <t>알바로가 이번 작전에서 처음으로 카를로스에게 연락해 상황을 전합니다.</t>
        </is>
      </c>
    </row>
    <row r="478" ht="15" customHeight="1" s="11">
      <c r="A478" s="13" t="n">
        <v>477</v>
      </c>
      <c r="B478" s="13" t="n">
        <v>33</v>
      </c>
      <c r="C478" s="14">
        <f>INDEX('부작 목록'!$C$2:$C$66,B478)</f>
        <v/>
      </c>
      <c r="D478" s="14" t="inlineStr">
        <is>
          <t>D 엘 아르키텍토 추적</t>
        </is>
      </c>
      <c r="E478" s="13" t="n">
        <v>9329</v>
      </c>
      <c r="F478" s="13" t="n">
        <v>14</v>
      </c>
      <c r="G478" s="15" t="inlineStr">
        <is>
          <t>사흘 후, 이사회 투표일. 알바로가 은행에 남아 결과를 지켜봅니다.</t>
        </is>
      </c>
    </row>
    <row r="479" ht="15" customHeight="1" s="11">
      <c r="A479" s="13" t="n">
        <v>478</v>
      </c>
      <c r="B479" s="13" t="n">
        <v>33</v>
      </c>
      <c r="C479" s="14">
        <f>INDEX('부작 목록'!$C$2:$C$66,B479)</f>
        <v/>
      </c>
      <c r="D479" s="14" t="inlineStr">
        <is>
          <t>D 엘 아르키텍토 추적</t>
        </is>
      </c>
      <c r="E479" s="13" t="n">
        <v>9346</v>
      </c>
      <c r="F479" s="13" t="n">
        <v>19</v>
      </c>
      <c r="G479" s="15" t="inlineStr">
        <is>
          <t>작전 종료 후, 알바로가 카를로스와 다시 만나 결과를 정리합니다.</t>
        </is>
      </c>
    </row>
    <row r="480" ht="15" customHeight="1" s="11">
      <c r="A480" s="13" t="n">
        <v>479</v>
      </c>
      <c r="B480" s="13" t="n">
        <v>33</v>
      </c>
      <c r="C480" s="14">
        <f>INDEX('부작 목록'!$C$2:$C$66,B480)</f>
        <v/>
      </c>
      <c r="D480" s="14" t="inlineStr">
        <is>
          <t>D 엘 아르키텍토 추적</t>
        </is>
      </c>
      <c r="E480" s="13" t="n">
        <v>9368</v>
      </c>
      <c r="F480" s="13" t="n">
        <v>16</v>
      </c>
      <c r="G480" s="15" t="inlineStr">
        <is>
          <t>며칠 후, 알바로가 마드리드 자택에서 카밀라와 재회하며 이번 단독 작전에 대해 이야기합니다.</t>
        </is>
      </c>
    </row>
    <row r="481" ht="15" customHeight="1" s="11">
      <c r="A481" s="13" t="n">
        <v>480</v>
      </c>
      <c r="B481" s="13" t="n">
        <v>33</v>
      </c>
      <c r="C481" s="14">
        <f>INDEX('부작 목록'!$C$2:$C$66,B481)</f>
        <v/>
      </c>
      <c r="D481" s="14" t="inlineStr">
        <is>
          <t>D 엘 아르키텍토 추적</t>
        </is>
      </c>
      <c r="E481" s="13" t="n">
        <v>9387</v>
      </c>
      <c r="F481" s="13" t="n">
        <v>16</v>
      </c>
      <c r="G481" s="15" t="inlineStr">
        <is>
          <t>몇 주 후, 카를로스가 알바로에게 스위스 연결고리에 대한 심화 조사 결과를 전합니다.</t>
        </is>
      </c>
    </row>
    <row r="482" ht="15" customHeight="1" s="11">
      <c r="A482" s="13" t="n">
        <v>481</v>
      </c>
      <c r="B482" s="13" t="n">
        <v>33</v>
      </c>
      <c r="C482" s="14">
        <f>INDEX('부작 목록'!$C$2:$C$66,B482)</f>
        <v/>
      </c>
      <c r="D482" s="14" t="inlineStr">
        <is>
          <t>D 엘 아르키텍토 추적</t>
        </is>
      </c>
      <c r="E482" s="13" t="n">
        <v>9406</v>
      </c>
      <c r="F482" s="13" t="n">
        <v>12</v>
      </c>
      <c r="G482" s="15" t="inlineStr">
        <is>
          <t>알바로가 하비에르에게 이번 단독 작전에 대해 뒤늦게 설명합니다.</t>
        </is>
      </c>
    </row>
    <row r="483" ht="15" customHeight="1" s="11">
      <c r="A483" s="13" t="n">
        <v>482</v>
      </c>
      <c r="B483" s="13" t="n">
        <v>33</v>
      </c>
      <c r="C483" s="14">
        <f>INDEX('부작 목록'!$C$2:$C$66,B483)</f>
        <v/>
      </c>
      <c r="D483" s="14" t="inlineStr">
        <is>
          <t>D 엘 아르키텍토 추적</t>
        </is>
      </c>
      <c r="E483" s="13" t="n">
        <v>9420</v>
      </c>
      <c r="F483" s="13" t="n">
        <v>14</v>
      </c>
      <c r="G483" s="15" t="inlineStr">
        <is>
          <t>몇 달 후, 이그나시오 베르메호의 재판을 앞두고 알바로가 마지막으로 그를 방문합니다.</t>
        </is>
      </c>
    </row>
    <row r="484" ht="15" customHeight="1" s="11">
      <c r="A484" s="13" t="n">
        <v>483</v>
      </c>
      <c r="B484" s="13" t="n">
        <v>33</v>
      </c>
      <c r="C484" s="14">
        <f>INDEX('부작 목록'!$C$2:$C$66,B484)</f>
        <v/>
      </c>
      <c r="D484" s="14" t="inlineStr">
        <is>
          <t>D 엘 아르키텍토 추적</t>
        </is>
      </c>
      <c r="E484" s="13" t="n">
        <v>9437</v>
      </c>
      <c r="F484" s="13" t="n">
        <v>17</v>
      </c>
      <c r="G484" s="15" t="inlineStr">
        <is>
          <t>몇 주 후, 알바로와 카밀라가 마드리드의 조용한 레스토랑에서 저녁을 먹으며 이번 사건을 정리 합니다.</t>
        </is>
      </c>
    </row>
    <row r="485" ht="15" customHeight="1" s="11">
      <c r="A485" s="13" t="n">
        <v>484</v>
      </c>
      <c r="B485" s="13" t="n">
        <v>33</v>
      </c>
      <c r="C485" s="14">
        <f>INDEX('부작 목록'!$C$2:$C$66,B485)</f>
        <v/>
      </c>
      <c r="D485" s="14" t="inlineStr">
        <is>
          <t>D 엘 아르키텍토 추적</t>
        </is>
      </c>
      <c r="E485" s="13" t="n">
        <v>9457</v>
      </c>
      <c r="F485" s="13" t="n">
        <v>18</v>
      </c>
      <c r="G485" s="15" t="inlineStr">
        <is>
          <t>몇 달 후, 카를로스가 알바로에게 이번 사건이 남긴 장기적 여파를 정리해 전합니다.</t>
        </is>
      </c>
    </row>
    <row r="486" ht="28.35" customHeight="1" s="11">
      <c r="A486" s="13" t="n">
        <v>485</v>
      </c>
      <c r="B486" s="13" t="n">
        <v>34</v>
      </c>
      <c r="C486" s="14">
        <f>INDEX('부작 목록'!$C$2:$C$66,B486)</f>
        <v/>
      </c>
      <c r="D486" s="14" t="inlineStr">
        <is>
          <t>D 엘 아르키텍토 추적</t>
        </is>
      </c>
      <c r="E486" s="13" t="n">
        <v>9478</v>
      </c>
      <c r="F486" s="13" t="n">
        <v>20</v>
      </c>
      <c r="G486" s="15" t="inlineStr">
        <is>
          <t>몇 주 후. 알바로가 뜻밖의 전화를 받습니다 — 지금까지 목소리조차 들어본 적 없는 '엘 아르 키텍토', 아드리안 로셀요 본인입니다.</t>
        </is>
      </c>
    </row>
    <row r="487" ht="15" customHeight="1" s="11">
      <c r="A487" s="13" t="n">
        <v>486</v>
      </c>
      <c r="B487" s="13" t="n">
        <v>34</v>
      </c>
      <c r="C487" s="14">
        <f>INDEX('부작 목록'!$C$2:$C$66,B487)</f>
        <v/>
      </c>
      <c r="D487" s="14" t="inlineStr">
        <is>
          <t>D 엘 아르키텍토 추적</t>
        </is>
      </c>
      <c r="E487" s="13" t="n">
        <v>9501</v>
      </c>
      <c r="F487" s="13" t="n">
        <v>23</v>
      </c>
      <c r="G487" s="15" t="inlineStr">
        <is>
          <t>다음 날 밤, 알바로가 마드리드 시내의 조용한 식당에서 로셀요를 처음으로 얼굴을 마주합니다.</t>
        </is>
      </c>
    </row>
    <row r="488" ht="15" customHeight="1" s="11">
      <c r="A488" s="13" t="n">
        <v>487</v>
      </c>
      <c r="B488" s="13" t="n">
        <v>34</v>
      </c>
      <c r="C488" s="14">
        <f>INDEX('부작 목록'!$C$2:$C$66,B488)</f>
        <v/>
      </c>
      <c r="D488" s="14" t="inlineStr">
        <is>
          <t>D 엘 아르키텍토 추적</t>
        </is>
      </c>
      <c r="E488" s="13" t="n">
        <v>9527</v>
      </c>
      <c r="F488" s="13" t="n">
        <v>21</v>
      </c>
      <c r="G488" s="15" t="inlineStr">
        <is>
          <t>음식이 나오는 동안, 로셀요가 자신의 과거를 털어놓기 시작합니다.</t>
        </is>
      </c>
    </row>
    <row r="489" ht="15" customHeight="1" s="11">
      <c r="A489" s="13" t="n">
        <v>488</v>
      </c>
      <c r="B489" s="13" t="n">
        <v>34</v>
      </c>
      <c r="C489" s="14">
        <f>INDEX('부작 목록'!$C$2:$C$66,B489)</f>
        <v/>
      </c>
      <c r="D489" s="14" t="inlineStr">
        <is>
          <t>D 엘 아르키텍토 추적</t>
        </is>
      </c>
      <c r="E489" s="13" t="n">
        <v>9551</v>
      </c>
      <c r="F489" s="13" t="n">
        <v>19</v>
      </c>
      <c r="G489" s="15" t="inlineStr">
        <is>
          <t>로셀요가 본론으로 들어가며, 알바로를 회유하려 시도합니다.</t>
        </is>
      </c>
    </row>
    <row r="490" ht="15" customHeight="1" s="11">
      <c r="A490" s="13" t="n">
        <v>489</v>
      </c>
      <c r="B490" s="13" t="n">
        <v>34</v>
      </c>
      <c r="C490" s="14">
        <f>INDEX('부작 목록'!$C$2:$C$66,B490)</f>
        <v/>
      </c>
      <c r="D490" s="14" t="inlineStr">
        <is>
          <t>D 엘 아르키텍토 추적</t>
        </is>
      </c>
      <c r="E490" s="13" t="n">
        <v>9573</v>
      </c>
      <c r="F490" s="13" t="n">
        <v>15</v>
      </c>
      <c r="G490" s="15" t="inlineStr">
        <is>
          <t>회유가 거절되자, 로셀요의 태도가 미묘하게 바뀌며 은근한 위협으로 전환됩니다.</t>
        </is>
      </c>
    </row>
    <row r="491" ht="15" customHeight="1" s="11">
      <c r="A491" s="13" t="n">
        <v>490</v>
      </c>
      <c r="B491" s="13" t="n">
        <v>34</v>
      </c>
      <c r="C491" s="14">
        <f>INDEX('부작 목록'!$C$2:$C$66,B491)</f>
        <v/>
      </c>
      <c r="D491" s="14" t="inlineStr">
        <is>
          <t>D 엘 아르키텍토 추적</t>
        </is>
      </c>
      <c r="E491" s="13" t="n">
        <v>9591</v>
      </c>
      <c r="F491" s="13" t="n">
        <v>20</v>
      </c>
      <c r="G491" s="15" t="inlineStr">
        <is>
          <t>알바로가 회유와 협박 모두에 흔들리지 않고 정면으로 반박합니다.</t>
        </is>
      </c>
    </row>
    <row r="492" ht="15" customHeight="1" s="11">
      <c r="A492" s="13" t="n">
        <v>491</v>
      </c>
      <c r="B492" s="13" t="n">
        <v>34</v>
      </c>
      <c r="C492" s="14">
        <f>INDEX('부작 목록'!$C$2:$C$66,B492)</f>
        <v/>
      </c>
      <c r="D492" s="14" t="inlineStr">
        <is>
          <t>D 엘 아르키텍토 추적</t>
        </is>
      </c>
      <c r="E492" s="13" t="n">
        <v>9614</v>
      </c>
      <c r="F492" s="13" t="n">
        <v>17</v>
      </c>
      <c r="G492" s="15" t="inlineStr">
        <is>
          <t>본론에 들어가기 전, 로셀요가 알바로의 동기에 대해 궁금해하며 대화가 더 깊어집니다.</t>
        </is>
      </c>
    </row>
    <row r="493" ht="15" customHeight="1" s="11">
      <c r="A493" s="13" t="n">
        <v>492</v>
      </c>
      <c r="B493" s="13" t="n">
        <v>34</v>
      </c>
      <c r="C493" s="14">
        <f>INDEX('부작 목록'!$C$2:$C$66,B493)</f>
        <v/>
      </c>
      <c r="D493" s="14" t="inlineStr">
        <is>
          <t>D 엘 아르키텍토 추적</t>
        </is>
      </c>
      <c r="E493" s="13" t="n">
        <v>9634</v>
      </c>
      <c r="F493" s="13" t="n">
        <v>19</v>
      </c>
      <c r="G493" s="15" t="inlineStr">
        <is>
          <t>식당을 나온 알바로가 곧바로 카를로스에게 전화해 방금 있었던 일을 보고합니다.</t>
        </is>
      </c>
    </row>
    <row r="494" ht="15" customHeight="1" s="11">
      <c r="A494" s="13" t="n">
        <v>493</v>
      </c>
      <c r="B494" s="13" t="n">
        <v>34</v>
      </c>
      <c r="C494" s="14">
        <f>INDEX('부작 목록'!$C$2:$C$66,B494)</f>
        <v/>
      </c>
      <c r="D494" s="14" t="inlineStr">
        <is>
          <t>D 엘 아르키텍토 추적</t>
        </is>
      </c>
      <c r="E494" s="13" t="n">
        <v>9655</v>
      </c>
      <c r="F494" s="13" t="n">
        <v>19</v>
      </c>
      <c r="G494" s="15" t="inlineStr">
        <is>
          <t>카를로스의 사무실에서, 알바로가 로셀요의 인상착의와 발언을 상세히 정리합니다.</t>
        </is>
      </c>
    </row>
    <row r="495" ht="15" customHeight="1" s="11">
      <c r="A495" s="13" t="n">
        <v>494</v>
      </c>
      <c r="B495" s="13" t="n">
        <v>34</v>
      </c>
      <c r="C495" s="14">
        <f>INDEX('부작 목록'!$C$2:$C$66,B495)</f>
        <v/>
      </c>
      <c r="D495" s="14" t="inlineStr">
        <is>
          <t>D 엘 아르키텍토 추적</t>
        </is>
      </c>
      <c r="E495" s="13" t="n">
        <v>9677</v>
      </c>
      <c r="F495" s="13" t="n">
        <v>10</v>
      </c>
      <c r="G495" s="15" t="inlineStr">
        <is>
          <t>보안 강화 조치가 시작되며, 알바로가 잠시 숨을 고릅니다.</t>
        </is>
      </c>
    </row>
    <row r="496" ht="28.35" customHeight="1" s="11">
      <c r="A496" s="13" t="n">
        <v>495</v>
      </c>
      <c r="B496" s="13" t="n">
        <v>35</v>
      </c>
      <c r="C496" s="14">
        <f>INDEX('부작 목록'!$C$2:$C$66,B496)</f>
        <v/>
      </c>
      <c r="D496" s="14" t="inlineStr">
        <is>
          <t>D 엘 아르키텍토 추적</t>
        </is>
      </c>
      <c r="E496" s="13" t="n">
        <v>9689</v>
      </c>
      <c r="F496" s="13" t="n">
        <v>11</v>
      </c>
      <c r="G496" s="15" t="inlineStr">
        <is>
          <t>새로운 취재. 사프란 국제 시세가 요동치는 가운데, 라만차의 한 가상 유통업체 '아사프라네스 델 캄포'가 저품질 향신료를 정품 D.O. 라만차 사프란으로 속여 판매하고 있다는 제보가 들어옵 니다.</t>
        </is>
      </c>
    </row>
    <row r="497" ht="15" customHeight="1" s="11">
      <c r="A497" s="13" t="n">
        <v>496</v>
      </c>
      <c r="B497" s="13" t="n">
        <v>35</v>
      </c>
      <c r="C497" s="14">
        <f>INDEX('부작 목록'!$C$2:$C$66,B497)</f>
        <v/>
      </c>
      <c r="D497" s="14" t="inlineStr">
        <is>
          <t>D 엘 아르키텍토 추적</t>
        </is>
      </c>
      <c r="E497" s="13" t="n">
        <v>9703</v>
      </c>
      <c r="F497" s="13" t="n">
        <v>12</v>
      </c>
      <c r="G497" s="15" t="inlineStr">
        <is>
          <t>마에스트로 바실리오 만사노와 함께 두 종류의 사프란을 비교 감별합니다.</t>
        </is>
      </c>
    </row>
    <row r="498" ht="15" customHeight="1" s="11">
      <c r="A498" s="13" t="n">
        <v>497</v>
      </c>
      <c r="B498" s="13" t="n">
        <v>35</v>
      </c>
      <c r="C498" s="14">
        <f>INDEX('부작 목록'!$C$2:$C$66,B498)</f>
        <v/>
      </c>
      <c r="D498" s="14" t="inlineStr">
        <is>
          <t>D 엘 아르키텍토 추적</t>
        </is>
      </c>
      <c r="E498" s="13" t="n">
        <v>9717</v>
      </c>
      <c r="F498" s="13" t="n">
        <v>10</v>
      </c>
      <c r="G498" s="15" t="inlineStr">
        <is>
          <t>며칠 후, 톨레도 실험실의 분석 결과가 도착합니다.</t>
        </is>
      </c>
    </row>
    <row r="499" ht="15" customHeight="1" s="11">
      <c r="A499" s="13" t="n">
        <v>498</v>
      </c>
      <c r="B499" s="13" t="n">
        <v>35</v>
      </c>
      <c r="C499" s="14">
        <f>INDEX('부작 목록'!$C$2:$C$66,B499)</f>
        <v/>
      </c>
      <c r="D499" s="14" t="inlineStr">
        <is>
          <t>D 엘 아르키텍토 추적</t>
        </is>
      </c>
      <c r="E499" s="13" t="n">
        <v>9729</v>
      </c>
      <c r="F499" s="13" t="n">
        <v>12</v>
      </c>
      <c r="G499" s="15" t="inlineStr">
        <is>
          <t>알바로와 하비에르가 아사프라네스 델 캄포 대표 로만 세페다와 대화를 나눕니다.</t>
        </is>
      </c>
    </row>
    <row r="500" ht="15" customHeight="1" s="11">
      <c r="A500" s="13" t="n">
        <v>499</v>
      </c>
      <c r="B500" s="13" t="n">
        <v>35</v>
      </c>
      <c r="C500" s="14">
        <f>INDEX('부작 목록'!$C$2:$C$66,B500)</f>
        <v/>
      </c>
      <c r="D500" s="14" t="inlineStr">
        <is>
          <t>D 엘 아르키텍토 추적</t>
        </is>
      </c>
      <c r="E500" s="13" t="n">
        <v>9744</v>
      </c>
      <c r="F500" s="13" t="n">
        <v>9</v>
      </c>
      <c r="G500" s="15" t="inlineStr">
        <is>
          <t>바실리오가 세페다가 언급한 새 공급업자에 대한 정보를 확인합니다.</t>
        </is>
      </c>
    </row>
    <row r="501" ht="15" customHeight="1" s="11">
      <c r="A501" s="13" t="n">
        <v>500</v>
      </c>
      <c r="B501" s="13" t="n">
        <v>35</v>
      </c>
      <c r="C501" s="14">
        <f>INDEX('부작 목록'!$C$2:$C$66,B501)</f>
        <v/>
      </c>
      <c r="D501" s="14" t="inlineStr">
        <is>
          <t>D 엘 아르키텍토 추적</t>
        </is>
      </c>
      <c r="E501" s="13" t="n">
        <v>9755</v>
      </c>
      <c r="F501" s="13" t="n">
        <v>12</v>
      </c>
      <c r="G501" s="15" t="inlineStr">
        <is>
          <t>알바로가 하비에르와 함께 쿠스토디오 팔라시오스를 찾아가 질문합니다.</t>
        </is>
      </c>
    </row>
    <row r="502" ht="15" customHeight="1" s="11">
      <c r="A502" s="13" t="n">
        <v>501</v>
      </c>
      <c r="B502" s="13" t="n">
        <v>35</v>
      </c>
      <c r="C502" s="14">
        <f>INDEX('부작 목록'!$C$2:$C$66,B502)</f>
        <v/>
      </c>
      <c r="D502" s="14" t="inlineStr">
        <is>
          <t>D 엘 아르키텍토 추적</t>
        </is>
      </c>
      <c r="E502" s="13" t="n">
        <v>9770</v>
      </c>
      <c r="F502" s="13" t="n">
        <v>10</v>
      </c>
      <c r="G502" s="15" t="inlineStr">
        <is>
          <t>바실리오가 라만차 원산지 규제위원회에 정식으로 보고서를 제출합니다.</t>
        </is>
      </c>
    </row>
    <row r="503" ht="15" customHeight="1" s="11">
      <c r="A503" s="13" t="n">
        <v>502</v>
      </c>
      <c r="B503" s="13" t="n">
        <v>35</v>
      </c>
      <c r="C503" s="14">
        <f>INDEX('부작 목록'!$C$2:$C$66,B503)</f>
        <v/>
      </c>
      <c r="D503" s="14" t="inlineStr">
        <is>
          <t>D 엘 아르키텍토 추적</t>
        </is>
      </c>
      <c r="E503" s="13" t="n">
        <v>9783</v>
      </c>
      <c r="F503" s="13" t="n">
        <v>9</v>
      </c>
      <c r="G503" s="15" t="inlineStr">
        <is>
          <t>보도가 나간 뒤, 초기 결과가 전해집니다.</t>
        </is>
      </c>
    </row>
    <row r="504" ht="28.35" customHeight="1" s="11">
      <c r="A504" s="13" t="n">
        <v>503</v>
      </c>
      <c r="B504" s="13" t="n">
        <v>35</v>
      </c>
      <c r="C504" s="14">
        <f>INDEX('부작 목록'!$C$2:$C$66,B504)</f>
        <v/>
      </c>
      <c r="D504" s="14" t="inlineStr">
        <is>
          <t>D 엘 아르키텍토 추적</t>
        </is>
      </c>
      <c r="E504" s="13" t="n">
        <v>9794</v>
      </c>
      <c r="F504" s="13" t="n">
        <v>17</v>
      </c>
      <c r="G504" s="15" t="inlineStr">
        <is>
          <t>보도를 마친 뒤, 알바로와 하비에르, 바실리오가 라만차의 한 식당에서 편하게 어울립니다. 이번 에도 사건 얘기 없이 순수한 일상 잡담입니다.</t>
        </is>
      </c>
    </row>
    <row r="505" ht="28.35" customHeight="1" s="11">
      <c r="A505" s="13" t="n">
        <v>504</v>
      </c>
      <c r="B505" s="13" t="n">
        <v>36</v>
      </c>
      <c r="C505" s="14">
        <f>INDEX('부작 목록'!$C$2:$C$66,B505)</f>
        <v/>
      </c>
      <c r="D505" s="14" t="inlineStr">
        <is>
          <t>D 엘 아르키텍토 추적</t>
        </is>
      </c>
      <c r="E505" s="13" t="n">
        <v>9814</v>
      </c>
      <c r="F505" s="13" t="n">
        <v>13</v>
      </c>
      <c r="G505" s="15" t="inlineStr">
        <is>
          <t>새로운 종류의 에피소드. 이번엔 사건이 전혀 없습니다. 알바로가 4년 전 그리스 낙소스 섬 여 행에서 만난 이탈리아 친구 루카와 마드리드에서 재회합니다.</t>
        </is>
      </c>
    </row>
    <row r="506" ht="15" customHeight="1" s="11">
      <c r="A506" s="13" t="n">
        <v>505</v>
      </c>
      <c r="B506" s="13" t="n">
        <v>36</v>
      </c>
      <c r="C506" s="14">
        <f>INDEX('부작 목록'!$C$2:$C$66,B506)</f>
        <v/>
      </c>
      <c r="D506" s="14" t="inlineStr">
        <is>
          <t>D 엘 아르키텍토 추적</t>
        </is>
      </c>
      <c r="E506" s="13" t="n">
        <v>9830</v>
      </c>
      <c r="F506" s="13" t="n">
        <v>15</v>
      </c>
      <c r="G506" s="15" t="inlineStr">
        <is>
          <t>저녁 식사 자리에서, 두 사람이 처음 만났던 그리스 여행을 추억합니다.</t>
        </is>
      </c>
    </row>
    <row r="507" ht="15" customHeight="1" s="11">
      <c r="A507" s="13" t="n">
        <v>506</v>
      </c>
      <c r="B507" s="13" t="n">
        <v>36</v>
      </c>
      <c r="C507" s="14">
        <f>INDEX('부작 목록'!$C$2:$C$66,B507)</f>
        <v/>
      </c>
      <c r="D507" s="14" t="inlineStr">
        <is>
          <t>D 엘 아르키텍토 추적</t>
        </is>
      </c>
      <c r="E507" s="13" t="n">
        <v>9847</v>
      </c>
      <c r="F507" s="13" t="n">
        <v>22</v>
      </c>
      <c r="G507" s="15" t="inlineStr">
        <is>
          <t>디저트를 먹으며, 두 사람이 지난 몇 년간의 근황을 나눕니다.</t>
        </is>
      </c>
    </row>
    <row r="508" ht="15" customHeight="1" s="11">
      <c r="A508" s="13" t="n">
        <v>507</v>
      </c>
      <c r="B508" s="13" t="n">
        <v>36</v>
      </c>
      <c r="C508" s="14">
        <f>INDEX('부작 목록'!$C$2:$C$66,B508)</f>
        <v/>
      </c>
      <c r="D508" s="14" t="inlineStr">
        <is>
          <t>D 엘 아르키텍토 추적</t>
        </is>
      </c>
      <c r="E508" s="13" t="n">
        <v>9871</v>
      </c>
      <c r="F508" s="13" t="n">
        <v>15</v>
      </c>
      <c r="G508" s="15" t="inlineStr">
        <is>
          <t>두 사람이 함께 이번 주 마드리드 방문 계획을 세웁니다.</t>
        </is>
      </c>
    </row>
    <row r="509" ht="15" customHeight="1" s="11">
      <c r="A509" s="13" t="n">
        <v>508</v>
      </c>
      <c r="B509" s="13" t="n">
        <v>36</v>
      </c>
      <c r="C509" s="14">
        <f>INDEX('부작 목록'!$C$2:$C$66,B509)</f>
        <v/>
      </c>
      <c r="D509" s="14" t="inlineStr">
        <is>
          <t>D 엘 아르키텍토 추적</t>
        </is>
      </c>
      <c r="E509" s="13" t="n">
        <v>9888</v>
      </c>
      <c r="F509" s="13" t="n">
        <v>17</v>
      </c>
      <c r="G509" s="15" t="inlineStr">
        <is>
          <t>밤이 깊어지며, 두 사람이 우정에 대해 조용히 이야기를 나눕니다.</t>
        </is>
      </c>
    </row>
    <row r="510" ht="41.75" customHeight="1" s="11">
      <c r="A510" s="13" t="n">
        <v>509</v>
      </c>
      <c r="B510" s="13" t="n">
        <v>37</v>
      </c>
      <c r="C510" s="14">
        <f>INDEX('부작 목록'!$C$2:$C$66,B510)</f>
        <v/>
      </c>
      <c r="D510" s="14" t="inlineStr">
        <is>
          <t>D 엘 아르키텍토 추적</t>
        </is>
      </c>
      <c r="E510" s="13" t="n">
        <v>9908</v>
      </c>
      <c r="F510" s="13" t="n">
        <v>20</v>
      </c>
      <c r="G510" s="15" t="inlineStr">
        <is>
          <t>새로운 작전. 카를로스가 알바로에게 두 실마리가 하나로 합쳐졌다는 소식을 전합니다 — 격화 된 어느 분쟁 지역의 무기 수요 급증을 틈타 루에다 조직이 밀매 규모를 확대하고 있고, 그 자 금세탁 구조 설계자가 다름 아닌 로셀요라는 정황입니다.</t>
        </is>
      </c>
    </row>
    <row r="511" ht="15" customHeight="1" s="11">
      <c r="A511" s="13" t="n">
        <v>510</v>
      </c>
      <c r="B511" s="13" t="n">
        <v>37</v>
      </c>
      <c r="C511" s="14">
        <f>INDEX('부작 목록'!$C$2:$C$66,B511)</f>
        <v/>
      </c>
      <c r="D511" s="14" t="inlineStr">
        <is>
          <t>D 엘 아르키텍토 추적</t>
        </is>
      </c>
      <c r="E511" s="13" t="n">
        <v>9931</v>
      </c>
      <c r="F511" s="13" t="n">
        <v>13</v>
      </c>
      <c r="G511" s="15" t="inlineStr">
        <is>
          <t>알바로가 '브루노 베테르그렌' 신분으로 발렌시아의 한 화물 중개업체를 찾아가 중개인 사울 프 리아스를 만납니다.</t>
        </is>
      </c>
    </row>
    <row r="512" ht="15" customHeight="1" s="11">
      <c r="A512" s="13" t="n">
        <v>511</v>
      </c>
      <c r="B512" s="13" t="n">
        <v>37</v>
      </c>
      <c r="C512" s="14">
        <f>INDEX('부작 목록'!$C$2:$C$66,B512)</f>
        <v/>
      </c>
      <c r="D512" s="14" t="inlineStr">
        <is>
          <t>D 엘 아르키텍토 추적</t>
        </is>
      </c>
      <c r="E512" s="13" t="n">
        <v>9947</v>
      </c>
      <c r="F512" s="13" t="n">
        <v>12</v>
      </c>
      <c r="G512" s="15" t="inlineStr">
        <is>
          <t>사울이 알바로를 조직의 물류 책임자 마르코 델가디요에게 소개합니다.</t>
        </is>
      </c>
    </row>
    <row r="513" ht="15" customHeight="1" s="11">
      <c r="A513" s="13" t="n">
        <v>512</v>
      </c>
      <c r="B513" s="13" t="n">
        <v>37</v>
      </c>
      <c r="C513" s="14">
        <f>INDEX('부작 목록'!$C$2:$C$66,B513)</f>
        <v/>
      </c>
      <c r="D513" s="14" t="inlineStr">
        <is>
          <t>D 엘 아르키텍토 추적</t>
        </is>
      </c>
      <c r="E513" s="13" t="n">
        <v>9962</v>
      </c>
      <c r="F513" s="13" t="n">
        <v>11</v>
      </c>
      <c r="G513" s="15" t="inlineStr">
        <is>
          <t>며칠 후, 알바로가 신뢰를 쌓기 위한 소규모 시험 거래를 진행합니다.</t>
        </is>
      </c>
    </row>
    <row r="514" ht="15" customHeight="1" s="11">
      <c r="A514" s="13" t="n">
        <v>513</v>
      </c>
      <c r="B514" s="13" t="n">
        <v>37</v>
      </c>
      <c r="C514" s="14">
        <f>INDEX('부작 목록'!$C$2:$C$66,B514)</f>
        <v/>
      </c>
      <c r="D514" s="14" t="inlineStr">
        <is>
          <t>D 엘 아르키텍토 추적</t>
        </is>
      </c>
      <c r="E514" s="13" t="n">
        <v>9975</v>
      </c>
      <c r="F514" s="13" t="n">
        <v>8</v>
      </c>
      <c r="G514" s="15" t="inlineStr">
        <is>
          <t>알바로가 결제를 진행하며, 자금이 여러 계좌를 거치는 과정을 처음으로 직접 관찰합니다.</t>
        </is>
      </c>
    </row>
    <row r="515" ht="15" customHeight="1" s="11">
      <c r="A515" s="13" t="n">
        <v>514</v>
      </c>
      <c r="B515" s="13" t="n">
        <v>37</v>
      </c>
      <c r="C515" s="14">
        <f>INDEX('부작 목록'!$C$2:$C$66,B515)</f>
        <v/>
      </c>
      <c r="D515" s="14" t="inlineStr">
        <is>
          <t>D 엘 아르키텍토 추적</t>
        </is>
      </c>
      <c r="E515" s="13" t="n">
        <v>9986</v>
      </c>
      <c r="F515" s="13" t="n">
        <v>23</v>
      </c>
      <c r="G515" s="15" t="inlineStr">
        <is>
          <t>시험 거래가 성공적으로 끝나고, 마르코가 알바로를 조직의 재무 담당자에게 소개합니다.</t>
        </is>
      </c>
    </row>
    <row r="516" ht="28.35" customHeight="1" s="11">
      <c r="A516" s="13" t="n">
        <v>515</v>
      </c>
      <c r="B516" s="13" t="n">
        <v>37</v>
      </c>
      <c r="C516" s="14">
        <f>INDEX('부작 목록'!$C$2:$C$66,B516)</f>
        <v/>
      </c>
      <c r="D516" s="14" t="inlineStr">
        <is>
          <t>D 엘 아르키텍토 추적</t>
        </is>
      </c>
      <c r="E516" s="13" t="n">
        <v>10012</v>
      </c>
      <c r="F516" s="13" t="n">
        <v>13</v>
      </c>
      <c r="G516" s="15" t="inlineStr">
        <is>
          <t>며칠 후, 알바로가 '외부 자문'이라는 인물로부터 검토 전화를 받습니다 — 목소리를 들은 순간, 로셀요라는 걸 직감합니다.</t>
        </is>
      </c>
    </row>
    <row r="517" ht="15" customHeight="1" s="11">
      <c r="A517" s="13" t="n">
        <v>516</v>
      </c>
      <c r="B517" s="13" t="n">
        <v>37</v>
      </c>
      <c r="C517" s="14">
        <f>INDEX('부작 목록'!$C$2:$C$66,B517)</f>
        <v/>
      </c>
      <c r="D517" s="14" t="inlineStr">
        <is>
          <t>D 엘 아르키텍토 추적</t>
        </is>
      </c>
      <c r="E517" s="13" t="n">
        <v>10028</v>
      </c>
      <c r="F517" s="13" t="n">
        <v>7</v>
      </c>
      <c r="G517" s="15" t="inlineStr">
        <is>
          <t>알바로가 비상 채널을 통해 결정적 확인 사항을 전달합니다.</t>
        </is>
      </c>
    </row>
    <row r="518" ht="15" customHeight="1" s="11">
      <c r="A518" s="13" t="n">
        <v>517</v>
      </c>
      <c r="B518" s="13" t="n">
        <v>37</v>
      </c>
      <c r="C518" s="14">
        <f>INDEX('부작 목록'!$C$2:$C$66,B518)</f>
        <v/>
      </c>
      <c r="D518" s="14" t="inlineStr">
        <is>
          <t>D 엘 아르키텍토 추적</t>
        </is>
      </c>
      <c r="E518" s="13" t="n">
        <v>10037</v>
      </c>
      <c r="F518" s="13" t="n">
        <v>10</v>
      </c>
      <c r="G518" s="15" t="inlineStr">
        <is>
          <t>다음 날, 마르코가 알바로에게 뜻밖의 질문을 던지며 긴장이 고조됩니다.</t>
        </is>
      </c>
    </row>
    <row r="519" ht="15" customHeight="1" s="11">
      <c r="A519" s="13" t="n">
        <v>518</v>
      </c>
      <c r="B519" s="13" t="n">
        <v>37</v>
      </c>
      <c r="C519" s="14">
        <f>INDEX('부작 목록'!$C$2:$C$66,B519)</f>
        <v/>
      </c>
      <c r="D519" s="14" t="inlineStr">
        <is>
          <t>D 엘 아르키텍토 추적</t>
        </is>
      </c>
      <c r="E519" s="13" t="n">
        <v>10050</v>
      </c>
      <c r="F519" s="13" t="n">
        <v>10</v>
      </c>
      <c r="G519" s="15" t="inlineStr">
        <is>
          <t>레나타가 최종 항구 정보를 전달하며, 알바로가 결정적 정보를 확보합니다.</t>
        </is>
      </c>
    </row>
    <row r="520" ht="15" customHeight="1" s="11">
      <c r="A520" s="13" t="n">
        <v>519</v>
      </c>
      <c r="B520" s="13" t="n">
        <v>37</v>
      </c>
      <c r="C520" s="14">
        <f>INDEX('부작 목록'!$C$2:$C$66,B520)</f>
        <v/>
      </c>
      <c r="D520" s="14" t="inlineStr">
        <is>
          <t>D 엘 아르키텍토 추적</t>
        </is>
      </c>
      <c r="E520" s="13" t="n">
        <v>10063</v>
      </c>
      <c r="F520" s="13" t="n">
        <v>10</v>
      </c>
      <c r="G520" s="15" t="inlineStr">
        <is>
          <t>알바로가 안전하게 발을 빼는 동안, 카르타헤나 항구에서 급습이 실행됩니다.</t>
        </is>
      </c>
    </row>
    <row r="521" ht="15" customHeight="1" s="11">
      <c r="A521" s="13" t="n">
        <v>520</v>
      </c>
      <c r="B521" s="13" t="n">
        <v>37</v>
      </c>
      <c r="C521" s="14">
        <f>INDEX('부작 목록'!$C$2:$C$66,B521)</f>
        <v/>
      </c>
      <c r="D521" s="14" t="inlineStr">
        <is>
          <t>D 엘 아르키텍토 추적</t>
        </is>
      </c>
      <c r="E521" s="13" t="n">
        <v>10075</v>
      </c>
      <c r="F521" s="13" t="n">
        <v>7</v>
      </c>
      <c r="G521" s="15" t="inlineStr">
        <is>
          <t>항구 급습과 동시에, 금융 정보팀이 5단계 결제 계좌를 차단합니다.</t>
        </is>
      </c>
    </row>
    <row r="522" ht="15" customHeight="1" s="11">
      <c r="A522" s="13" t="n">
        <v>521</v>
      </c>
      <c r="B522" s="13" t="n">
        <v>37</v>
      </c>
      <c r="C522" s="14">
        <f>INDEX('부작 목록'!$C$2:$C$66,B522)</f>
        <v/>
      </c>
      <c r="D522" s="14" t="inlineStr">
        <is>
          <t>D 엘 아르키텍토 추적</t>
        </is>
      </c>
      <c r="E522" s="13" t="n">
        <v>10085</v>
      </c>
      <c r="F522" s="13" t="n">
        <v>17</v>
      </c>
      <c r="G522" s="15" t="inlineStr">
        <is>
          <t>며칠 후, 알바로가 카를로스와 다시 만나 이번 작전의 전체 성과를 정리합니다.</t>
        </is>
      </c>
    </row>
    <row r="523" ht="15" customHeight="1" s="11">
      <c r="A523" s="13" t="n">
        <v>522</v>
      </c>
      <c r="B523" s="13" t="n">
        <v>37</v>
      </c>
      <c r="C523" s="14">
        <f>INDEX('부작 목록'!$C$2:$C$66,B523)</f>
        <v/>
      </c>
      <c r="D523" s="14" t="inlineStr">
        <is>
          <t>D 엘 아르키텍토 추적</t>
        </is>
      </c>
      <c r="E523" s="13" t="n">
        <v>10104</v>
      </c>
      <c r="F523" s="13" t="n">
        <v>15</v>
      </c>
      <c r="G523" s="15" t="inlineStr">
        <is>
          <t>며칠 후, 알바로가 카밀라에게 이번 작전 이야기를 전합니다.</t>
        </is>
      </c>
    </row>
    <row r="524" ht="28.35" customHeight="1" s="11">
      <c r="A524" s="13" t="n">
        <v>523</v>
      </c>
      <c r="B524" s="13" t="n">
        <v>38</v>
      </c>
      <c r="C524" s="14">
        <f>INDEX('부작 목록'!$C$2:$C$66,B524)</f>
        <v/>
      </c>
      <c r="D524" s="14" t="inlineStr">
        <is>
          <t>D 엘 아르키텍토 추적</t>
        </is>
      </c>
      <c r="E524" s="13" t="n">
        <v>10121</v>
      </c>
      <c r="F524" s="13" t="n">
        <v>14</v>
      </c>
      <c r="G524" s="15" t="inlineStr">
        <is>
          <t>새로운 취재. 알바로가 하비에르로부터 칸타브리아의 한 작은 마을에서 로셀요와 연결된 것으로 보이는 부동산 등기 정황을 전달받습니다. 이번엔 CNI 없이, 순수 저널리즘으로 혼자 추적하기 로 결심합니다.</t>
        </is>
      </c>
    </row>
    <row r="525" ht="15" customHeight="1" s="11">
      <c r="A525" s="13" t="n">
        <v>524</v>
      </c>
      <c r="B525" s="13" t="n">
        <v>38</v>
      </c>
      <c r="C525" s="14">
        <f>INDEX('부작 목록'!$C$2:$C$66,B525)</f>
        <v/>
      </c>
      <c r="D525" s="14" t="inlineStr">
        <is>
          <t>D 엘 아르키텍토 추적</t>
        </is>
      </c>
      <c r="E525" s="13" t="n">
        <v>10138</v>
      </c>
      <c r="F525" s="13" t="n">
        <v>21</v>
      </c>
      <c r="G525" s="15" t="inlineStr">
        <is>
          <t>알바로가 취재 이동을 위해 렌터카 업체에서 차량과 보험 조건을 협상합니다.</t>
        </is>
      </c>
    </row>
    <row r="526" ht="15" customHeight="1" s="11">
      <c r="A526" s="13" t="n">
        <v>525</v>
      </c>
      <c r="B526" s="13" t="n">
        <v>38</v>
      </c>
      <c r="C526" s="14">
        <f>INDEX('부작 목록'!$C$2:$C$66,B526)</f>
        <v/>
      </c>
      <c r="D526" s="14" t="inlineStr">
        <is>
          <t>D 엘 아르키텍토 추적</t>
        </is>
      </c>
      <c r="E526" s="13" t="n">
        <v>10162</v>
      </c>
      <c r="F526" s="13" t="n">
        <v>13</v>
      </c>
      <c r="G526" s="15" t="inlineStr">
        <is>
          <t>알바로가 칸타브리아의 한 식당에 전화를 걸어 제보자와의 저녁 식사를 위한 예약을 합니다.</t>
        </is>
      </c>
    </row>
    <row r="527" ht="15" customHeight="1" s="11">
      <c r="A527" s="13" t="n">
        <v>526</v>
      </c>
      <c r="B527" s="13" t="n">
        <v>38</v>
      </c>
      <c r="C527" s="14">
        <f>INDEX('부작 목록'!$C$2:$C$66,B527)</f>
        <v/>
      </c>
      <c r="D527" s="14" t="inlineStr">
        <is>
          <t>D 엘 아르키텍토 추적</t>
        </is>
      </c>
      <c r="E527" s="13" t="n">
        <v>10178</v>
      </c>
      <c r="F527" s="13" t="n">
        <v>16</v>
      </c>
      <c r="G527" s="15" t="inlineStr">
        <is>
          <t>산탄데르 공항에 도착한 알바로가 택시를 타고 마을로 이동하며, 기사와 물가·경제 이야기를 나 눕니다.</t>
        </is>
      </c>
    </row>
    <row r="528" ht="15" customHeight="1" s="11">
      <c r="A528" s="13" t="n">
        <v>527</v>
      </c>
      <c r="B528" s="13" t="n">
        <v>38</v>
      </c>
      <c r="C528" s="14">
        <f>INDEX('부작 목록'!$C$2:$C$66,B528)</f>
        <v/>
      </c>
      <c r="D528" s="14" t="inlineStr">
        <is>
          <t>D 엘 아르키텍토 추적</t>
        </is>
      </c>
      <c r="E528" s="13" t="n">
        <v>10197</v>
      </c>
      <c r="F528" s="13" t="n">
        <v>15</v>
      </c>
      <c r="G528" s="15" t="inlineStr">
        <is>
          <t>알바로가 마을 호텔에 도착해, 신원 노출을 최소화하기 위한 체크인 절차를 요청합니다.</t>
        </is>
      </c>
    </row>
    <row r="529" ht="15" customHeight="1" s="11">
      <c r="A529" s="13" t="n">
        <v>528</v>
      </c>
      <c r="B529" s="13" t="n">
        <v>38</v>
      </c>
      <c r="C529" s="14">
        <f>INDEX('부작 목록'!$C$2:$C$66,B529)</f>
        <v/>
      </c>
      <c r="D529" s="14" t="inlineStr">
        <is>
          <t>D 엘 아르키텍토 추적</t>
        </is>
      </c>
      <c r="E529" s="13" t="n">
        <v>10215</v>
      </c>
      <c r="F529" s="13" t="n">
        <v>17</v>
      </c>
      <c r="G529" s="15" t="inlineStr">
        <is>
          <t>알바로가 은퇴한 공증인 도밍고 세라노와 저녁 식사를 하며 의문의 부동산에 대해 이야기합니 다.</t>
        </is>
      </c>
    </row>
    <row r="530" ht="15" customHeight="1" s="11">
      <c r="A530" s="13" t="n">
        <v>529</v>
      </c>
      <c r="B530" s="13" t="n">
        <v>38</v>
      </c>
      <c r="C530" s="14">
        <f>INDEX('부작 목록'!$C$2:$C$66,B530)</f>
        <v/>
      </c>
      <c r="D530" s="14" t="inlineStr">
        <is>
          <t>D 엘 아르키텍토 추적</t>
        </is>
      </c>
      <c r="E530" s="13" t="n">
        <v>10235</v>
      </c>
      <c r="F530" s="13" t="n">
        <v>18</v>
      </c>
      <c r="G530" s="15" t="inlineStr">
        <is>
          <t>다음 날, 알바로가 목동 안셀모를 찾아가 신중하게 대화를 시도합니다.</t>
        </is>
      </c>
    </row>
    <row r="531" ht="15" customHeight="1" s="11">
      <c r="A531" s="13" t="n">
        <v>530</v>
      </c>
      <c r="B531" s="13" t="n">
        <v>38</v>
      </c>
      <c r="C531" s="14">
        <f>INDEX('부작 목록'!$C$2:$C$66,B531)</f>
        <v/>
      </c>
      <c r="D531" s="14" t="inlineStr">
        <is>
          <t>D 엘 아르키텍토 추적</t>
        </is>
      </c>
      <c r="E531" s="13" t="n">
        <v>10255</v>
      </c>
      <c r="F531" s="13" t="n">
        <v>16</v>
      </c>
      <c r="G531" s="15" t="inlineStr">
        <is>
          <t>그날 밤, 알바로가 취재 자료를 갖고 호텔로 돌아가던 중 불심검문을 받습니다.</t>
        </is>
      </c>
    </row>
    <row r="532" ht="15" customHeight="1" s="11">
      <c r="A532" s="13" t="n">
        <v>531</v>
      </c>
      <c r="B532" s="13" t="n">
        <v>38</v>
      </c>
      <c r="C532" s="14">
        <f>INDEX('부작 목록'!$C$2:$C$66,B532)</f>
        <v/>
      </c>
      <c r="D532" s="14" t="inlineStr">
        <is>
          <t>D 엘 아르키텍토 추적</t>
        </is>
      </c>
      <c r="E532" s="13" t="n">
        <v>10274</v>
      </c>
      <c r="F532" s="13" t="n">
        <v>17</v>
      </c>
      <c r="G532" s="15" t="inlineStr">
        <is>
          <t>다음 날 아침, 도밍고가 갑자기 쓰러지며 알바로가 그를 응급실로 데려갑니다.</t>
        </is>
      </c>
    </row>
    <row r="533" ht="15" customHeight="1" s="11">
      <c r="A533" s="13" t="n">
        <v>532</v>
      </c>
      <c r="B533" s="13" t="n">
        <v>38</v>
      </c>
      <c r="C533" s="14">
        <f>INDEX('부작 목록'!$C$2:$C$66,B533)</f>
        <v/>
      </c>
      <c r="D533" s="14" t="inlineStr">
        <is>
          <t>D 엘 아르키텍토 추적</t>
        </is>
      </c>
      <c r="E533" s="13" t="n">
        <v>10294</v>
      </c>
      <c r="F533" s="13" t="n">
        <v>11</v>
      </c>
      <c r="G533" s="15" t="inlineStr">
        <is>
          <t>몇 시간 후, 의사가 진단 결과를 전하며 도밍고의 상태 원인이 밝혀집니다.</t>
        </is>
      </c>
    </row>
    <row r="534" ht="15" customHeight="1" s="11">
      <c r="A534" s="13" t="n">
        <v>533</v>
      </c>
      <c r="B534" s="13" t="n">
        <v>38</v>
      </c>
      <c r="C534" s="14">
        <f>INDEX('부작 목록'!$C$2:$C$66,B534)</f>
        <v/>
      </c>
      <c r="D534" s="14" t="inlineStr">
        <is>
          <t>D 엘 아르키텍토 추적</t>
        </is>
      </c>
      <c r="E534" s="13" t="n">
        <v>10308</v>
      </c>
      <c r="F534" s="13" t="n">
        <v>13</v>
      </c>
      <c r="G534" s="15" t="inlineStr">
        <is>
          <t>만약을 대비해, 알바로가 원격으로 IT 보안 전문가 친구에게 통신 보안을 요청합니다.</t>
        </is>
      </c>
    </row>
    <row r="535" ht="15" customHeight="1" s="11">
      <c r="A535" s="13" t="n">
        <v>534</v>
      </c>
      <c r="B535" s="13" t="n">
        <v>38</v>
      </c>
      <c r="C535" s="14">
        <f>INDEX('부작 목록'!$C$2:$C$66,B535)</f>
        <v/>
      </c>
      <c r="D535" s="14" t="inlineStr">
        <is>
          <t>D 엘 아르키텍토 추적</t>
        </is>
      </c>
      <c r="E535" s="13" t="n">
        <v>10324</v>
      </c>
      <c r="F535" s="13" t="n">
        <v>16</v>
      </c>
      <c r="G535" s="15" t="inlineStr">
        <is>
          <t>알바로가 렌터카를 반납하고, 눈에 띄지 않게 마을에 더 머물기 위해 개인 간 중고차 거래를 진 행합니다.</t>
        </is>
      </c>
    </row>
    <row r="536" ht="28.35" customHeight="1" s="11">
      <c r="A536" s="13" t="n">
        <v>535</v>
      </c>
      <c r="B536" s="13" t="n">
        <v>38</v>
      </c>
      <c r="C536" s="14">
        <f>INDEX('부작 목록'!$C$2:$C$66,B536)</f>
        <v/>
      </c>
      <c r="D536" s="14" t="inlineStr">
        <is>
          <t>D 엘 아르키텍토 추적</t>
        </is>
      </c>
      <c r="E536" s="13" t="n">
        <v>10343</v>
      </c>
      <c r="F536" s="13" t="n">
        <v>20</v>
      </c>
      <c r="G536" s="15" t="inlineStr">
        <is>
          <t>며칠간의 감시를 앞두고, 알바로가 저택이 잘 보이는 위치에 은신 거점으로 쓸 단기 임대 아파 트를 계약합니다. 호텔 프런트에 출입 기록이 남는 걸 피하기 위한 선택입니다.</t>
        </is>
      </c>
    </row>
    <row r="537" ht="15" customHeight="1" s="11">
      <c r="A537" s="13" t="n">
        <v>536</v>
      </c>
      <c r="B537" s="13" t="n">
        <v>38</v>
      </c>
      <c r="C537" s="14">
        <f>INDEX('부작 목록'!$C$2:$C$66,B537)</f>
        <v/>
      </c>
      <c r="D537" s="14" t="inlineStr">
        <is>
          <t>D 엘 아르키텍토 추적</t>
        </is>
      </c>
      <c r="E537" s="13" t="n">
        <v>10366</v>
      </c>
      <c r="F537" s="13" t="n">
        <v>10</v>
      </c>
      <c r="G537" s="15" t="inlineStr">
        <is>
          <t>새로 산 차로 감시를 이어가던 알바로가, 마침내 문제의 차량이 저택에서 나오는 것을 목격합니 다.</t>
        </is>
      </c>
    </row>
    <row r="538" ht="15" customHeight="1" s="11">
      <c r="A538" s="13" t="n">
        <v>537</v>
      </c>
      <c r="B538" s="13" t="n">
        <v>38</v>
      </c>
      <c r="C538" s="14">
        <f>INDEX('부작 목록'!$C$2:$C$66,B538)</f>
        <v/>
      </c>
      <c r="D538" s="14" t="inlineStr">
        <is>
          <t>D 엘 아르키텍토 추적</t>
        </is>
      </c>
      <c r="E538" s="13" t="n">
        <v>10378</v>
      </c>
      <c r="F538" s="13" t="n">
        <v>15</v>
      </c>
      <c r="G538" s="15" t="inlineStr">
        <is>
          <t>공항에서 돌아온 알바로가 하비에르에게 이번 발견을 자세히 전달하며, 다음 단계를 논의합니 다.</t>
        </is>
      </c>
    </row>
    <row r="539" ht="15" customHeight="1" s="11">
      <c r="A539" s="13" t="n">
        <v>538</v>
      </c>
      <c r="B539" s="13" t="n">
        <v>38</v>
      </c>
      <c r="C539" s="14">
        <f>INDEX('부작 목록'!$C$2:$C$66,B539)</f>
        <v/>
      </c>
      <c r="D539" s="14" t="inlineStr">
        <is>
          <t>D 엘 아르키텍토 추적</t>
        </is>
      </c>
      <c r="E539" s="13" t="n">
        <v>10396</v>
      </c>
      <c r="F539" s="13" t="n">
        <v>15</v>
      </c>
      <c r="G539" s="15" t="inlineStr">
        <is>
          <t>마드리드로 돌아온 알바로가 보도 전, 신문사 법률고문 변호사 인마쿨라다 벨트란과 명예훼손 리스크를 점검합니다.</t>
        </is>
      </c>
    </row>
    <row r="540" ht="28.35" customHeight="1" s="11">
      <c r="A540" s="13" t="n">
        <v>539</v>
      </c>
      <c r="B540" s="13" t="n">
        <v>38</v>
      </c>
      <c r="C540" s="14">
        <f>INDEX('부작 목록'!$C$2:$C$66,B540)</f>
        <v/>
      </c>
      <c r="D540" s="14" t="inlineStr">
        <is>
          <t>D 엘 아르키텍토 추적</t>
        </is>
      </c>
      <c r="E540" s="13" t="n">
        <v>10414</v>
      </c>
      <c r="F540" s="13" t="n">
        <v>15</v>
      </c>
      <c r="G540" s="15" t="inlineStr">
        <is>
          <t>보도 전, 알바로가 이번엔 CNI 개입을 요청하기 위해서가 아니라, 취재 결과를 공유하는 형태로 카를로스에게 연락합니다.</t>
        </is>
      </c>
    </row>
    <row r="541" ht="15" customHeight="1" s="11">
      <c r="A541" s="13" t="n">
        <v>540</v>
      </c>
      <c r="B541" s="13" t="n">
        <v>38</v>
      </c>
      <c r="C541" s="14">
        <f>INDEX('부작 목록'!$C$2:$C$66,B541)</f>
        <v/>
      </c>
      <c r="D541" s="14" t="inlineStr">
        <is>
          <t>D 엘 아르키텍토 추적</t>
        </is>
      </c>
      <c r="E541" s="13" t="n">
        <v>10432</v>
      </c>
      <c r="F541" s="13" t="n">
        <v>14</v>
      </c>
      <c r="G541" s="15" t="inlineStr">
        <is>
          <t>며칠 후, 알바로와 하비에르가 최종 보도를 발행합니다.</t>
        </is>
      </c>
    </row>
    <row r="542" ht="15" customHeight="1" s="11">
      <c r="A542" s="13" t="n">
        <v>541</v>
      </c>
      <c r="B542" s="13" t="n">
        <v>38</v>
      </c>
      <c r="C542" s="14">
        <f>INDEX('부작 목록'!$C$2:$C$66,B542)</f>
        <v/>
      </c>
      <c r="D542" s="14" t="inlineStr">
        <is>
          <t>D 엘 아르키텍토 추적</t>
        </is>
      </c>
      <c r="E542" s="13" t="n">
        <v>10449</v>
      </c>
      <c r="F542" s="13" t="n">
        <v>14</v>
      </c>
      <c r="G542" s="15" t="inlineStr">
        <is>
          <t>보도가 나간 뒤, 국내외에서 반향이 일어납니다.</t>
        </is>
      </c>
    </row>
    <row r="543" ht="15" customHeight="1" s="11">
      <c r="A543" s="13" t="n">
        <v>542</v>
      </c>
      <c r="B543" s="13" t="n">
        <v>38</v>
      </c>
      <c r="C543" s="14">
        <f>INDEX('부작 목록'!$C$2:$C$66,B543)</f>
        <v/>
      </c>
      <c r="D543" s="14" t="inlineStr">
        <is>
          <t>D 엘 아르키텍토 추적</t>
        </is>
      </c>
      <c r="E543" s="13" t="n">
        <v>10466</v>
      </c>
      <c r="F543" s="13" t="n">
        <v>17</v>
      </c>
      <c r="G543" s="15" t="inlineStr">
        <is>
          <t>몇 주 후, 알바로가 출판사 편집장 로렌소 이바녜스와 그동안의 취재를 책으로 엮는 협상을 진 행합니다.</t>
        </is>
      </c>
    </row>
    <row r="544" ht="15" customHeight="1" s="11">
      <c r="A544" s="13" t="n">
        <v>543</v>
      </c>
      <c r="B544" s="13" t="n">
        <v>38</v>
      </c>
      <c r="C544" s="14">
        <f>INDEX('부작 목록'!$C$2:$C$66,B544)</f>
        <v/>
      </c>
      <c r="D544" s="14" t="inlineStr">
        <is>
          <t>D 엘 아르키텍토 추적</t>
        </is>
      </c>
      <c r="E544" s="13" t="n">
        <v>10486</v>
      </c>
      <c r="F544" s="13" t="n">
        <v>15</v>
      </c>
      <c r="G544" s="15" t="inlineStr">
        <is>
          <t>몇 주 후, 알바로가 칸타브리아를 다시 찾아 도밍고와 안셀모의 상황을 확인합니다.</t>
        </is>
      </c>
    </row>
    <row r="545" ht="15" customHeight="1" s="11">
      <c r="A545" s="13" t="n">
        <v>544</v>
      </c>
      <c r="B545" s="13" t="n">
        <v>38</v>
      </c>
      <c r="C545" s="14">
        <f>INDEX('부작 목록'!$C$2:$C$66,B545)</f>
        <v/>
      </c>
      <c r="D545" s="14" t="inlineStr">
        <is>
          <t>D 엘 아르키텍토 추적</t>
        </is>
      </c>
      <c r="E545" s="13" t="n">
        <v>10503</v>
      </c>
      <c r="F545" s="13" t="n">
        <v>20</v>
      </c>
      <c r="G545" s="15" t="inlineStr">
        <is>
          <t>마드리드로 돌아온 알바로가 카밀라에게 이번 단독 취재에 대해 자세히 이야기합니다.</t>
        </is>
      </c>
    </row>
    <row r="546" ht="15" customHeight="1" s="11">
      <c r="A546" s="13" t="n">
        <v>545</v>
      </c>
      <c r="B546" s="13" t="n">
        <v>38</v>
      </c>
      <c r="C546" s="14">
        <f>INDEX('부작 목록'!$C$2:$C$66,B546)</f>
        <v/>
      </c>
      <c r="D546" s="14" t="inlineStr">
        <is>
          <t>D 엘 아르키텍토 추적</t>
        </is>
      </c>
      <c r="E546" s="13" t="n">
        <v>10528</v>
      </c>
      <c r="F546" s="13" t="n">
        <v>13</v>
      </c>
      <c r="G546" s="15" t="inlineStr">
        <is>
          <t>모든 게 끝난 후, 알바로가 마르코스에게 다시 연락해 보안 조치를 해제하고 결과를 정리합니 다.</t>
        </is>
      </c>
    </row>
    <row r="547" ht="15" customHeight="1" s="11">
      <c r="A547" s="13" t="n">
        <v>546</v>
      </c>
      <c r="B547" s="13" t="n">
        <v>38</v>
      </c>
      <c r="C547" s="14">
        <f>INDEX('부작 목록'!$C$2:$C$66,B547)</f>
        <v/>
      </c>
      <c r="D547" s="14" t="inlineStr">
        <is>
          <t>D 엘 아르키텍토 추적</t>
        </is>
      </c>
      <c r="E547" s="13" t="n">
        <v>10544</v>
      </c>
      <c r="F547" s="13" t="n">
        <v>15</v>
      </c>
      <c r="G547" s="15" t="inlineStr">
        <is>
          <t>몇 주 후, 인마쿨라다의 검토를 마친 출판 계약서에 알바로가 최종 서명합니다.</t>
        </is>
      </c>
    </row>
    <row r="548" ht="15" customHeight="1" s="11">
      <c r="A548" s="13" t="n">
        <v>547</v>
      </c>
      <c r="B548" s="13" t="n">
        <v>38</v>
      </c>
      <c r="C548" s="14">
        <f>INDEX('부작 목록'!$C$2:$C$66,B548)</f>
        <v/>
      </c>
      <c r="D548" s="14" t="inlineStr">
        <is>
          <t>D 엘 아르키텍토 추적</t>
        </is>
      </c>
      <c r="E548" s="13" t="n">
        <v>10562</v>
      </c>
      <c r="F548" s="13" t="n">
        <v>16</v>
      </c>
      <c r="G548" s="15" t="inlineStr">
        <is>
          <t>그날 밤, 알바로와 카밀라가 계약 체결을 축하하며 조용한 저녁을 보냅니다.</t>
        </is>
      </c>
    </row>
    <row r="549" ht="15" customHeight="1" s="11">
      <c r="A549" s="13" t="n">
        <v>548</v>
      </c>
      <c r="B549" s="13" t="n">
        <v>38</v>
      </c>
      <c r="C549" s="14">
        <f>INDEX('부작 목록'!$C$2:$C$66,B549)</f>
        <v/>
      </c>
      <c r="D549" s="14" t="inlineStr">
        <is>
          <t>D 엘 아르키텍토 추적</t>
        </is>
      </c>
      <c r="E549" s="13" t="n">
        <v>10581</v>
      </c>
      <c r="F549" s="13" t="n">
        <v>4</v>
      </c>
      <c r="G549" s="15" t="inlineStr">
        <is>
          <t>카밀라가 잠든 후, 알바로가 조용히 이번 여정을 되돌아봅니다.</t>
        </is>
      </c>
    </row>
    <row r="550" ht="28.35" customHeight="1" s="11">
      <c r="A550" s="13" t="n">
        <v>549</v>
      </c>
      <c r="B550" s="13" t="n">
        <v>39</v>
      </c>
      <c r="C550" s="14">
        <f>INDEX('부작 목록'!$C$2:$C$66,B550)</f>
        <v/>
      </c>
      <c r="D550" s="14" t="inlineStr">
        <is>
          <t>E 빅토르 안전가옥 세션</t>
        </is>
      </c>
      <c r="E550" s="13" t="n">
        <v>10587</v>
      </c>
      <c r="F550" s="13" t="n">
        <v>14</v>
      </c>
      <c r="G550" s="15" t="inlineStr">
        <is>
          <t>새로운 시리즈 시작. 알바로가 뜻밖의 암호화 메시지를 받습니다. 불특정 해외 정보기관 소속 요원이, 알바로의 기사를 유심히 읽어왔다며 접선을 요청합니다.</t>
        </is>
      </c>
    </row>
    <row r="551" ht="28.35" customHeight="1" s="11">
      <c r="A551" s="13" t="n">
        <v>550</v>
      </c>
      <c r="B551" s="13" t="n">
        <v>39</v>
      </c>
      <c r="C551" s="14">
        <f>INDEX('부작 목록'!$C$2:$C$66,B551)</f>
        <v/>
      </c>
      <c r="D551" s="14" t="inlineStr">
        <is>
          <t>E 빅토르 안전가옥 세션</t>
        </is>
      </c>
      <c r="E551" s="13" t="n">
        <v>10604</v>
      </c>
      <c r="F551" s="13" t="n">
        <v>16</v>
      </c>
      <c r="G551" s="15" t="inlineStr">
        <is>
          <t>다음 날, 마드리드의 번잡한 시장에서 알바로가 요원과 처음 대면합니다. 요원은 자신을 '빅토르 '라고 소개하며, 알바로의 정체를 이미 알고 있음을 밝힙니다.</t>
        </is>
      </c>
    </row>
    <row r="552" ht="15" customHeight="1" s="11">
      <c r="A552" s="13" t="n">
        <v>551</v>
      </c>
      <c r="B552" s="13" t="n">
        <v>39</v>
      </c>
      <c r="C552" s="14">
        <f>INDEX('부작 목록'!$C$2:$C$66,B552)</f>
        <v/>
      </c>
      <c r="D552" s="14" t="inlineStr">
        <is>
          <t>E 빅토르 안전가옥 세션</t>
        </is>
      </c>
      <c r="E552" s="13" t="n">
        <v>10623</v>
      </c>
      <c r="F552" s="13" t="n">
        <v>14</v>
      </c>
      <c r="G552" s="15" t="inlineStr">
        <is>
          <t>빅토르가 망명을 결심하게 된 이유를 설명합니다.</t>
        </is>
      </c>
    </row>
    <row r="553" ht="28.35" customHeight="1" s="11">
      <c r="A553" s="13" t="n">
        <v>552</v>
      </c>
      <c r="B553" s="13" t="n">
        <v>39</v>
      </c>
      <c r="C553" s="14">
        <f>INDEX('부작 목록'!$C$2:$C$66,B553)</f>
        <v/>
      </c>
      <c r="D553" s="14" t="inlineStr">
        <is>
          <t>E 빅토르 안전가옥 세션</t>
        </is>
      </c>
      <c r="E553" s="13" t="n">
        <v>10640</v>
      </c>
      <c r="F553" s="13" t="n">
        <v>15</v>
      </c>
      <c r="G553" s="15" t="inlineStr">
        <is>
          <t>빅토르가 스페인을 겨냥한 여러 작전에 대해 이야기할 게 있다고 밝히며, 진실을 아는 것의 양 면성에 대해 철학적으로 이야기합니다.</t>
        </is>
      </c>
    </row>
    <row r="554" ht="15" customHeight="1" s="11">
      <c r="A554" s="13" t="n">
        <v>553</v>
      </c>
      <c r="B554" s="13" t="n">
        <v>39</v>
      </c>
      <c r="C554" s="14">
        <f>INDEX('부작 목록'!$C$2:$C$66,B554)</f>
        <v/>
      </c>
      <c r="D554" s="14" t="inlineStr">
        <is>
          <t>E 빅토르 안전가옥 세션</t>
        </is>
      </c>
      <c r="E554" s="13" t="n">
        <v>10657</v>
      </c>
      <c r="F554" s="13" t="n">
        <v>15</v>
      </c>
      <c r="G554" s="15" t="inlineStr">
        <is>
          <t>빅토르가 정식으로 은밀한 망명을 요청하며, 자신이 원하는 조건을 밝힙니다.</t>
        </is>
      </c>
    </row>
    <row r="555" ht="15" customHeight="1" s="11">
      <c r="A555" s="13" t="n">
        <v>554</v>
      </c>
      <c r="B555" s="13" t="n">
        <v>39</v>
      </c>
      <c r="C555" s="14">
        <f>INDEX('부작 목록'!$C$2:$C$66,B555)</f>
        <v/>
      </c>
      <c r="D555" s="14" t="inlineStr">
        <is>
          <t>E 빅토르 안전가옥 세션</t>
        </is>
      </c>
      <c r="E555" s="13" t="n">
        <v>10674</v>
      </c>
      <c r="F555" s="13" t="n">
        <v>11</v>
      </c>
      <c r="G555" s="15" t="inlineStr">
        <is>
          <t>헤어진 직후, 알바로가 곧바로 카를로스에게 연락합니다.</t>
        </is>
      </c>
    </row>
    <row r="556" ht="15" customHeight="1" s="11">
      <c r="A556" s="13" t="n">
        <v>555</v>
      </c>
      <c r="B556" s="13" t="n">
        <v>39</v>
      </c>
      <c r="C556" s="14">
        <f>INDEX('부작 목록'!$C$2:$C$66,B556)</f>
        <v/>
      </c>
      <c r="D556" s="14" t="inlineStr">
        <is>
          <t>E 빅토르 안전가옥 세션</t>
        </is>
      </c>
      <c r="E556" s="13" t="n">
        <v>10688</v>
      </c>
      <c r="F556" s="13" t="n">
        <v>15</v>
      </c>
      <c r="G556" s="15" t="inlineStr">
        <is>
          <t>카를로스의 사무실에서, 알바로가 상세한 내용을 보고하고 사안의 심각성을 확인합니다.</t>
        </is>
      </c>
    </row>
    <row r="557" ht="28.35" customHeight="1" s="11">
      <c r="A557" s="13" t="n">
        <v>556</v>
      </c>
      <c r="B557" s="13" t="n">
        <v>39</v>
      </c>
      <c r="C557" s="14">
        <f>INDEX('부작 목록'!$C$2:$C$66,B557)</f>
        <v/>
      </c>
      <c r="D557" s="14" t="inlineStr">
        <is>
          <t>E 빅토르 안전가옥 세션</t>
        </is>
      </c>
      <c r="E557" s="13" t="n">
        <v>10706</v>
      </c>
      <c r="F557" s="13" t="n">
        <v>14</v>
      </c>
      <c r="G557" s="15" t="inlineStr">
        <is>
          <t>며칠 후, CNI의 통제 아래 알바로가 빅토르와 두 번째로 접선합니다. 이번엔 카를로스 팀이 주 변에서 조용히 검증합니다.</t>
        </is>
      </c>
    </row>
    <row r="558" ht="15" customHeight="1" s="11">
      <c r="A558" s="13" t="n">
        <v>557</v>
      </c>
      <c r="B558" s="13" t="n">
        <v>39</v>
      </c>
      <c r="C558" s="14">
        <f>INDEX('부작 목록'!$C$2:$C$66,B558)</f>
        <v/>
      </c>
      <c r="D558" s="14" t="inlineStr">
        <is>
          <t>E 빅토르 안전가옥 세션</t>
        </is>
      </c>
      <c r="E558" s="13" t="n">
        <v>10722</v>
      </c>
      <c r="F558" s="13" t="n">
        <v>15</v>
      </c>
      <c r="G558" s="17" t="inlineStr">
        <is>
          <t>11일 후, 빅토르가 예고한 정황이 정확히 실현되며 카를로스가 신빙성을 확신합니다.</t>
        </is>
      </c>
    </row>
    <row r="559" ht="15" customHeight="1" s="11">
      <c r="A559" s="13" t="n">
        <v>558</v>
      </c>
      <c r="B559" s="13" t="n">
        <v>39</v>
      </c>
      <c r="C559" s="14">
        <f>INDEX('부작 목록'!$C$2:$C$66,B559)</f>
        <v/>
      </c>
      <c r="D559" s="14" t="inlineStr">
        <is>
          <t>E 빅토르 안전가옥 세션</t>
        </is>
      </c>
      <c r="E559" s="13" t="n">
        <v>10739</v>
      </c>
      <c r="F559" s="13" t="n">
        <v>14</v>
      </c>
      <c r="G559" s="15" t="inlineStr">
        <is>
          <t>다음 날, 빅토르가 정식으로 CNI 보호 아래 들어가며, 알바로에게 마지막 인사와 함께 앞으로의 이야기를 예고합니다.</t>
        </is>
      </c>
    </row>
    <row r="560" ht="28.35" customHeight="1" s="11">
      <c r="A560" s="13" t="n">
        <v>559</v>
      </c>
      <c r="B560" s="13" t="n">
        <v>40</v>
      </c>
      <c r="C560" s="14">
        <f>INDEX('부작 목록'!$C$2:$C$66,B560)</f>
        <v/>
      </c>
      <c r="D560" s="14" t="inlineStr">
        <is>
          <t>E 빅토르 안전가옥 세션</t>
        </is>
      </c>
      <c r="E560" s="13" t="n">
        <v>10756</v>
      </c>
      <c r="F560" s="13" t="n">
        <v>14</v>
      </c>
      <c r="G560" s="17" t="inlineStr">
        <is>
          <t>2부: 신빙성 검증. 안전가옥에서 빅토르, 알바로, 카를로스 세 사람만의 세션이 시작됩니다. 카를 로스가 검증하기 쉬운 종결된 작전부터 시작해달라고 요청합니다.</t>
        </is>
      </c>
    </row>
    <row r="561" ht="15" customHeight="1" s="11">
      <c r="A561" s="13" t="n">
        <v>560</v>
      </c>
      <c r="B561" s="13" t="n">
        <v>40</v>
      </c>
      <c r="C561" s="14">
        <f>INDEX('부작 목록'!$C$2:$C$66,B561)</f>
        <v/>
      </c>
      <c r="D561" s="14" t="inlineStr">
        <is>
          <t>E 빅토르 안전가옥 세션</t>
        </is>
      </c>
      <c r="E561" s="13" t="n">
        <v>10773</v>
      </c>
      <c r="F561" s="13" t="n">
        <v>14</v>
      </c>
      <c r="G561" s="15" t="inlineStr">
        <is>
          <t>카를로스가 하드웨어 임플란트의 기술적 세부사항을 캐묻습니다.</t>
        </is>
      </c>
    </row>
    <row r="562" ht="15" customHeight="1" s="11">
      <c r="A562" s="13" t="n">
        <v>561</v>
      </c>
      <c r="B562" s="13" t="n">
        <v>40</v>
      </c>
      <c r="C562" s="14">
        <f>INDEX('부작 목록'!$C$2:$C$66,B562)</f>
        <v/>
      </c>
      <c r="D562" s="14" t="inlineStr">
        <is>
          <t>E 빅토르 안전가옥 세션</t>
        </is>
      </c>
      <c r="E562" s="13" t="n">
        <v>10790</v>
      </c>
      <c r="F562" s="13" t="n">
        <v>13</v>
      </c>
      <c r="G562" s="15" t="inlineStr">
        <is>
          <t>알바로가 유통 경로와 로셀요와의 연관성에 대해 질문합니다.</t>
        </is>
      </c>
    </row>
    <row r="563" ht="15" customHeight="1" s="11">
      <c r="A563" s="13" t="n">
        <v>562</v>
      </c>
      <c r="B563" s="13" t="n">
        <v>40</v>
      </c>
      <c r="C563" s="14">
        <f>INDEX('부작 목록'!$C$2:$C$66,B563)</f>
        <v/>
      </c>
      <c r="D563" s="14" t="inlineStr">
        <is>
          <t>E 빅토르 안전가옥 세션</t>
        </is>
      </c>
      <c r="E563" s="13" t="n">
        <v>10806</v>
      </c>
      <c r="F563" s="13" t="n">
        <v>15</v>
      </c>
      <c r="G563" s="15" t="inlineStr">
        <is>
          <t>카를로스가 구체적으로 어떤 기관들이 표적이 됐는지 확인합니다.</t>
        </is>
      </c>
    </row>
    <row r="564" ht="15" customHeight="1" s="11">
      <c r="A564" s="13" t="n">
        <v>563</v>
      </c>
      <c r="B564" s="13" t="n">
        <v>40</v>
      </c>
      <c r="C564" s="14">
        <f>INDEX('부작 목록'!$C$2:$C$66,B564)</f>
        <v/>
      </c>
      <c r="D564" s="14" t="inlineStr">
        <is>
          <t>E 빅토르 안전가옥 세션</t>
        </is>
      </c>
      <c r="E564" s="13" t="n">
        <v>10824</v>
      </c>
      <c r="F564" s="13" t="n">
        <v>14</v>
      </c>
      <c r="G564" s="15" t="inlineStr">
        <is>
          <t>알바로가 그렇게 오랫동안 탐지되지 않은 이유를 캐묻습니다.</t>
        </is>
      </c>
    </row>
    <row r="565" ht="15" customHeight="1" s="11">
      <c r="A565" s="13" t="n">
        <v>564</v>
      </c>
      <c r="B565" s="13" t="n">
        <v>40</v>
      </c>
      <c r="C565" s="14">
        <f>INDEX('부작 목록'!$C$2:$C$66,B565)</f>
        <v/>
      </c>
      <c r="D565" s="14" t="inlineStr">
        <is>
          <t>E 빅토르 안전가옥 세션</t>
        </is>
      </c>
      <c r="E565" s="13" t="n">
        <v>10840</v>
      </c>
      <c r="F565" s="13" t="n">
        <v>14</v>
      </c>
      <c r="G565" s="15" t="inlineStr">
        <is>
          <t>카를로스가 빅토르의 신원과 접근 권한을 교차 검증하기 위한 질문을 던집니다.</t>
        </is>
      </c>
    </row>
    <row r="566" ht="15" customHeight="1" s="11">
      <c r="A566" s="13" t="n">
        <v>565</v>
      </c>
      <c r="B566" s="13" t="n">
        <v>40</v>
      </c>
      <c r="C566" s="14">
        <f>INDEX('부작 목록'!$C$2:$C$66,B566)</f>
        <v/>
      </c>
      <c r="D566" s="14" t="inlineStr">
        <is>
          <t>E 빅토르 안전가옥 세션</t>
        </is>
      </c>
      <c r="E566" s="13" t="n">
        <v>10857</v>
      </c>
      <c r="F566" s="13" t="n">
        <v>14</v>
      </c>
      <c r="G566" s="15" t="inlineStr">
        <is>
          <t>알바로가 이 작전으로 인한 인간적 피해에 대해 묻습니다.</t>
        </is>
      </c>
    </row>
    <row r="567" ht="15" customHeight="1" s="11">
      <c r="A567" s="13" t="n">
        <v>566</v>
      </c>
      <c r="B567" s="13" t="n">
        <v>40</v>
      </c>
      <c r="C567" s="14">
        <f>INDEX('부작 목록'!$C$2:$C$66,B567)</f>
        <v/>
      </c>
      <c r="D567" s="14" t="inlineStr">
        <is>
          <t>E 빅토르 안전가옥 세션</t>
        </is>
      </c>
      <c r="E567" s="13" t="n">
        <v>10874</v>
      </c>
      <c r="F567" s="13" t="n">
        <v>13</v>
      </c>
      <c r="G567" s="15" t="inlineStr">
        <is>
          <t>빅토르가 문서를 건네고, 카를로스가 즉시 확인 작업에 착수합니다.</t>
        </is>
      </c>
    </row>
    <row r="568" ht="15" customHeight="1" s="11">
      <c r="A568" s="13" t="n">
        <v>567</v>
      </c>
      <c r="B568" s="13" t="n">
        <v>40</v>
      </c>
      <c r="C568" s="14">
        <f>INDEX('부작 목록'!$C$2:$C$66,B568)</f>
        <v/>
      </c>
      <c r="D568" s="14" t="inlineStr">
        <is>
          <t>E 빅토르 안전가옥 세션</t>
        </is>
      </c>
      <c r="E568" s="13" t="n">
        <v>10889</v>
      </c>
      <c r="F568" s="13" t="n">
        <v>10</v>
      </c>
      <c r="G568" s="15" t="inlineStr">
        <is>
          <t>카를로스가 아직 활성 상태로 남아있을 수 있는 백도어의 현재 위험도를 재확인합니다.</t>
        </is>
      </c>
    </row>
    <row r="569" ht="15" customHeight="1" s="11">
      <c r="A569" s="13" t="n">
        <v>568</v>
      </c>
      <c r="B569" s="13" t="n">
        <v>40</v>
      </c>
      <c r="C569" s="14">
        <f>INDEX('부작 목록'!$C$2:$C$66,B569)</f>
        <v/>
      </c>
      <c r="D569" s="14" t="inlineStr">
        <is>
          <t>E 빅토르 안전가옥 세션</t>
        </is>
      </c>
      <c r="E569" s="13" t="n">
        <v>10901</v>
      </c>
      <c r="F569" s="13" t="n">
        <v>10</v>
      </c>
      <c r="G569" s="15" t="inlineStr">
        <is>
          <t>알바로가 이 작전이 스페인 외에 다른 나라에도 적용됐는지 질문합니다.</t>
        </is>
      </c>
    </row>
    <row r="570" ht="15" customHeight="1" s="11">
      <c r="A570" s="13" t="n">
        <v>569</v>
      </c>
      <c r="B570" s="13" t="n">
        <v>40</v>
      </c>
      <c r="C570" s="14">
        <f>INDEX('부작 목록'!$C$2:$C$66,B570)</f>
        <v/>
      </c>
      <c r="D570" s="14" t="inlineStr">
        <is>
          <t>E 빅토르 안전가옥 세션</t>
        </is>
      </c>
      <c r="E570" s="13" t="n">
        <v>10914</v>
      </c>
      <c r="F570" s="13" t="n">
        <v>11</v>
      </c>
      <c r="G570" s="15" t="inlineStr">
        <is>
          <t>카를로스가 동남아시아 하청업체에 대한 추가 정보를 요구합니다.</t>
        </is>
      </c>
    </row>
    <row r="571" ht="15" customHeight="1" s="11">
      <c r="A571" s="13" t="n">
        <v>570</v>
      </c>
      <c r="B571" s="13" t="n">
        <v>40</v>
      </c>
      <c r="C571" s="14">
        <f>INDEX('부작 목록'!$C$2:$C$66,B571)</f>
        <v/>
      </c>
      <c r="D571" s="14" t="inlineStr">
        <is>
          <t>E 빅토르 안전가옥 세션</t>
        </is>
      </c>
      <c r="E571" s="13" t="n">
        <v>10928</v>
      </c>
      <c r="F571" s="13" t="n">
        <v>10</v>
      </c>
      <c r="G571" s="15" t="inlineStr">
        <is>
          <t>알바로가 이 작전 방식이 다시 쓰일 가능성에 대해 질문합니다.</t>
        </is>
      </c>
    </row>
    <row r="572" ht="15" customHeight="1" s="11">
      <c r="A572" s="13" t="n">
        <v>571</v>
      </c>
      <c r="B572" s="13" t="n">
        <v>40</v>
      </c>
      <c r="C572" s="14">
        <f>INDEX('부작 목록'!$C$2:$C$66,B572)</f>
        <v/>
      </c>
      <c r="D572" s="14" t="inlineStr">
        <is>
          <t>E 빅토르 안전가옥 세션</t>
        </is>
      </c>
      <c r="E572" s="13" t="n">
        <v>10940</v>
      </c>
      <c r="F572" s="13" t="n">
        <v>10</v>
      </c>
      <c r="G572" s="15" t="inlineStr">
        <is>
          <t>카를로스가 산타클로스 작전에 대한 향후 법적·외교적 대응 방향을 빅토르와 논의합니다.</t>
        </is>
      </c>
    </row>
    <row r="573" ht="15" customHeight="1" s="11">
      <c r="A573" s="13" t="n">
        <v>572</v>
      </c>
      <c r="B573" s="13" t="n">
        <v>40</v>
      </c>
      <c r="C573" s="14">
        <f>INDEX('부작 목록'!$C$2:$C$66,B573)</f>
        <v/>
      </c>
      <c r="D573" s="14" t="inlineStr">
        <is>
          <t>E 빅토르 안전가옥 세션</t>
        </is>
      </c>
      <c r="E573" s="13" t="n">
        <v>10953</v>
      </c>
      <c r="F573" s="13" t="n">
        <v>11</v>
      </c>
      <c r="G573" s="15" t="inlineStr">
        <is>
          <t>카를로스가 산타클로스 작전에 대한 검증을 공식적으로 마무리하며 핵심 결론을 정리합니다.</t>
        </is>
      </c>
    </row>
    <row r="574" ht="15" customHeight="1" s="11">
      <c r="A574" s="13" t="n">
        <v>573</v>
      </c>
      <c r="B574" s="13" t="n">
        <v>40</v>
      </c>
      <c r="C574" s="14">
        <f>INDEX('부작 목록'!$C$2:$C$66,B574)</f>
        <v/>
      </c>
      <c r="D574" s="14" t="inlineStr">
        <is>
          <t>E 빅토르 안전가옥 세션</t>
        </is>
      </c>
      <c r="E574" s="13" t="n">
        <v>10967</v>
      </c>
      <c r="F574" s="13" t="n">
        <v>8</v>
      </c>
      <c r="G574" s="15" t="inlineStr">
        <is>
          <t>알바로가 산타클로스 작전과 로셀요가 처음 설계했다는 자금 구조 사이의 관계를 궁금해합니다.</t>
        </is>
      </c>
    </row>
    <row r="575" ht="15" customHeight="1" s="11">
      <c r="A575" s="13" t="n">
        <v>574</v>
      </c>
      <c r="B575" s="13" t="n">
        <v>40</v>
      </c>
      <c r="C575" s="14">
        <f>INDEX('부작 목록'!$C$2:$C$66,B575)</f>
        <v/>
      </c>
      <c r="D575" s="14" t="inlineStr">
        <is>
          <t>E 빅토르 안전가옥 세션</t>
        </is>
      </c>
      <c r="E575" s="13" t="n">
        <v>10977</v>
      </c>
      <c r="F575" s="13" t="n">
        <v>11</v>
      </c>
      <c r="G575" s="15" t="inlineStr">
        <is>
          <t>카를로스가 이 정보를 자신의 상급자에게 어떻게 보고할지 고민을 털어놓습니다.</t>
        </is>
      </c>
    </row>
    <row r="576" ht="15" customHeight="1" s="11">
      <c r="A576" s="13" t="n">
        <v>575</v>
      </c>
      <c r="B576" s="13" t="n">
        <v>40</v>
      </c>
      <c r="C576" s="14">
        <f>INDEX('부작 목록'!$C$2:$C$66,B576)</f>
        <v/>
      </c>
      <c r="D576" s="14" t="inlineStr">
        <is>
          <t>E 빅토르 안전가옥 세션</t>
        </is>
      </c>
      <c r="E576" s="13" t="n">
        <v>10991</v>
      </c>
      <c r="F576" s="13" t="n">
        <v>8</v>
      </c>
      <c r="G576" s="15" t="inlineStr">
        <is>
          <t>짧은 휴식을 취하며, 알바로가 산타클로스 작전에 대해 마지막으로 남은 궁금증을 묻습니다.</t>
        </is>
      </c>
    </row>
    <row r="577" ht="15" customHeight="1" s="11">
      <c r="A577" s="13" t="n">
        <v>576</v>
      </c>
      <c r="B577" s="13" t="n">
        <v>40</v>
      </c>
      <c r="C577" s="14">
        <f>INDEX('부작 목록'!$C$2:$C$66,B577)</f>
        <v/>
      </c>
      <c r="D577" s="14" t="inlineStr">
        <is>
          <t>E 빅토르 안전가옥 세션</t>
        </is>
      </c>
      <c r="E577" s="13" t="n">
        <v>11001</v>
      </c>
      <c r="F577" s="13" t="n">
        <v>12</v>
      </c>
      <c r="G577" s="15" t="inlineStr">
        <is>
          <t>카를로스가 지금까지 받은 문서 전체의 일관성을 재검토하며, 빅토르에게 더 날카로운 질문을</t>
        </is>
      </c>
    </row>
    <row r="578" ht="15" customHeight="1" s="11">
      <c r="A578" s="13" t="n">
        <v>577</v>
      </c>
      <c r="B578" s="13" t="n">
        <v>40</v>
      </c>
      <c r="C578" s="14">
        <f>INDEX('부작 목록'!$C$2:$C$66,B578)</f>
        <v/>
      </c>
      <c r="D578" s="14" t="inlineStr">
        <is>
          <t>E 빅토르 안전가옥 세션</t>
        </is>
      </c>
      <c r="E578" s="13" t="n">
        <v>11016</v>
      </c>
      <c r="F578" s="13" t="n">
        <v>15</v>
      </c>
      <c r="G578" s="15" t="inlineStr">
        <is>
          <t>알바로가 빅토르의 안전에 대해 묻고, 카를로스가 보호 조치 수준을 설명합니다.</t>
        </is>
      </c>
    </row>
    <row r="579" ht="28.35" customHeight="1" s="11">
      <c r="A579" s="13" t="n">
        <v>578</v>
      </c>
      <c r="B579" s="13" t="n">
        <v>40</v>
      </c>
      <c r="C579" s="14">
        <f>INDEX('부작 목록'!$C$2:$C$66,B579)</f>
        <v/>
      </c>
      <c r="D579" s="14" t="inlineStr">
        <is>
          <t>E 빅토르 안전가옥 세션</t>
        </is>
      </c>
      <c r="E579" s="13" t="n">
        <v>11034</v>
      </c>
      <c r="F579" s="13" t="n">
        <v>13</v>
      </c>
      <c r="G579" s="15" t="inlineStr">
        <is>
          <t>세션을 마무리하며, 빅토르가 다음에 다룰 내용에 대한 예고와 함께, 시간이 촉박한 진행 중인 작전이 있음을 암시합니다.</t>
        </is>
      </c>
    </row>
    <row r="580" ht="28.35" customHeight="1" s="11">
      <c r="A580" s="13" t="n">
        <v>579</v>
      </c>
      <c r="B580" s="13" t="n">
        <v>40</v>
      </c>
      <c r="C580" s="14">
        <f>INDEX('부작 목록'!$C$2:$C$66,B580)</f>
        <v/>
      </c>
      <c r="D580" s="14" t="inlineStr">
        <is>
          <t>E 빅토르 안전가옥 세션</t>
        </is>
      </c>
      <c r="E580" s="13" t="n">
        <v>11050</v>
      </c>
      <c r="F580" s="13" t="n">
        <v>14</v>
      </c>
      <c r="G580" s="15" t="inlineStr">
        <is>
          <t>세션 사이 짧은 휴식 시간, 알바로가 이 모든 정보가 결국 기밀로 묶일 수밖에 없다는 현실에 대해 카를로스, 빅토르와 이야기합니다.</t>
        </is>
      </c>
    </row>
    <row r="581" ht="15" customHeight="1" s="11">
      <c r="A581" s="13" t="n">
        <v>580</v>
      </c>
      <c r="B581" s="13" t="n">
        <v>40</v>
      </c>
      <c r="C581" s="14">
        <f>INDEX('부작 목록'!$C$2:$C$66,B581)</f>
        <v/>
      </c>
      <c r="D581" s="14" t="inlineStr">
        <is>
          <t>E 빅토르 안전가옥 세션</t>
        </is>
      </c>
      <c r="E581" s="13" t="n">
        <v>11067</v>
      </c>
      <c r="F581" s="13" t="n">
        <v>12</v>
      </c>
      <c r="G581" s="15" t="inlineStr">
        <is>
          <t>카를로스가 산타클로스 작전의 결제 구조를 노드링크·엘 아르키텍토 관련 기존 자료와 교차 검 증합니다.</t>
        </is>
      </c>
    </row>
    <row r="582" ht="15" customHeight="1" s="11">
      <c r="A582" s="13" t="n">
        <v>581</v>
      </c>
      <c r="B582" s="13" t="n">
        <v>40</v>
      </c>
      <c r="C582" s="14">
        <f>INDEX('부작 목록'!$C$2:$C$66,B582)</f>
        <v/>
      </c>
      <c r="D582" s="14" t="inlineStr">
        <is>
          <t>E 빅토르 안전가옥 세션</t>
        </is>
      </c>
      <c r="E582" s="13" t="n">
        <v>11082</v>
      </c>
      <c r="F582" s="13" t="n">
        <v>13</v>
      </c>
      <c r="G582" s="15" t="inlineStr">
        <is>
          <t>세 사람이 앞으로의 여정에 대한 각오를 다지며 첫날 세션을 마무리합니다.</t>
        </is>
      </c>
    </row>
    <row r="583" ht="15" customHeight="1" s="11">
      <c r="A583" s="13" t="n">
        <v>582</v>
      </c>
      <c r="B583" s="13" t="n">
        <v>40</v>
      </c>
      <c r="C583" s="14">
        <f>INDEX('부작 목록'!$C$2:$C$66,B583)</f>
        <v/>
      </c>
      <c r="D583" s="14" t="inlineStr">
        <is>
          <t>E 빅토르 안전가옥 세션</t>
        </is>
      </c>
      <c r="E583" s="13" t="n">
        <v>11097</v>
      </c>
      <c r="F583" s="13" t="n">
        <v>12</v>
      </c>
      <c r="G583" s="15" t="inlineStr">
        <is>
          <t>떠나기 직전, 카를로스가 산타클로스 작전에 대한 즉각적 대응 조치를 빅토르와 논의합니다.</t>
        </is>
      </c>
    </row>
    <row r="584" ht="15" customHeight="1" s="11">
      <c r="A584" s="13" t="n">
        <v>583</v>
      </c>
      <c r="B584" s="13" t="n">
        <v>40</v>
      </c>
      <c r="C584" s="14">
        <f>INDEX('부작 목록'!$C$2:$C$66,B584)</f>
        <v/>
      </c>
      <c r="D584" s="14" t="inlineStr">
        <is>
          <t>E 빅토르 안전가옥 세션</t>
        </is>
      </c>
      <c r="E584" s="13" t="n">
        <v>11111</v>
      </c>
      <c r="F584" s="13" t="n">
        <v>9</v>
      </c>
      <c r="G584" s="15" t="inlineStr">
        <is>
          <t>세 사람이 자리에서 일어서기 전, 짧은 개인적 대화로 세션을 완전히 마무리합니다.</t>
        </is>
      </c>
    </row>
    <row r="585" ht="15" customHeight="1" s="11">
      <c r="A585" s="13" t="n">
        <v>584</v>
      </c>
      <c r="B585" s="13" t="n">
        <v>40</v>
      </c>
      <c r="C585" s="14">
        <f>INDEX('부작 목록'!$C$2:$C$66,B585)</f>
        <v/>
      </c>
      <c r="D585" s="14" t="inlineStr">
        <is>
          <t>E 빅토르 안전가옥 세션</t>
        </is>
      </c>
      <c r="E585" s="13" t="n">
        <v>11123</v>
      </c>
      <c r="F585" s="13" t="n">
        <v>8</v>
      </c>
      <c r="G585" s="15" t="inlineStr">
        <is>
          <t>빅토르가 방을 나서기 직전, 알바로가 마지막으로 개인적인 질문을 던집니다.</t>
        </is>
      </c>
    </row>
    <row r="586" ht="15" customHeight="1" s="11">
      <c r="A586" s="13" t="n">
        <v>585</v>
      </c>
      <c r="B586" s="13" t="n">
        <v>40</v>
      </c>
      <c r="C586" s="14">
        <f>INDEX('부작 목록'!$C$2:$C$66,B586)</f>
        <v/>
      </c>
      <c r="D586" s="14" t="inlineStr">
        <is>
          <t>E 빅토르 안전가옥 세션</t>
        </is>
      </c>
      <c r="E586" s="13" t="n">
        <v>11133</v>
      </c>
      <c r="F586" s="13" t="n">
        <v>7</v>
      </c>
      <c r="G586" s="15" t="inlineStr">
        <is>
          <t>빅토르가 방을 나선 뒤, 알바로와 카를로스 두 사람만 잠시 남아 짧게 대화합니다.</t>
        </is>
      </c>
    </row>
    <row r="587" ht="28.35" customHeight="1" s="11">
      <c r="A587" s="13" t="n">
        <v>586</v>
      </c>
      <c r="B587" s="13" t="n">
        <v>41</v>
      </c>
      <c r="C587" s="14">
        <f>INDEX('부작 목록'!$C$2:$C$66,B587)</f>
        <v/>
      </c>
      <c r="D587" s="14" t="inlineStr">
        <is>
          <t>E 빅토르 안전가옥 세션</t>
        </is>
      </c>
      <c r="E587" s="13" t="n">
        <v>11142</v>
      </c>
      <c r="F587" s="13" t="n">
        <v>12</v>
      </c>
      <c r="G587" s="15" t="inlineStr">
        <is>
          <t>다음 날, 같은 안전가옥. 세 사람의 세션이 재개됩니다. 카를로스가 다음 작전을 요청하자, 빅토 르가 씁쓸한 유머와 함께 '아담과 이브 작전'을 소개합니다.</t>
        </is>
      </c>
    </row>
    <row r="588" ht="15" customHeight="1" s="11">
      <c r="A588" s="13" t="n">
        <v>587</v>
      </c>
      <c r="B588" s="13" t="n">
        <v>41</v>
      </c>
      <c r="C588" s="14">
        <f>INDEX('부작 목록'!$C$2:$C$66,B588)</f>
        <v/>
      </c>
      <c r="D588" s="14" t="inlineStr">
        <is>
          <t>E 빅토르 안전가옥 세션</t>
        </is>
      </c>
      <c r="E588" s="13" t="n">
        <v>11156</v>
      </c>
      <c r="F588" s="13" t="n">
        <v>10</v>
      </c>
      <c r="G588" s="15" t="inlineStr">
        <is>
          <t>카를로스가 위장 신원이 어떻게 구축되는지 질문하고, 빅토르가 관료주의적 절차에 대한 냉소를 섞어 설명합니다.</t>
        </is>
      </c>
    </row>
    <row r="589" ht="15" customHeight="1" s="11">
      <c r="A589" s="13" t="n">
        <v>588</v>
      </c>
      <c r="B589" s="13" t="n">
        <v>41</v>
      </c>
      <c r="C589" s="14">
        <f>INDEX('부작 목록'!$C$2:$C$66,B589)</f>
        <v/>
      </c>
      <c r="D589" s="14" t="inlineStr">
        <is>
          <t>E 빅토르 안전가옥 세션</t>
        </is>
      </c>
      <c r="E589" s="13" t="n">
        <v>11169</v>
      </c>
      <c r="F589" s="13" t="n">
        <v>11</v>
      </c>
      <c r="G589" s="15" t="inlineStr">
        <is>
          <t>알바로가 훈련 과정의 구체적 내용을 캐묻고, 빅토르가 씁쓸한 유머와 함께 설명합니다.</t>
        </is>
      </c>
    </row>
    <row r="590" ht="15" customHeight="1" s="11">
      <c r="A590" s="13" t="n">
        <v>589</v>
      </c>
      <c r="B590" s="13" t="n">
        <v>41</v>
      </c>
      <c r="C590" s="14">
        <f>INDEX('부작 목록'!$C$2:$C$66,B590)</f>
        <v/>
      </c>
      <c r="D590" s="14" t="inlineStr">
        <is>
          <t>E 빅토르 안전가옥 세션</t>
        </is>
      </c>
      <c r="E590" s="13" t="n">
        <v>11183</v>
      </c>
      <c r="F590" s="13" t="n">
        <v>10</v>
      </c>
      <c r="G590" s="15" t="inlineStr">
        <is>
          <t>카를로스가 실제 스페인 삽입 과정에 대해 질문합니다.</t>
        </is>
      </c>
    </row>
    <row r="591" ht="15" customHeight="1" s="11">
      <c r="A591" s="13" t="n">
        <v>590</v>
      </c>
      <c r="B591" s="13" t="n">
        <v>41</v>
      </c>
      <c r="C591" s="14">
        <f>INDEX('부작 목록'!$C$2:$C$66,B591)</f>
        <v/>
      </c>
      <c r="D591" s="14" t="inlineStr">
        <is>
          <t>E 빅토르 안전가옥 세션</t>
        </is>
      </c>
      <c r="E591" s="13" t="n">
        <v>11195</v>
      </c>
      <c r="F591" s="13" t="n">
        <v>11</v>
      </c>
      <c r="G591" s="15" t="inlineStr">
        <is>
          <t>알바로가 균열이 시작된 지점에 대해 묻습니다. 빅토르가 이번엔 유머 없이 진지하게 답합니다.</t>
        </is>
      </c>
    </row>
    <row r="592" ht="15" customHeight="1" s="11">
      <c r="A592" s="13" t="n">
        <v>591</v>
      </c>
      <c r="B592" s="13" t="n">
        <v>41</v>
      </c>
      <c r="C592" s="14">
        <f>INDEX('부작 목록'!$C$2:$C$66,B592)</f>
        <v/>
      </c>
      <c r="D592" s="14" t="inlineStr">
        <is>
          <t>E 빅토르 안전가옥 세션</t>
        </is>
      </c>
      <c r="E592" s="13" t="n">
        <v>11209</v>
      </c>
      <c r="F592" s="13" t="n">
        <v>10</v>
      </c>
      <c r="G592" s="15" t="inlineStr">
        <is>
          <t>카를로스가 그녀의 이탈 방식에 대해 자세히 묻습니다.</t>
        </is>
      </c>
    </row>
    <row r="593" ht="15" customHeight="1" s="11">
      <c r="A593" s="13" t="n">
        <v>592</v>
      </c>
      <c r="B593" s="13" t="n">
        <v>41</v>
      </c>
      <c r="C593" s="14">
        <f>INDEX('부작 목록'!$C$2:$C$66,B593)</f>
        <v/>
      </c>
      <c r="D593" s="14" t="inlineStr">
        <is>
          <t>E 빅토르 안전가옥 세션</t>
        </is>
      </c>
      <c r="E593" s="13" t="n">
        <v>11222</v>
      </c>
      <c r="F593" s="13" t="n">
        <v>8</v>
      </c>
      <c r="G593" s="15" t="inlineStr">
        <is>
          <t>알바로가 '남편' 요원의 반응에 대해 질문합니다.</t>
        </is>
      </c>
    </row>
    <row r="594" ht="15" customHeight="1" s="11">
      <c r="A594" s="13" t="n">
        <v>593</v>
      </c>
      <c r="B594" s="13" t="n">
        <v>41</v>
      </c>
      <c r="C594" s="14">
        <f>INDEX('부작 목록'!$C$2:$C$66,B594)</f>
        <v/>
      </c>
      <c r="D594" s="14" t="inlineStr">
        <is>
          <t>E 빅토르 안전가옥 세션</t>
        </is>
      </c>
      <c r="E594" s="13" t="n">
        <v>11232</v>
      </c>
      <c r="F594" s="13" t="n">
        <v>11</v>
      </c>
      <c r="G594" s="15" t="inlineStr">
        <is>
          <t>카를로스가 그녀의 현재 상황에 대해 구체적으로 묻습니다.</t>
        </is>
      </c>
    </row>
    <row r="595" ht="15" customHeight="1" s="11">
      <c r="A595" s="13" t="n">
        <v>594</v>
      </c>
      <c r="B595" s="13" t="n">
        <v>41</v>
      </c>
      <c r="C595" s="14">
        <f>INDEX('부작 목록'!$C$2:$C$66,B595)</f>
        <v/>
      </c>
      <c r="D595" s="14" t="inlineStr">
        <is>
          <t>E 빅토르 안전가옥 세션</t>
        </is>
      </c>
      <c r="E595" s="13" t="n">
        <v>11246</v>
      </c>
      <c r="F595" s="13" t="n">
        <v>11</v>
      </c>
      <c r="G595" s="15" t="inlineStr">
        <is>
          <t>알바로가 어떻게 접근할지 물으며, 세 사람이 신중한 전략을 논의합니다.</t>
        </is>
      </c>
    </row>
    <row r="596" ht="15" customHeight="1" s="11">
      <c r="A596" s="13" t="n">
        <v>595</v>
      </c>
      <c r="B596" s="13" t="n">
        <v>41</v>
      </c>
      <c r="C596" s="14">
        <f>INDEX('부작 목록'!$C$2:$C$66,B596)</f>
        <v/>
      </c>
      <c r="D596" s="14" t="inlineStr">
        <is>
          <t>E 빅토르 안전가옥 세션</t>
        </is>
      </c>
      <c r="E596" s="13" t="n">
        <v>11260</v>
      </c>
      <c r="F596" s="13" t="n">
        <v>9</v>
      </c>
      <c r="G596" s="15" t="inlineStr">
        <is>
          <t>카를로스가 그녀의 법적 지위에 대한 실무적 고민을 나눕니다.</t>
        </is>
      </c>
    </row>
    <row r="597" ht="15" customHeight="1" s="11">
      <c r="A597" s="13" t="n">
        <v>596</v>
      </c>
      <c r="B597" s="13" t="n">
        <v>41</v>
      </c>
      <c r="C597" s="14">
        <f>INDEX('부작 목록'!$C$2:$C$66,B597)</f>
        <v/>
      </c>
      <c r="D597" s="14" t="inlineStr">
        <is>
          <t>E 빅토르 안전가옥 세션</t>
        </is>
      </c>
      <c r="E597" s="13" t="n">
        <v>11271</v>
      </c>
      <c r="F597" s="13" t="n">
        <v>11</v>
      </c>
      <c r="G597" s="15" t="inlineStr">
        <is>
          <t>세션을 마무리하며, 알바로가 마지막으로 농담 섞인 질문을 던지고 빅토르가 응수합니다.</t>
        </is>
      </c>
    </row>
    <row r="598" ht="15" customHeight="1" s="11">
      <c r="A598" s="13" t="n">
        <v>597</v>
      </c>
      <c r="B598" s="13" t="n">
        <v>42</v>
      </c>
      <c r="C598" s="14">
        <f>INDEX('부작 목록'!$C$2:$C$66,B598)</f>
        <v/>
      </c>
      <c r="D598" s="14" t="inlineStr">
        <is>
          <t>E 빅토르 안전가옥 세션</t>
        </is>
      </c>
      <c r="E598" s="13" t="n">
        <v>11285</v>
      </c>
      <c r="F598" s="13" t="n">
        <v>13</v>
      </c>
      <c r="G598" s="15" t="inlineStr">
        <is>
          <t>다음 날, 안전가옥. 빅토르가 약속대로 진지한 톤으로 알시온 작전, 즉 로셀요의 기원 이야기를 시작합니다.</t>
        </is>
      </c>
    </row>
    <row r="599" ht="15" customHeight="1" s="11">
      <c r="A599" s="13" t="n">
        <v>598</v>
      </c>
      <c r="B599" s="13" t="n">
        <v>42</v>
      </c>
      <c r="C599" s="14">
        <f>INDEX('부작 목록'!$C$2:$C$66,B599)</f>
        <v/>
      </c>
      <c r="D599" s="14" t="inlineStr">
        <is>
          <t>E 빅토르 안전가옥 세션</t>
        </is>
      </c>
      <c r="E599" s="13" t="n">
        <v>11301</v>
      </c>
      <c r="F599" s="13" t="n">
        <v>10</v>
      </c>
      <c r="G599" s="15" t="inlineStr">
        <is>
          <t>알바로가 로셀요가 어떻게 실제로 포섭됐는지 질문합니다.</t>
        </is>
      </c>
    </row>
    <row r="600" ht="15" customHeight="1" s="11">
      <c r="A600" s="13" t="n">
        <v>599</v>
      </c>
      <c r="B600" s="13" t="n">
        <v>42</v>
      </c>
      <c r="C600" s="14">
        <f>INDEX('부작 목록'!$C$2:$C$66,B600)</f>
        <v/>
      </c>
      <c r="D600" s="14" t="inlineStr">
        <is>
          <t>E 빅토르 안전가옥 세션</t>
        </is>
      </c>
      <c r="E600" s="13" t="n">
        <v>11313</v>
      </c>
      <c r="F600" s="13" t="n">
        <v>12</v>
      </c>
      <c r="G600" s="15" t="inlineStr">
        <is>
          <t>카를로스가 다른 6명의 후보자들에게 무슨 일이 있었는지 묻습니다.</t>
        </is>
      </c>
    </row>
    <row r="601" ht="15" customHeight="1" s="11">
      <c r="A601" s="13" t="n">
        <v>600</v>
      </c>
      <c r="B601" s="13" t="n">
        <v>42</v>
      </c>
      <c r="C601" s="14">
        <f>INDEX('부작 목록'!$C$2:$C$66,B601)</f>
        <v/>
      </c>
      <c r="D601" s="14" t="inlineStr">
        <is>
          <t>E 빅토르 안전가옥 세션</t>
        </is>
      </c>
      <c r="E601" s="13" t="n">
        <v>11328</v>
      </c>
      <c r="F601" s="13" t="n">
        <v>10</v>
      </c>
      <c r="G601" s="15" t="inlineStr">
        <is>
          <t>카를로스가 '알시온 작전' 자체의 기술적 내용을 질문합니다.</t>
        </is>
      </c>
    </row>
    <row r="602" ht="15" customHeight="1" s="11">
      <c r="A602" s="13" t="n">
        <v>601</v>
      </c>
      <c r="B602" s="13" t="n">
        <v>42</v>
      </c>
      <c r="C602" s="14">
        <f>INDEX('부작 목록'!$C$2:$C$66,B602)</f>
        <v/>
      </c>
      <c r="D602" s="14" t="inlineStr">
        <is>
          <t>E 빅토르 안전가옥 세션</t>
        </is>
      </c>
      <c r="E602" s="13" t="n">
        <v>11341</v>
      </c>
      <c r="F602" s="13" t="n">
        <v>10</v>
      </c>
      <c r="G602" s="15" t="inlineStr">
        <is>
          <t>알바로가 '알시온'이라는 이름의 유래와 조직의 반응을 질문합니다.</t>
        </is>
      </c>
    </row>
    <row r="603" ht="15" customHeight="1" s="11">
      <c r="A603" s="13" t="n">
        <v>602</v>
      </c>
      <c r="B603" s="13" t="n">
        <v>42</v>
      </c>
      <c r="C603" s="14">
        <f>INDEX('부작 목록'!$C$2:$C$66,B603)</f>
        <v/>
      </c>
      <c r="D603" s="14" t="inlineStr">
        <is>
          <t>E 빅토르 안전가옥 세션</t>
        </is>
      </c>
      <c r="E603" s="13" t="n">
        <v>11353</v>
      </c>
      <c r="F603" s="13" t="n">
        <v>10</v>
      </c>
      <c r="G603" s="15" t="inlineStr">
        <is>
          <t>카를로스가 로셀요가 언제부터 조직의 통제를 벗어나기 시작했는지 캐묻습니다.</t>
        </is>
      </c>
    </row>
    <row r="604" ht="15" customHeight="1" s="11">
      <c r="A604" s="13" t="n">
        <v>603</v>
      </c>
      <c r="B604" s="13" t="n">
        <v>42</v>
      </c>
      <c r="C604" s="14">
        <f>INDEX('부작 목록'!$C$2:$C$66,B604)</f>
        <v/>
      </c>
      <c r="D604" s="14" t="inlineStr">
        <is>
          <t>E 빅토르 안전가옥 세션</t>
        </is>
      </c>
      <c r="E604" s="13" t="n">
        <v>11366</v>
      </c>
      <c r="F604" s="13" t="n">
        <v>10</v>
      </c>
      <c r="G604" s="15" t="inlineStr">
        <is>
          <t>알바로가 정보기관이 현재 로셀요를 어떻게 보는지 질문합니다.</t>
        </is>
      </c>
    </row>
    <row r="605" ht="15" customHeight="1" s="11">
      <c r="A605" s="13" t="n">
        <v>604</v>
      </c>
      <c r="B605" s="13" t="n">
        <v>42</v>
      </c>
      <c r="C605" s="14">
        <f>INDEX('부작 목록'!$C$2:$C$66,B605)</f>
        <v/>
      </c>
      <c r="D605" s="14" t="inlineStr">
        <is>
          <t>E 빅토르 안전가옥 세션</t>
        </is>
      </c>
      <c r="E605" s="13" t="n">
        <v>11379</v>
      </c>
      <c r="F605" s="13" t="n">
        <v>8</v>
      </c>
      <c r="G605" s="15" t="inlineStr">
        <is>
          <t>알바로가 로셀요와 직접 만찬을 가졌던 경험을 언급하며, 빅토르가 그 의미를 해석해줍니다.</t>
        </is>
      </c>
    </row>
    <row r="606" ht="15" customHeight="1" s="11">
      <c r="A606" s="13" t="n">
        <v>605</v>
      </c>
      <c r="B606" s="13" t="n">
        <v>42</v>
      </c>
      <c r="C606" s="14">
        <f>INDEX('부작 목록'!$C$2:$C$66,B606)</f>
        <v/>
      </c>
      <c r="D606" s="14" t="inlineStr">
        <is>
          <t>E 빅토르 안전가옥 세션</t>
        </is>
      </c>
      <c r="E606" s="13" t="n">
        <v>11389</v>
      </c>
      <c r="F606" s="13" t="n">
        <v>11</v>
      </c>
      <c r="G606" s="15" t="inlineStr">
        <is>
          <t>카를로스가 이 정보를 어떻게 전략적으로 활용할지 고민합니다.</t>
        </is>
      </c>
    </row>
    <row r="607" ht="15" customHeight="1" s="11">
      <c r="A607" s="13" t="n">
        <v>606</v>
      </c>
      <c r="B607" s="13" t="n">
        <v>42</v>
      </c>
      <c r="C607" s="14">
        <f>INDEX('부작 목록'!$C$2:$C$66,B607)</f>
        <v/>
      </c>
      <c r="D607" s="14" t="inlineStr">
        <is>
          <t>E 빅토르 안전가옥 세션</t>
        </is>
      </c>
      <c r="E607" s="13" t="n">
        <v>11403</v>
      </c>
      <c r="F607" s="13" t="n">
        <v>8</v>
      </c>
      <c r="G607" s="15" t="inlineStr">
        <is>
          <t>알바로가 로셀요를 인간적으로 어떻게 봐야 할지 성찰하며, 빅토르가 답합니다.</t>
        </is>
      </c>
    </row>
    <row r="608" ht="15" customHeight="1" s="11">
      <c r="A608" s="13" t="n">
        <v>607</v>
      </c>
      <c r="B608" s="13" t="n">
        <v>42</v>
      </c>
      <c r="C608" s="14">
        <f>INDEX('부작 목록'!$C$2:$C$66,B608)</f>
        <v/>
      </c>
      <c r="D608" s="14" t="inlineStr">
        <is>
          <t>E 빅토르 안전가옥 세션</t>
        </is>
      </c>
      <c r="E608" s="13" t="n">
        <v>11413</v>
      </c>
      <c r="F608" s="13" t="n">
        <v>10</v>
      </c>
      <c r="G608" s="15" t="inlineStr">
        <is>
          <t>세션을 마무리하며, 빅토르가 다음에 다룰 내용을 예고합니다.</t>
        </is>
      </c>
    </row>
    <row r="609" ht="15" customHeight="1" s="11">
      <c r="A609" s="13" t="n">
        <v>608</v>
      </c>
      <c r="B609" s="13" t="n">
        <v>42</v>
      </c>
      <c r="C609" s="14">
        <f>INDEX('부작 목록'!$C$2:$C$66,B609)</f>
        <v/>
      </c>
      <c r="D609" s="14" t="inlineStr">
        <is>
          <t>E 빅토르 안전가옥 세션</t>
        </is>
      </c>
      <c r="E609" s="13" t="n">
        <v>11425</v>
      </c>
      <c r="F609" s="13" t="n">
        <v>11</v>
      </c>
      <c r="G609" s="15" t="inlineStr">
        <is>
          <t>빅토르가 알시온 작전 관련 초기 문서를 제공하며, 카를로스가 그 가치를 확인합니다.</t>
        </is>
      </c>
    </row>
    <row r="610" ht="15" customHeight="1" s="11">
      <c r="A610" s="13" t="n">
        <v>609</v>
      </c>
      <c r="B610" s="13" t="n">
        <v>42</v>
      </c>
      <c r="C610" s="14">
        <f>INDEX('부작 목록'!$C$2:$C$66,B610)</f>
        <v/>
      </c>
      <c r="D610" s="14" t="inlineStr">
        <is>
          <t>E 빅토르 안전가옥 세션</t>
        </is>
      </c>
      <c r="E610" s="13" t="n">
        <v>11439</v>
      </c>
      <c r="F610" s="13" t="n">
        <v>7</v>
      </c>
      <c r="G610" s="15" t="inlineStr">
        <is>
          <t>방을 나서기 전, 알바로가 마지막으로 조용히 생각을 정리합니다.</t>
        </is>
      </c>
    </row>
    <row r="611" ht="15" customHeight="1" s="11">
      <c r="A611" s="13" t="n">
        <v>610</v>
      </c>
      <c r="B611" s="13" t="n">
        <v>42</v>
      </c>
      <c r="C611" s="14">
        <f>INDEX('부작 목록'!$C$2:$C$66,B611)</f>
        <v/>
      </c>
      <c r="D611" s="14" t="inlineStr">
        <is>
          <t>E 빅토르 안전가옥 세션</t>
        </is>
      </c>
      <c r="E611" s="13" t="n">
        <v>11448</v>
      </c>
      <c r="F611" s="13" t="n">
        <v>6</v>
      </c>
      <c r="G611" s="15" t="inlineStr">
        <is>
          <t>빅토르가 떠나기 전, 카를로스가 마지막으로 실무적인 확인 질문을 던집니다.</t>
        </is>
      </c>
    </row>
    <row r="612" ht="15" customHeight="1" s="11">
      <c r="A612" s="13" t="n">
        <v>611</v>
      </c>
      <c r="B612" s="13" t="n">
        <v>42</v>
      </c>
      <c r="C612" s="14">
        <f>INDEX('부작 목록'!$C$2:$C$66,B612)</f>
        <v/>
      </c>
      <c r="D612" s="14" t="inlineStr">
        <is>
          <t>E 빅토르 안전가옥 세션</t>
        </is>
      </c>
      <c r="E612" s="13" t="n">
        <v>11457</v>
      </c>
      <c r="F612" s="13" t="n">
        <v>4</v>
      </c>
      <c r="G612" s="15" t="inlineStr">
        <is>
          <t>빅토르가 문 앞에서 마지막으로 짧게 인사합니다.</t>
        </is>
      </c>
    </row>
    <row r="613" ht="15" customHeight="1" s="11">
      <c r="A613" s="13" t="n">
        <v>612</v>
      </c>
      <c r="B613" s="13" t="n">
        <v>42</v>
      </c>
      <c r="C613" s="14">
        <f>INDEX('부작 목록'!$C$2:$C$66,B613)</f>
        <v/>
      </c>
      <c r="D613" s="14" t="inlineStr">
        <is>
          <t>E 빅토르 안전가옥 세션</t>
        </is>
      </c>
      <c r="E613" s="13" t="n">
        <v>11463</v>
      </c>
      <c r="F613" s="13" t="n">
        <v>5</v>
      </c>
      <c r="G613" s="15" t="inlineStr">
        <is>
          <t>빅토르가 나간 뒤, 알바로와 카를로스가 짧게 남아 대화합니다.</t>
        </is>
      </c>
    </row>
    <row r="614" ht="15" customHeight="1" s="11">
      <c r="A614" s="13" t="n">
        <v>613</v>
      </c>
      <c r="B614" s="13" t="n">
        <v>42</v>
      </c>
      <c r="C614" s="14">
        <f>INDEX('부작 목록'!$C$2:$C$66,B614)</f>
        <v/>
      </c>
      <c r="D614" s="14" t="inlineStr">
        <is>
          <t>E 빅토르 안전가옥 세션</t>
        </is>
      </c>
      <c r="E614" s="13" t="n">
        <v>11470</v>
      </c>
      <c r="F614" s="13" t="n">
        <v>1</v>
      </c>
      <c r="G614" s="15" t="inlineStr">
        <is>
          <t>복도에서, 알바로가 마지막으로 혼잣말처럼 되뇝니다.</t>
        </is>
      </c>
    </row>
    <row r="615" ht="28.35" customHeight="1" s="11">
      <c r="A615" s="13" t="n">
        <v>614</v>
      </c>
      <c r="B615" s="13" t="n">
        <v>43</v>
      </c>
      <c r="C615" s="14">
        <f>INDEX('부작 목록'!$C$2:$C$66,B615)</f>
        <v/>
      </c>
      <c r="D615" s="14" t="inlineStr">
        <is>
          <t>E 빅토르 안전가옥 세션</t>
        </is>
      </c>
      <c r="E615" s="13" t="n">
        <v>11473</v>
      </c>
      <c r="F615" s="13" t="n">
        <v>8</v>
      </c>
      <c r="G615" s="15" t="inlineStr">
        <is>
          <t>다음 날, 세 사람의 세션이 재개됩니다. 빅토르가 '엘 아르키텍토 작전' — 로셀요 개인이 아니 라, 여러 후계자를 동시에 양성하려던 조직 차원의 프로그램 자체를 설명하기 시작합니다.</t>
        </is>
      </c>
    </row>
    <row r="616" ht="15" customHeight="1" s="11">
      <c r="A616" s="13" t="n">
        <v>615</v>
      </c>
      <c r="B616" s="13" t="n">
        <v>43</v>
      </c>
      <c r="C616" s="14">
        <f>INDEX('부작 목록'!$C$2:$C$66,B616)</f>
        <v/>
      </c>
      <c r="D616" s="14" t="inlineStr">
        <is>
          <t>E 빅토르 안전가옥 세션</t>
        </is>
      </c>
      <c r="E616" s="13" t="n">
        <v>11484</v>
      </c>
      <c r="F616" s="13" t="n">
        <v>9</v>
      </c>
      <c r="G616" s="15" t="inlineStr">
        <is>
          <t>카를로스가 후보 선발 기준을 질문하며, 빅토르가 당시의 반복적 관행을 회고합니다.</t>
        </is>
      </c>
    </row>
    <row r="617" ht="15" customHeight="1" s="11">
      <c r="A617" s="13" t="n">
        <v>616</v>
      </c>
      <c r="B617" s="13" t="n">
        <v>43</v>
      </c>
      <c r="C617" s="14">
        <f>INDEX('부작 목록'!$C$2:$C$66,B617)</f>
        <v/>
      </c>
      <c r="D617" s="14" t="inlineStr">
        <is>
          <t>E 빅토르 안전가옥 세션</t>
        </is>
      </c>
      <c r="E617" s="13" t="n">
        <v>11496</v>
      </c>
      <c r="F617" s="13" t="n">
        <v>8</v>
      </c>
      <c r="G617" s="15" t="inlineStr">
        <is>
          <t>알바로가 구체적인 낙오 사례를 묻고, 빅토르가 대과거 구문을 활용해 설명합니다.</t>
        </is>
      </c>
    </row>
    <row r="618" ht="15" customHeight="1" s="11">
      <c r="A618" s="13" t="n">
        <v>617</v>
      </c>
      <c r="B618" s="13" t="n">
        <v>43</v>
      </c>
      <c r="C618" s="14">
        <f>INDEX('부작 목록'!$C$2:$C$66,B618)</f>
        <v/>
      </c>
      <c r="D618" s="14" t="inlineStr">
        <is>
          <t>E 빅토르 안전가옥 세션</t>
        </is>
      </c>
      <c r="E618" s="13" t="n">
        <v>11506</v>
      </c>
      <c r="F618" s="13" t="n">
        <v>8</v>
      </c>
      <c r="G618" s="15" t="inlineStr">
        <is>
          <t>카를로스가 그 낙오자에 대한 반사실적 가정을 묻고, 빅토르가 si+대과거접속법+완료조건법으로 답합니다.</t>
        </is>
      </c>
    </row>
    <row r="619" ht="15" customHeight="1" s="11">
      <c r="A619" s="13" t="n">
        <v>618</v>
      </c>
      <c r="B619" s="13" t="n">
        <v>43</v>
      </c>
      <c r="C619" s="14">
        <f>INDEX('부작 목록'!$C$2:$C$66,B619)</f>
        <v/>
      </c>
      <c r="D619" s="14" t="inlineStr">
        <is>
          <t>E 빅토르 안전가옥 세션</t>
        </is>
      </c>
      <c r="E619" s="13" t="n">
        <v>11517</v>
      </c>
      <c r="F619" s="13" t="n">
        <v>8</v>
      </c>
      <c r="G619" s="15" t="inlineStr">
        <is>
          <t>알바로가 후보들의 평가 절차를 질문하고, 빅토르가 수동태 중심으로 절차를 설명합니다.</t>
        </is>
      </c>
    </row>
    <row r="620" ht="28.35" customHeight="1" s="11">
      <c r="A620" s="13" t="n">
        <v>619</v>
      </c>
      <c r="B620" s="13" t="n">
        <v>43</v>
      </c>
      <c r="C620" s="14">
        <f>INDEX('부작 목록'!$C$2:$C$66,B620)</f>
        <v/>
      </c>
      <c r="D620" s="14" t="inlineStr">
        <is>
          <t>E 빅토르 안전가옥 세션</t>
        </is>
      </c>
      <c r="E620" s="13" t="n">
        <v>11527</v>
      </c>
      <c r="F620" s="13" t="n">
        <v>8</v>
      </c>
      <c r="G620" s="15" t="inlineStr">
        <is>
          <t>카를로스가 훈련 중 후보들에게 주어진 구체적 규칙을 질문하고, 빅토르가 부정명령법으로 당시 지시사항을 재현합니다.</t>
        </is>
      </c>
    </row>
    <row r="621" ht="15" customHeight="1" s="11">
      <c r="A621" s="13" t="n">
        <v>620</v>
      </c>
      <c r="B621" s="13" t="n">
        <v>43</v>
      </c>
      <c r="C621" s="14">
        <f>INDEX('부작 목록'!$C$2:$C$66,B621)</f>
        <v/>
      </c>
      <c r="D621" s="14" t="inlineStr">
        <is>
          <t>E 빅토르 안전가옥 세션</t>
        </is>
      </c>
      <c r="E621" s="13" t="n">
        <v>11538</v>
      </c>
      <c r="F621" s="13" t="n">
        <v>8</v>
      </c>
      <c r="G621" s="15" t="inlineStr">
        <is>
          <t>알바로가 이 프로그램이 다시 시도될지 질문하고, 빅토르가 미래완료 시제로 예측합니다.</t>
        </is>
      </c>
    </row>
    <row r="622" ht="15" customHeight="1" s="11">
      <c r="A622" s="13" t="n">
        <v>621</v>
      </c>
      <c r="B622" s="13" t="n">
        <v>43</v>
      </c>
      <c r="C622" s="14">
        <f>INDEX('부작 목록'!$C$2:$C$66,B622)</f>
        <v/>
      </c>
      <c r="D622" s="14" t="inlineStr">
        <is>
          <t>E 빅토르 안전가옥 세션</t>
        </is>
      </c>
      <c r="E622" s="13" t="n">
        <v>11548</v>
      </c>
      <c r="F622" s="13" t="n">
        <v>9</v>
      </c>
      <c r="G622" s="15" t="inlineStr">
        <is>
          <t>카를로스가 이 예측에 대응하기 위한 즉각적 조치를 명령법으로 지시합니다.</t>
        </is>
      </c>
    </row>
    <row r="623" ht="15" customHeight="1" s="11">
      <c r="A623" s="13" t="n">
        <v>622</v>
      </c>
      <c r="B623" s="13" t="n">
        <v>43</v>
      </c>
      <c r="C623" s="14">
        <f>INDEX('부작 목록'!$C$2:$C$66,B623)</f>
        <v/>
      </c>
      <c r="D623" s="14" t="inlineStr">
        <is>
          <t>E 빅토르 안전가옥 세션</t>
        </is>
      </c>
      <c r="E623" s="13" t="n">
        <v>11560</v>
      </c>
      <c r="F623" s="13" t="n">
        <v>8</v>
      </c>
      <c r="G623" s="15" t="inlineStr">
        <is>
          <t>알바로가 빅토르에게 이 프로그램이 애초에 다르게 설계됐다면 어땠을지 묻습니다.</t>
        </is>
      </c>
    </row>
    <row r="624" ht="15" customHeight="1" s="11">
      <c r="A624" s="13" t="n">
        <v>623</v>
      </c>
      <c r="B624" s="13" t="n">
        <v>43</v>
      </c>
      <c r="C624" s="14">
        <f>INDEX('부작 목록'!$C$2:$C$66,B624)</f>
        <v/>
      </c>
      <c r="D624" s="14" t="inlineStr">
        <is>
          <t>E 빅토르 안전가옥 세션</t>
        </is>
      </c>
      <c r="E624" s="13" t="n">
        <v>11570</v>
      </c>
      <c r="F624" s="13" t="n">
        <v>8</v>
      </c>
      <c r="G624" s="15" t="inlineStr">
        <is>
          <t>카를로스가 향후 방어 전략을 논의하며, 접속법 현재를 활용한 목적·요청 구문이 자연스럽게 이 어집니다.</t>
        </is>
      </c>
    </row>
    <row r="625" ht="15" customHeight="1" s="11">
      <c r="A625" s="13" t="n">
        <v>624</v>
      </c>
      <c r="B625" s="13" t="n">
        <v>43</v>
      </c>
      <c r="C625" s="14">
        <f>INDEX('부작 목록'!$C$2:$C$66,B625)</f>
        <v/>
      </c>
      <c r="D625" s="14" t="inlineStr">
        <is>
          <t>E 빅토르 안전가옥 세션</t>
        </is>
      </c>
      <c r="E625" s="13" t="n">
        <v>11581</v>
      </c>
      <c r="F625" s="13" t="n">
        <v>8</v>
      </c>
      <c r="G625" s="15" t="inlineStr">
        <is>
          <t>알바로가 프로그램의 최종 결말을 질문하고, 빅토르가 단순과거 중심으로 사건을 서술합니다.</t>
        </is>
      </c>
    </row>
    <row r="626" ht="15" customHeight="1" s="11">
      <c r="A626" s="13" t="n">
        <v>625</v>
      </c>
      <c r="B626" s="13" t="n">
        <v>43</v>
      </c>
      <c r="C626" s="14">
        <f>INDEX('부작 목록'!$C$2:$C$66,B626)</f>
        <v/>
      </c>
      <c r="D626" s="14" t="inlineStr">
        <is>
          <t>E 빅토르 안전가옥 세션</t>
        </is>
      </c>
      <c r="E626" s="13" t="n">
        <v>11592</v>
      </c>
      <c r="F626" s="13" t="n">
        <v>8</v>
      </c>
      <c r="G626" s="15" t="inlineStr">
        <is>
          <t>카를로스가 최근 프로그램 재개 조짐이 있는지 질문하고, 빅토르가 현재완료로 답합니다.</t>
        </is>
      </c>
    </row>
    <row r="627" ht="15" customHeight="1" s="11">
      <c r="A627" s="13" t="n">
        <v>626</v>
      </c>
      <c r="B627" s="13" t="n">
        <v>43</v>
      </c>
      <c r="C627" s="14">
        <f>INDEX('부작 목록'!$C$2:$C$66,B627)</f>
        <v/>
      </c>
      <c r="D627" s="14" t="inlineStr">
        <is>
          <t>E 빅토르 안전가옥 세션</t>
        </is>
      </c>
      <c r="E627" s="13" t="n">
        <v>11602</v>
      </c>
      <c r="F627" s="13" t="n">
        <v>8</v>
      </c>
      <c r="G627" s="15" t="inlineStr">
        <is>
          <t>알바로가 만약 새로운 후계자가 확인된다면 어떻게 대응할지 조건법으로 질문합니다.</t>
        </is>
      </c>
    </row>
    <row r="628" ht="15" customHeight="1" s="11">
      <c r="A628" s="13" t="n">
        <v>627</v>
      </c>
      <c r="B628" s="13" t="n">
        <v>43</v>
      </c>
      <c r="C628" s="14">
        <f>INDEX('부작 목록'!$C$2:$C$66,B628)</f>
        <v/>
      </c>
      <c r="D628" s="14" t="inlineStr">
        <is>
          <t>E 빅토르 안전가옥 세션</t>
        </is>
      </c>
      <c r="E628" s="13" t="n">
        <v>11613</v>
      </c>
      <c r="F628" s="13" t="n">
        <v>8</v>
      </c>
      <c r="G628" s="15" t="inlineStr">
        <is>
          <t>세션을 마무리하며, 빅토르가 단순미래로 다음 내용을 예고합니다.</t>
        </is>
      </c>
    </row>
    <row r="629" ht="15" customHeight="1" s="11">
      <c r="A629" s="13" t="n">
        <v>628</v>
      </c>
      <c r="B629" s="13" t="n">
        <v>43</v>
      </c>
      <c r="C629" s="14">
        <f>INDEX('부작 목록'!$C$2:$C$66,B629)</f>
        <v/>
      </c>
      <c r="D629" s="14" t="inlineStr">
        <is>
          <t>E 빅토르 안전가옥 세션</t>
        </is>
      </c>
      <c r="E629" s="13" t="n">
        <v>11623</v>
      </c>
      <c r="F629" s="13" t="n">
        <v>8</v>
      </c>
      <c r="G629" s="15" t="inlineStr">
        <is>
          <t>빅토르가 마지막으로 프로그램 관련 자료를 건네며, 근접미래 표현으로 다음 절차를 안내합니 다.</t>
        </is>
      </c>
    </row>
    <row r="630" ht="15" customHeight="1" s="11">
      <c r="A630" s="13" t="n">
        <v>629</v>
      </c>
      <c r="B630" s="13" t="n">
        <v>43</v>
      </c>
      <c r="C630" s="14">
        <f>INDEX('부작 목록'!$C$2:$C$66,B630)</f>
        <v/>
      </c>
      <c r="D630" s="14" t="inlineStr">
        <is>
          <t>E 빅토르 안전가옥 세션</t>
        </is>
      </c>
      <c r="E630" s="13" t="n">
        <v>11634</v>
      </c>
      <c r="F630" s="13" t="n">
        <v>6</v>
      </c>
      <c r="G630" s="15" t="inlineStr">
        <is>
          <t>문을 나서기 전, 알바로가 마지막 질문을 던지며 접속법 불완료가 자연스럽게 등장합니다.</t>
        </is>
      </c>
    </row>
    <row r="631" ht="15" customHeight="1" s="11">
      <c r="A631" s="13" t="n">
        <v>630</v>
      </c>
      <c r="B631" s="13" t="n">
        <v>43</v>
      </c>
      <c r="C631" s="14">
        <f>INDEX('부작 목록'!$C$2:$C$66,B631)</f>
        <v/>
      </c>
      <c r="D631" s="14" t="inlineStr">
        <is>
          <t>E 빅토르 안전가옥 세션</t>
        </is>
      </c>
      <c r="E631" s="13" t="n">
        <v>11642</v>
      </c>
      <c r="F631" s="13" t="n">
        <v>2</v>
      </c>
      <c r="G631" s="15" t="inlineStr">
        <is>
          <t>빅토르가 방을 나서고, 알바로와 카를로스가 짧게 남습니다.</t>
        </is>
      </c>
    </row>
    <row r="632" ht="15" customHeight="1" s="11">
      <c r="A632" s="13" t="n">
        <v>631</v>
      </c>
      <c r="B632" s="13" t="n">
        <v>43</v>
      </c>
      <c r="C632" s="14">
        <f>INDEX('부작 목록'!$C$2:$C$66,B632)</f>
        <v/>
      </c>
      <c r="D632" s="14" t="inlineStr">
        <is>
          <t>E 빅토르 안전가옥 세션</t>
        </is>
      </c>
      <c r="E632" s="13" t="n">
        <v>11646</v>
      </c>
      <c r="F632" s="13" t="n">
        <v>8</v>
      </c>
      <c r="G632" s="15" t="inlineStr">
        <is>
          <t>카를로스가 문서로 받은 7명의 심리 프로파일을 훑어보며 추가 질문을 던집니다.</t>
        </is>
      </c>
    </row>
    <row r="633" ht="15" customHeight="1" s="11">
      <c r="A633" s="13" t="n">
        <v>632</v>
      </c>
      <c r="B633" s="13" t="n">
        <v>43</v>
      </c>
      <c r="C633" s="14">
        <f>INDEX('부작 목록'!$C$2:$C$66,B633)</f>
        <v/>
      </c>
      <c r="D633" s="14" t="inlineStr">
        <is>
          <t>E 빅토르 안전가옥 세션</t>
        </is>
      </c>
      <c r="E633" s="13" t="n">
        <v>11657</v>
      </c>
      <c r="F633" s="13" t="n">
        <v>1</v>
      </c>
      <c r="G633" s="15" t="inlineStr">
        <is>
          <t>알바로가 복도에서 조용히 생각을 정리하며 세션이 완전히 끝납니다.</t>
        </is>
      </c>
    </row>
    <row r="634" ht="15" customHeight="1" s="11">
      <c r="A634" s="13" t="n">
        <v>633</v>
      </c>
      <c r="B634" s="13" t="n">
        <v>43</v>
      </c>
      <c r="C634" s="14">
        <f>INDEX('부작 목록'!$C$2:$C$66,B634)</f>
        <v/>
      </c>
      <c r="D634" s="14" t="inlineStr">
        <is>
          <t>E 빅토르 안전가옥 세션</t>
        </is>
      </c>
      <c r="E634" s="13" t="n">
        <v>11660</v>
      </c>
      <c r="F634" s="13" t="n">
        <v>4</v>
      </c>
      <c r="G634" s="15" t="inlineStr">
        <is>
          <t>복도에서 우연히 다시 마주친 카를로스와 알바로가 마지막으로 짧게 대화합니다.</t>
        </is>
      </c>
    </row>
    <row r="635" ht="15" customHeight="1" s="11">
      <c r="A635" s="13" t="n">
        <v>634</v>
      </c>
      <c r="B635" s="13" t="n">
        <v>43</v>
      </c>
      <c r="C635" s="14">
        <f>INDEX('부작 목록'!$C$2:$C$66,B635)</f>
        <v/>
      </c>
      <c r="D635" s="14" t="inlineStr">
        <is>
          <t>E 빅토르 안전가옥 세션</t>
        </is>
      </c>
      <c r="E635" s="13" t="n">
        <v>11666</v>
      </c>
      <c r="F635" s="13" t="n">
        <v>1</v>
      </c>
      <c r="G635" s="15" t="inlineStr">
        <is>
          <t>알바로가 집에 도착해 짧게 혼잣말합니다.</t>
        </is>
      </c>
    </row>
    <row r="636" ht="15" customHeight="1" s="11">
      <c r="A636" s="13" t="n">
        <v>635</v>
      </c>
      <c r="B636" s="13" t="n">
        <v>43</v>
      </c>
      <c r="C636" s="14">
        <f>INDEX('부작 목록'!$C$2:$C$66,B636)</f>
        <v/>
      </c>
      <c r="D636" s="14" t="inlineStr">
        <is>
          <t>E 빅토르 안전가옥 세션</t>
        </is>
      </c>
      <c r="E636" s="13" t="n">
        <v>11669</v>
      </c>
      <c r="F636" s="13" t="n">
        <v>1</v>
      </c>
      <c r="G636" s="15" t="inlineStr">
        <is>
          <t>짧은 여운을 남기며 완전히 마무리합니다.</t>
        </is>
      </c>
    </row>
    <row r="637" ht="15" customHeight="1" s="11">
      <c r="A637" s="13" t="n">
        <v>636</v>
      </c>
      <c r="B637" s="13" t="n">
        <v>43</v>
      </c>
      <c r="C637" s="14">
        <f>INDEX('부작 목록'!$C$2:$C$66,B637)</f>
        <v/>
      </c>
      <c r="D637" s="14" t="inlineStr">
        <is>
          <t>E 빅토르 안전가옥 세션</t>
        </is>
      </c>
      <c r="E637" s="13" t="n">
        <v>11673</v>
      </c>
      <c r="F637" s="13" t="n">
        <v>1</v>
      </c>
      <c r="G637" s="15" t="inlineStr">
        <is>
          <t>완전한 마무리 한 줄.</t>
        </is>
      </c>
    </row>
    <row r="638" ht="15" customHeight="1" s="11">
      <c r="A638" s="13" t="n">
        <v>637</v>
      </c>
      <c r="B638" s="13" t="n">
        <v>43</v>
      </c>
      <c r="C638" s="14">
        <f>INDEX('부작 목록'!$C$2:$C$66,B638)</f>
        <v/>
      </c>
      <c r="D638" s="14" t="inlineStr">
        <is>
          <t>E 빅토르 안전가옥 세션</t>
        </is>
      </c>
      <c r="E638" s="13" t="n">
        <v>11676</v>
      </c>
      <c r="F638" s="13" t="n">
        <v>1</v>
      </c>
      <c r="G638" s="15" t="inlineStr">
        <is>
          <t>창밖을 보며 마지막 생각.</t>
        </is>
      </c>
    </row>
    <row r="639" ht="15" customHeight="1" s="11">
      <c r="A639" s="13" t="n">
        <v>638</v>
      </c>
      <c r="B639" s="13" t="n">
        <v>43</v>
      </c>
      <c r="C639" s="14">
        <f>INDEX('부작 목록'!$C$2:$C$66,B639)</f>
        <v/>
      </c>
      <c r="D639" s="14" t="inlineStr">
        <is>
          <t>E 빅토르 안전가옥 세션</t>
        </is>
      </c>
      <c r="E639" s="13" t="n">
        <v>11679</v>
      </c>
      <c r="F639" s="13" t="n">
        <v>10</v>
      </c>
      <c r="G639" s="15" t="inlineStr">
        <is>
          <t>같은 세션 중, 알바로가 로셀요의 개인적 습관에 대해 궁금해하며 빅토르에게 묻습니다.</t>
        </is>
      </c>
    </row>
    <row r="640" ht="15" customHeight="1" s="11">
      <c r="A640" s="13" t="n">
        <v>639</v>
      </c>
      <c r="B640" s="13" t="n">
        <v>43</v>
      </c>
      <c r="C640" s="14">
        <f>INDEX('부작 목록'!$C$2:$C$66,B640)</f>
        <v/>
      </c>
      <c r="D640" s="14" t="inlineStr">
        <is>
          <t>E 빅토르 안전가옥 세션</t>
        </is>
      </c>
      <c r="E640" s="13" t="n">
        <v>11691</v>
      </c>
      <c r="F640" s="13" t="n">
        <v>8</v>
      </c>
      <c r="G640" s="15" t="inlineStr">
        <is>
          <t>카를로스가 로셀요가 두려워하는 것이 있는지 질문합니다.</t>
        </is>
      </c>
    </row>
    <row r="641" ht="15" customHeight="1" s="11">
      <c r="A641" s="13" t="n">
        <v>640</v>
      </c>
      <c r="B641" s="13" t="n">
        <v>43</v>
      </c>
      <c r="C641" s="14">
        <f>INDEX('부작 목록'!$C$2:$C$66,B641)</f>
        <v/>
      </c>
      <c r="D641" s="14" t="inlineStr">
        <is>
          <t>E 빅토르 안전가옥 세션</t>
        </is>
      </c>
      <c r="E641" s="13" t="n">
        <v>11701</v>
      </c>
      <c r="F641" s="13" t="n">
        <v>11</v>
      </c>
      <c r="G641" s="15" t="inlineStr">
        <is>
          <t>알바로가 이전에 언급됐던 로셀요의 가족에 대해 더 구체적으로 묻습니다.</t>
        </is>
      </c>
    </row>
    <row r="642" ht="15" customHeight="1" s="11">
      <c r="A642" s="13" t="n">
        <v>641</v>
      </c>
      <c r="B642" s="13" t="n">
        <v>43</v>
      </c>
      <c r="C642" s="14">
        <f>INDEX('부작 목록'!$C$2:$C$66,B642)</f>
        <v/>
      </c>
      <c r="D642" s="14" t="inlineStr">
        <is>
          <t>E 빅토르 안전가옥 세션</t>
        </is>
      </c>
      <c r="E642" s="13" t="n">
        <v>11715</v>
      </c>
      <c r="F642" s="13" t="n">
        <v>6</v>
      </c>
      <c r="G642" s="15" t="inlineStr">
        <is>
          <t>카를로스가 이 개인적 정보를 전략적으로 활용할 수 있을지 질문합니다.</t>
        </is>
      </c>
    </row>
    <row r="643" ht="15" customHeight="1" s="11">
      <c r="A643" s="13" t="n">
        <v>642</v>
      </c>
      <c r="B643" s="13" t="n">
        <v>43</v>
      </c>
      <c r="C643" s="14">
        <f>INDEX('부작 목록'!$C$2:$C$66,B643)</f>
        <v/>
      </c>
      <c r="D643" s="14" t="inlineStr">
        <is>
          <t>E 빅토르 안전가옥 세션</t>
        </is>
      </c>
      <c r="E643" s="13" t="n">
        <v>11723</v>
      </c>
      <c r="F643" s="13" t="n">
        <v>8</v>
      </c>
      <c r="G643" s="15" t="inlineStr">
        <is>
          <t>알바로가 로셀요의 여가 시간에 대해 더 묻습니다.</t>
        </is>
      </c>
    </row>
    <row r="644" ht="15" customHeight="1" s="11">
      <c r="A644" s="13" t="n">
        <v>643</v>
      </c>
      <c r="B644" s="13" t="n">
        <v>43</v>
      </c>
      <c r="C644" s="14">
        <f>INDEX('부작 목록'!$C$2:$C$66,B644)</f>
        <v/>
      </c>
      <c r="D644" s="14" t="inlineStr">
        <is>
          <t>E 빅토르 안전가옥 세션</t>
        </is>
      </c>
      <c r="E644" s="13" t="n">
        <v>11734</v>
      </c>
      <c r="F644" s="13" t="n">
        <v>5</v>
      </c>
      <c r="G644" s="15" t="inlineStr">
        <is>
          <t>알바로가 마지막으로 이 모든 개인적 디테일이 자신에게 남긴 인상을 정리합니다.</t>
        </is>
      </c>
    </row>
    <row r="645" ht="15" customHeight="1" s="11">
      <c r="A645" s="13" t="n">
        <v>644</v>
      </c>
      <c r="B645" s="13" t="n">
        <v>43</v>
      </c>
      <c r="C645" s="14">
        <f>INDEX('부작 목록'!$C$2:$C$66,B645)</f>
        <v/>
      </c>
      <c r="D645" s="14" t="inlineStr">
        <is>
          <t>E 빅토르 안전가옥 세션</t>
        </is>
      </c>
      <c r="E645" s="13" t="n">
        <v>11741</v>
      </c>
      <c r="F645" s="13" t="n">
        <v>4</v>
      </c>
      <c r="G645" s="15" t="inlineStr">
        <is>
          <t>카를로스가 이 대화를 마무리하며 실무로 돌아가자고 제안합니다.</t>
        </is>
      </c>
    </row>
    <row r="646" ht="15" customHeight="1" s="11">
      <c r="A646" s="13" t="n">
        <v>645</v>
      </c>
      <c r="B646" s="13" t="n">
        <v>43</v>
      </c>
      <c r="C646" s="14">
        <f>INDEX('부작 목록'!$C$2:$C$66,B646)</f>
        <v/>
      </c>
      <c r="D646" s="14" t="inlineStr">
        <is>
          <t>E 빅토르 안전가옥 세션</t>
        </is>
      </c>
      <c r="E646" s="13" t="n">
        <v>11747</v>
      </c>
      <c r="F646" s="13" t="n">
        <v>1</v>
      </c>
      <c r="G646" s="15" t="inlineStr">
        <is>
          <t>알바로가 조용히 마지막 생각을 덧붙입니다.</t>
        </is>
      </c>
    </row>
    <row r="647" ht="15" customHeight="1" s="11">
      <c r="A647" s="13" t="n">
        <v>646</v>
      </c>
      <c r="B647" s="13" t="n">
        <v>43</v>
      </c>
      <c r="C647" s="14">
        <f>INDEX('부작 목록'!$C$2:$C$66,B647)</f>
        <v/>
      </c>
      <c r="D647" s="14" t="inlineStr">
        <is>
          <t>E 빅토르 안전가옥 세션</t>
        </is>
      </c>
      <c r="E647" s="13" t="n">
        <v>11750</v>
      </c>
      <c r="F647" s="13" t="n">
        <v>8</v>
      </c>
      <c r="G647" s="15" t="inlineStr">
        <is>
          <t>알바로가 엘 아르키텍토 프로그램이 정확히 어디서 실패했는지 근본적으로 질문합니다.</t>
        </is>
      </c>
    </row>
    <row r="648" ht="15" customHeight="1" s="11">
      <c r="A648" s="13" t="n">
        <v>647</v>
      </c>
      <c r="B648" s="13" t="n">
        <v>43</v>
      </c>
      <c r="C648" s="14">
        <f>INDEX('부작 목록'!$C$2:$C$66,B648)</f>
        <v/>
      </c>
      <c r="D648" s="14" t="inlineStr">
        <is>
          <t>E 빅토르 안전가옥 세션</t>
        </is>
      </c>
      <c r="E648" s="13" t="n">
        <v>11760</v>
      </c>
      <c r="F648" s="13" t="n">
        <v>8</v>
      </c>
      <c r="G648" s="15" t="inlineStr">
        <is>
          <t>카를로스가 성공 자체가 어떻게 실패의 원인이 됐는지 묻습니다.</t>
        </is>
      </c>
    </row>
    <row r="649" ht="15" customHeight="1" s="11">
      <c r="A649" s="13" t="n">
        <v>648</v>
      </c>
      <c r="B649" s="13" t="n">
        <v>43</v>
      </c>
      <c r="C649" s="14">
        <f>INDEX('부작 목록'!$C$2:$C$66,B649)</f>
        <v/>
      </c>
      <c r="D649" s="14" t="inlineStr">
        <is>
          <t>E 빅토르 안전가옥 세션</t>
        </is>
      </c>
      <c r="E649" s="13" t="n">
        <v>11771</v>
      </c>
      <c r="F649" s="13" t="n">
        <v>8</v>
      </c>
      <c r="G649" s="15" t="inlineStr">
        <is>
          <t>알바로가 로셀요를 어떻게 범주화해야 할지 존재론적으로 질문합니다.</t>
        </is>
      </c>
    </row>
    <row r="650" ht="15" customHeight="1" s="11">
      <c r="A650" s="13" t="n">
        <v>649</v>
      </c>
      <c r="B650" s="13" t="n">
        <v>43</v>
      </c>
      <c r="C650" s="14">
        <f>INDEX('부작 목록'!$C$2:$C$66,B650)</f>
        <v/>
      </c>
      <c r="D650" s="14" t="inlineStr">
        <is>
          <t>E 빅토르 안전가옥 세션</t>
        </is>
      </c>
      <c r="E650" s="13" t="n">
        <v>11781</v>
      </c>
      <c r="F650" s="13" t="n">
        <v>7</v>
      </c>
      <c r="G650" s="15" t="inlineStr">
        <is>
          <t>카를로스가 이 존재론적 분석을 실무적인 위협 평가로 전환합니다.</t>
        </is>
      </c>
    </row>
    <row r="651" ht="15" customHeight="1" s="11">
      <c r="A651" s="13" t="n">
        <v>650</v>
      </c>
      <c r="B651" s="13" t="n">
        <v>43</v>
      </c>
      <c r="C651" s="14">
        <f>INDEX('부작 목록'!$C$2:$C$66,B651)</f>
        <v/>
      </c>
      <c r="D651" s="14" t="inlineStr">
        <is>
          <t>E 빅토르 안전가옥 세션</t>
        </is>
      </c>
      <c r="E651" s="13" t="n">
        <v>11791</v>
      </c>
      <c r="F651" s="13" t="n">
        <v>8</v>
      </c>
      <c r="G651" s="15" t="inlineStr">
        <is>
          <t>알바로가 로셀요의 존재를 다른 역사적·자연적 현상에 비유하며 이해하려 시도합니다.</t>
        </is>
      </c>
    </row>
    <row r="652" ht="15" customHeight="1" s="11">
      <c r="A652" s="13" t="n">
        <v>651</v>
      </c>
      <c r="B652" s="13" t="n">
        <v>43</v>
      </c>
      <c r="C652" s="14">
        <f>INDEX('부작 목록'!$C$2:$C$66,B652)</f>
        <v/>
      </c>
      <c r="D652" s="14" t="inlineStr">
        <is>
          <t>E 빅토르 안전가옥 세션</t>
        </is>
      </c>
      <c r="E652" s="13" t="n">
        <v>11801</v>
      </c>
      <c r="F652" s="13" t="n">
        <v>8</v>
      </c>
      <c r="G652" s="15" t="inlineStr">
        <is>
          <t>세 사람이 이 논의를 종합하며 결론을 정리합니다.</t>
        </is>
      </c>
    </row>
    <row r="653" ht="15" customHeight="1" s="11">
      <c r="A653" s="13" t="n">
        <v>652</v>
      </c>
      <c r="B653" s="13" t="n">
        <v>43</v>
      </c>
      <c r="C653" s="14">
        <f>INDEX('부작 목록'!$C$2:$C$66,B653)</f>
        <v/>
      </c>
      <c r="D653" s="14" t="inlineStr">
        <is>
          <t>E 빅토르 안전가옥 세션</t>
        </is>
      </c>
      <c r="E653" s="13" t="n">
        <v>11812</v>
      </c>
      <c r="F653" s="13" t="n">
        <v>4</v>
      </c>
      <c r="G653" s="15" t="inlineStr">
        <is>
          <t>알바로가 방을 나서기 전, 이 모든 분석에 대한 개인적 소회를 남깁니다.</t>
        </is>
      </c>
    </row>
    <row r="654" ht="15" customHeight="1" s="11">
      <c r="A654" s="13" t="n">
        <v>653</v>
      </c>
      <c r="B654" s="13" t="n">
        <v>44</v>
      </c>
      <c r="C654" s="14">
        <f>INDEX('부작 목록'!$C$2:$C$66,B654)</f>
        <v/>
      </c>
      <c r="D654" s="14" t="inlineStr">
        <is>
          <t>E 빅토르 안전가옥 세션</t>
        </is>
      </c>
      <c r="E654" s="13" t="n">
        <v>11818</v>
      </c>
      <c r="F654" s="13" t="n">
        <v>32</v>
      </c>
      <c r="G654" s="15" t="inlineStr">
        <is>
          <t>다음 날, 세션이 재개됩니다. 빅토르가 예고한 대로 활성 작전인 '크리스탈 작전'부터 설명을 시 작합니다.</t>
        </is>
      </c>
    </row>
    <row r="655" ht="15" customHeight="1" s="11">
      <c r="A655" s="13" t="n">
        <v>654</v>
      </c>
      <c r="B655" s="13" t="n">
        <v>44</v>
      </c>
      <c r="C655" s="14">
        <f>INDEX('부작 목록'!$C$2:$C$66,B655)</f>
        <v/>
      </c>
      <c r="D655" s="14" t="inlineStr">
        <is>
          <t>E 빅토르 안전가옥 세션</t>
        </is>
      </c>
      <c r="E655" s="13" t="n">
        <v>11854</v>
      </c>
      <c r="F655" s="13" t="n">
        <v>20</v>
      </c>
      <c r="G655" s="15" t="inlineStr">
        <is>
          <t>카를로스가 빅토르를 더 몰아붙이며, 이 작전이 스페인에 구체적으로 어떤 위협이 되는지 캐묻 습니다.</t>
        </is>
      </c>
    </row>
    <row r="656" ht="28.35" customHeight="1" s="11">
      <c r="A656" s="13" t="n">
        <v>655</v>
      </c>
      <c r="B656" s="13" t="n">
        <v>44</v>
      </c>
      <c r="C656" s="14">
        <f>INDEX('부작 목록'!$C$2:$C$66,B656)</f>
        <v/>
      </c>
      <c r="D656" s="14" t="inlineStr">
        <is>
          <t>E 빅토르 안전가옥 세션</t>
        </is>
      </c>
      <c r="E656" s="13" t="n">
        <v>11877</v>
      </c>
      <c r="F656" s="13" t="n">
        <v>59</v>
      </c>
      <c r="G656" s="15" t="inlineStr">
        <is>
          <t>다음 세션. 빅토르가 남미 무기공급 작전, '코리엔테 수르'를 설명합니다. 이번 작전부터는 로셀 요가 아니라, 빅토르가 몸담았던 정보기관이 직접 스페인과 유럽에 피해를 주려는 목적으로 설 계한 작전임이 드러납니다.</t>
        </is>
      </c>
    </row>
    <row r="657" ht="28.35" customHeight="1" s="11">
      <c r="A657" s="13" t="n">
        <v>656</v>
      </c>
      <c r="B657" s="13" t="n">
        <v>44</v>
      </c>
      <c r="C657" s="14">
        <f>INDEX('부작 목록'!$C$2:$C$66,B657)</f>
        <v/>
      </c>
      <c r="D657" s="14" t="inlineStr">
        <is>
          <t>E 빅토르 안전가옥 세션</t>
        </is>
      </c>
      <c r="E657" s="13" t="n">
        <v>11941</v>
      </c>
      <c r="F657" s="13" t="n">
        <v>61</v>
      </c>
      <c r="G657" s="15" t="inlineStr">
        <is>
          <t>다음 세션. 빅토르가 '영원의 도서관 작전'을 설명합니다. 유럽 각국 고위 관료·법조인·언론인에 대한 약점 자료를 수십 년째 축적해온, 정보기관 직속의 콤프로마트 아카이브입니다.</t>
        </is>
      </c>
    </row>
    <row r="658" ht="15" customHeight="1" s="11">
      <c r="A658" s="13" t="n">
        <v>657</v>
      </c>
      <c r="B658" s="13" t="n">
        <v>45</v>
      </c>
      <c r="C658" s="14">
        <f>INDEX('부작 목록'!$C$2:$C$66,B658)</f>
        <v/>
      </c>
      <c r="D658" s="14" t="inlineStr">
        <is>
          <t>E 빅토르 안전가옥 세션</t>
        </is>
      </c>
      <c r="E658" s="13" t="n">
        <v>12008</v>
      </c>
      <c r="F658" s="13" t="n">
        <v>18</v>
      </c>
      <c r="G658" s="15" t="inlineStr">
        <is>
          <t>몇 주 후. 로셀요가 다시 알바로에게 전화를 걸어, 이번엔 카밀라와 함께 점심을 하자고 제안합 니다.</t>
        </is>
      </c>
    </row>
    <row r="659" ht="28.35" customHeight="1" s="11">
      <c r="A659" s="13" t="n">
        <v>658</v>
      </c>
      <c r="B659" s="13" t="n">
        <v>45</v>
      </c>
      <c r="C659" s="14">
        <f>INDEX('부작 목록'!$C$2:$C$66,B659)</f>
        <v/>
      </c>
      <c r="D659" s="14" t="inlineStr">
        <is>
          <t>E 빅토르 안전가옥 세션</t>
        </is>
      </c>
      <c r="E659" s="13" t="n">
        <v>12029</v>
      </c>
      <c r="F659" s="13" t="n">
        <v>40</v>
      </c>
      <c r="G659" s="15" t="inlineStr">
        <is>
          <t>다음 날, 마드리드의 조용한 식당. 알바로와 카밀라가 로셀요와 점심을 함께합니다. 그가 진짜 이유를 밝힙니다 — 자신을 이토록 끈질기게 몰아붙인 유일한 상대에 대한 경의입니다.</t>
        </is>
      </c>
    </row>
    <row r="660" ht="15" customHeight="1" s="11">
      <c r="A660" s="13" t="n">
        <v>659</v>
      </c>
      <c r="B660" s="13" t="n">
        <v>45</v>
      </c>
      <c r="C660" s="14">
        <f>INDEX('부작 목록'!$C$2:$C$66,B660)</f>
        <v/>
      </c>
      <c r="D660" s="14" t="inlineStr">
        <is>
          <t>E 빅토르 안전가옥 세션</t>
        </is>
      </c>
      <c r="E660" s="13" t="n">
        <v>12073</v>
      </c>
      <c r="F660" s="13" t="n">
        <v>47</v>
      </c>
      <c r="G660" s="15" t="inlineStr">
        <is>
          <t>음식이 나오는 동안, 로셀요가 마침내 본론을 꺼냅니다 — 세상을 다 줄 수 있다며, 2인자 자리 를 제안합니다.</t>
        </is>
      </c>
    </row>
    <row r="661" ht="28.35" customHeight="1" s="11">
      <c r="A661" s="13" t="n">
        <v>660</v>
      </c>
      <c r="B661" s="13" t="n">
        <v>45</v>
      </c>
      <c r="C661" s="14">
        <f>INDEX('부작 목록'!$C$2:$C$66,B661)</f>
        <v/>
      </c>
      <c r="D661" s="14" t="inlineStr">
        <is>
          <t>E 빅토르 안전가옥 세션</t>
        </is>
      </c>
      <c r="E661" s="13" t="n">
        <v>12125</v>
      </c>
      <c r="F661" s="13" t="n">
        <v>40</v>
      </c>
      <c r="G661" s="15" t="inlineStr">
        <is>
          <t>새로운 포맷 시범. 시간을 앞당겨, 훗날 로셀요가 검거되고 감금된 상황을 가정합니다. 면회실에 서 알바로가 최근 보도한 사프란 원산지 사기 사건('아사프라네스 델 캄포')을 화제로 꺼내며, 로 셀요의 전문가적 시각을 캐묻습니다.</t>
        </is>
      </c>
    </row>
    <row r="662" ht="28.35" customHeight="1" s="11">
      <c r="A662" s="13" t="n">
        <v>661</v>
      </c>
      <c r="B662" s="13" t="n">
        <v>46</v>
      </c>
      <c r="C662" s="14">
        <f>INDEX('부작 목록'!$C$2:$C$66,B662)</f>
        <v/>
      </c>
      <c r="D662" s="14" t="inlineStr">
        <is>
          <t>E 빅토르 안전가옥 세션</t>
        </is>
      </c>
      <c r="E662" s="13" t="n">
        <v>12169</v>
      </c>
      <c r="F662" s="13" t="n">
        <v>14</v>
      </c>
      <c r="G662" s="15" t="inlineStr">
        <is>
          <t>세션이 재개됩니다. 빅토르가 '둠루프 작전'을 설명하기 시작합니다. 이번에도 로셀요가 아니라 빅토르의 옛 조직이 직접 스페인을 겨냥한 작전입니다.</t>
        </is>
      </c>
    </row>
    <row r="663" ht="15" customHeight="1" s="11">
      <c r="A663" s="13" t="n">
        <v>662</v>
      </c>
      <c r="B663" s="13" t="n">
        <v>46</v>
      </c>
      <c r="C663" s="14">
        <f>INDEX('부작 목록'!$C$2:$C$66,B663)</f>
        <v/>
      </c>
      <c r="D663" s="14" t="inlineStr">
        <is>
          <t>E 빅토르 안전가옥 세션</t>
        </is>
      </c>
      <c r="E663" s="13" t="n">
        <v>12185</v>
      </c>
      <c r="F663" s="13" t="n">
        <v>12</v>
      </c>
      <c r="G663" s="15" t="inlineStr">
        <is>
          <t>카를로스가 이 작전이 이전 반코 데 에스파냐 사건과 연결되는지 질문합니다.</t>
        </is>
      </c>
    </row>
    <row r="664" ht="15" customHeight="1" s="11">
      <c r="A664" s="13" t="n">
        <v>663</v>
      </c>
      <c r="B664" s="13" t="n">
        <v>46</v>
      </c>
      <c r="C664" s="14">
        <f>INDEX('부작 목록'!$C$2:$C$66,B664)</f>
        <v/>
      </c>
      <c r="D664" s="14" t="inlineStr">
        <is>
          <t>E 빅토르 안전가옥 세션</t>
        </is>
      </c>
      <c r="E664" s="13" t="n">
        <v>12200</v>
      </c>
      <c r="F664" s="13" t="n">
        <v>12</v>
      </c>
      <c r="G664" s="15" t="inlineStr">
        <is>
          <t>알바로가 공황 유발의 구체적 기술적 메커니즘을 캐묻습니다.</t>
        </is>
      </c>
    </row>
    <row r="665" ht="15" customHeight="1" s="11">
      <c r="A665" s="13" t="n">
        <v>664</v>
      </c>
      <c r="B665" s="13" t="n">
        <v>46</v>
      </c>
      <c r="C665" s="14">
        <f>INDEX('부작 목록'!$C$2:$C$66,B665)</f>
        <v/>
      </c>
      <c r="D665" s="14" t="inlineStr">
        <is>
          <t>E 빅토르 안전가옥 세션</t>
        </is>
      </c>
      <c r="E665" s="13" t="n">
        <v>12215</v>
      </c>
      <c r="F665" s="13" t="n">
        <v>12</v>
      </c>
      <c r="G665" s="15" t="inlineStr">
        <is>
          <t>카를로스가 이 작전이 스페인 금융 시스템 전체에 미칠 위협을 캐묻습니다.</t>
        </is>
      </c>
    </row>
    <row r="666" ht="15" customHeight="1" s="11">
      <c r="A666" s="13" t="n">
        <v>665</v>
      </c>
      <c r="B666" s="13" t="n">
        <v>46</v>
      </c>
      <c r="C666" s="14">
        <f>INDEX('부작 목록'!$C$2:$C$66,B666)</f>
        <v/>
      </c>
      <c r="D666" s="14" t="inlineStr">
        <is>
          <t>E 빅토르 안전가옥 세션</t>
        </is>
      </c>
      <c r="E666" s="13" t="n">
        <v>12230</v>
      </c>
      <c r="F666" s="13" t="n">
        <v>12</v>
      </c>
      <c r="G666" s="15" t="inlineStr">
        <is>
          <t>카를로스가 즉각적인 대응 조치를 요구하며 긴박감이 고조됩니다.</t>
        </is>
      </c>
    </row>
    <row r="667" ht="15" customHeight="1" s="11">
      <c r="A667" s="13" t="n">
        <v>666</v>
      </c>
      <c r="B667" s="13" t="n">
        <v>46</v>
      </c>
      <c r="C667" s="14">
        <f>INDEX('부작 목록'!$C$2:$C$66,B667)</f>
        <v/>
      </c>
      <c r="D667" s="14" t="inlineStr">
        <is>
          <t>E 빅토르 안전가옥 세션</t>
        </is>
      </c>
      <c r="E667" s="13" t="n">
        <v>12244</v>
      </c>
      <c r="F667" s="13" t="n">
        <v>12</v>
      </c>
      <c r="G667" s="15" t="inlineStr">
        <is>
          <t>알바로가 최종 인수 단계에서 사용될 위장 매수자 구조에 대해 캐묻습니다.</t>
        </is>
      </c>
    </row>
    <row r="668" ht="15" customHeight="1" s="11">
      <c r="A668" s="13" t="n">
        <v>667</v>
      </c>
      <c r="B668" s="13" t="n">
        <v>46</v>
      </c>
      <c r="C668" s="14">
        <f>INDEX('부작 목록'!$C$2:$C$66,B668)</f>
        <v/>
      </c>
      <c r="D668" s="14" t="inlineStr">
        <is>
          <t>E 빅토르 안전가옥 세션</t>
        </is>
      </c>
      <c r="E668" s="13" t="n">
        <v>12258</v>
      </c>
      <c r="F668" s="13" t="n">
        <v>10</v>
      </c>
      <c r="G668" s="15" t="inlineStr">
        <is>
          <t>카를로스가 카밀라를 이번 작전 분석에 투입하기로 결정합니다.</t>
        </is>
      </c>
    </row>
    <row r="669" ht="15" customHeight="1" s="11">
      <c r="A669" s="13" t="n">
        <v>668</v>
      </c>
      <c r="B669" s="13" t="n">
        <v>46</v>
      </c>
      <c r="C669" s="14">
        <f>INDEX('부작 목록'!$C$2:$C$66,B669)</f>
        <v/>
      </c>
      <c r="D669" s="14" t="inlineStr">
        <is>
          <t>E 빅토르 안전가옥 세션</t>
        </is>
      </c>
      <c r="E669" s="13" t="n">
        <v>12271</v>
      </c>
      <c r="F669" s="13" t="n">
        <v>13</v>
      </c>
      <c r="G669" s="15" t="inlineStr">
        <is>
          <t>세션을 마무리하며, 빅토르가 문서를 건네고 다음 단계를 정리합니다.</t>
        </is>
      </c>
    </row>
    <row r="670" ht="15" customHeight="1" s="11">
      <c r="A670" s="13" t="n">
        <v>669</v>
      </c>
      <c r="B670" s="13" t="n">
        <v>46</v>
      </c>
      <c r="C670" s="14">
        <f>INDEX('부작 목록'!$C$2:$C$66,B670)</f>
        <v/>
      </c>
      <c r="D670" s="14" t="inlineStr">
        <is>
          <t>E 빅토르 안전가옥 세션</t>
        </is>
      </c>
      <c r="E670" s="13" t="n">
        <v>12287</v>
      </c>
      <c r="F670" s="13" t="n">
        <v>12</v>
      </c>
      <c r="G670" s="15" t="inlineStr">
        <is>
          <t>며칠 후, 카를로스가 은행 감독 개입의 초기 결과를 전합니다.</t>
        </is>
      </c>
    </row>
    <row r="671" ht="15" customHeight="1" s="11">
      <c r="A671" s="13" t="n">
        <v>670</v>
      </c>
      <c r="B671" s="13" t="n">
        <v>46</v>
      </c>
      <c r="C671" s="14">
        <f>INDEX('부작 목록'!$C$2:$C$66,B671)</f>
        <v/>
      </c>
      <c r="D671" s="14" t="inlineStr">
        <is>
          <t>E 빅토르 안전가옥 세션</t>
        </is>
      </c>
      <c r="E671" s="13" t="n">
        <v>12301</v>
      </c>
      <c r="F671" s="13" t="n">
        <v>13</v>
      </c>
      <c r="G671" s="15" t="inlineStr">
        <is>
          <t>카밀라가 메리디안 캐피털 구조 분석 결과를 갖고 세션에 합류합니다.</t>
        </is>
      </c>
    </row>
    <row r="672" ht="41.75" customHeight="1" s="11">
      <c r="A672" s="13" t="n">
        <v>671</v>
      </c>
      <c r="B672" s="13" t="n">
        <v>47</v>
      </c>
      <c r="C672" s="14">
        <f>INDEX('부작 목록'!$C$2:$C$66,B672)</f>
        <v/>
      </c>
      <c r="D672" s="14" t="inlineStr">
        <is>
          <t>E 빅토르 안전가옥 세션</t>
        </is>
      </c>
      <c r="E672" s="13" t="n">
        <v>12316</v>
      </c>
      <c r="F672" s="13" t="n">
        <v>75</v>
      </c>
      <c r="G672" s="15" t="inlineStr">
        <is>
          <t>새로운 세션. 빅토르가 '미네르바 작전'을 소개합니다. 스페인 대학·국방연구소에 수십 년째 침투 해온 장기 첩보 프로그램이며, 이미 검거했다고 믿었던 원전 스파이 사건(엘레나 페레르)이 사 실 이 거대한 작전의 극히 일부에 불과했다는 충격적 사실이 드러납니다.</t>
        </is>
      </c>
    </row>
    <row r="673" ht="28.35" customHeight="1" s="11">
      <c r="A673" s="13" t="n">
        <v>672</v>
      </c>
      <c r="B673" s="13" t="n">
        <v>47</v>
      </c>
      <c r="C673" s="14">
        <f>INDEX('부작 목록'!$C$2:$C$66,B673)</f>
        <v/>
      </c>
      <c r="D673" s="14" t="inlineStr">
        <is>
          <t>E 빅토르 안전가옥 세션</t>
        </is>
      </c>
      <c r="E673" s="13" t="n">
        <v>12398</v>
      </c>
      <c r="F673" s="13" t="n">
        <v>121</v>
      </c>
      <c r="G673" s="15" t="inlineStr">
        <is>
          <t>짧은 휴식 후, 세션이 재개됩니다. 빅토르가 현재 활동 중인 요원들의 구체적 신원과, 이를 저지 하기 위한 대응 전략을 논의합니다.</t>
        </is>
      </c>
    </row>
    <row r="674" ht="28.35" customHeight="1" s="11">
      <c r="A674" s="13" t="n">
        <v>673</v>
      </c>
      <c r="B674" s="13" t="n">
        <v>48</v>
      </c>
      <c r="C674" s="14">
        <f>INDEX('부작 목록'!$C$2:$C$66,B674)</f>
        <v/>
      </c>
      <c r="D674" s="14" t="inlineStr">
        <is>
          <t>E 빅토르 안전가옥 세션</t>
        </is>
      </c>
      <c r="E674" s="13" t="n">
        <v>12528</v>
      </c>
      <c r="F674" s="13" t="n">
        <v>45</v>
      </c>
      <c r="G674" s="15" t="inlineStr">
        <is>
          <t>새로운 세션. 빅토르가 마침내 '북방의 교향곡'의 전모를 밝힙니다. 1부에서 예고했던 의회 표결 시점 봇 계정 물결이 바로 이 작전의 일부였다는 것이 확인됩니다.</t>
        </is>
      </c>
    </row>
    <row r="675" ht="28.35" customHeight="1" s="11">
      <c r="A675" s="13" t="n">
        <v>674</v>
      </c>
      <c r="B675" s="13" t="n">
        <v>48</v>
      </c>
      <c r="C675" s="14">
        <f>INDEX('부작 목록'!$C$2:$C$66,B675)</f>
        <v/>
      </c>
      <c r="D675" s="14" t="inlineStr">
        <is>
          <t>E 빅토르 안전가옥 세션</t>
        </is>
      </c>
      <c r="E675" s="13" t="n">
        <v>12578</v>
      </c>
      <c r="F675" s="13" t="n">
        <v>64</v>
      </c>
      <c r="G675" s="15" t="inlineStr">
        <is>
          <t>세션이 이어집니다. 카를로스가 대응 전략을 논의하며, 알바로가 언론계 관점에서 이 문제를 어 떻게 폭로할 수 있을지 고민합니다.</t>
        </is>
      </c>
    </row>
    <row r="676" ht="15" customHeight="1" s="11">
      <c r="A676" s="13" t="n">
        <v>675</v>
      </c>
      <c r="B676" s="13" t="n">
        <v>48</v>
      </c>
      <c r="C676" s="14">
        <f>INDEX('부작 목록'!$C$2:$C$66,B676)</f>
        <v/>
      </c>
      <c r="D676" s="14" t="inlineStr">
        <is>
          <t>E 빅토르 안전가옥 세션</t>
        </is>
      </c>
      <c r="E676" s="13" t="n">
        <v>12648</v>
      </c>
      <c r="F676" s="13" t="n">
        <v>54</v>
      </c>
      <c r="G676" s="15" t="inlineStr">
        <is>
          <t>며칠 후. 카밀라가 재단 자금 추적 결과를 가지고 세션에 합류하며, 결정적 진전을 보고합니다.</t>
        </is>
      </c>
    </row>
    <row r="677" ht="15" customHeight="1" s="11">
      <c r="A677" s="13" t="n">
        <v>676</v>
      </c>
      <c r="B677" s="13" t="n">
        <v>48</v>
      </c>
      <c r="C677" s="14">
        <f>INDEX('부작 목록'!$C$2:$C$66,B677)</f>
        <v/>
      </c>
      <c r="D677" s="14" t="inlineStr">
        <is>
          <t>E 빅토르 안전가옥 세션</t>
        </is>
      </c>
      <c r="E677" s="13" t="n">
        <v>12707</v>
      </c>
      <c r="F677" s="13" t="n">
        <v>8</v>
      </c>
      <c r="G677" s="15" t="inlineStr">
        <is>
          <t>그날 밤, 알바로가 카밀라에게 이번 작전의 무게에 대해 이야기하며 하루를 마무리합니다.</t>
        </is>
      </c>
    </row>
    <row r="678" ht="15" customHeight="1" s="11">
      <c r="A678" s="13" t="n">
        <v>677</v>
      </c>
      <c r="B678" s="13" t="n">
        <v>48</v>
      </c>
      <c r="C678" s="14">
        <f>INDEX('부작 목록'!$C$2:$C$66,B678)</f>
        <v/>
      </c>
      <c r="D678" s="14" t="inlineStr">
        <is>
          <t>E 빅토르 안전가옥 세션</t>
        </is>
      </c>
      <c r="E678" s="13" t="n">
        <v>12718</v>
      </c>
      <c r="F678" s="13" t="n">
        <v>11</v>
      </c>
      <c r="G678" s="15" t="inlineStr">
        <is>
          <t>며칠 후, 마르코스가 봇 계정 분석을 완성해 세션에 합류하며 결정적 수치를 제시합니다.</t>
        </is>
      </c>
    </row>
    <row r="679" ht="15" customHeight="1" s="11">
      <c r="A679" s="13" t="n">
        <v>678</v>
      </c>
      <c r="B679" s="13" t="n">
        <v>48</v>
      </c>
      <c r="C679" s="14">
        <f>INDEX('부작 목록'!$C$2:$C$66,B679)</f>
        <v/>
      </c>
      <c r="D679" s="14" t="inlineStr">
        <is>
          <t>E 빅토르 안전가옥 세션</t>
        </is>
      </c>
      <c r="E679" s="13" t="n">
        <v>12732</v>
      </c>
      <c r="F679" s="13" t="n">
        <v>9</v>
      </c>
      <c r="G679" s="15" t="inlineStr">
        <is>
          <t>세 사람과 카밀라, 마르코스가 다음 단계를 확정하며 이번 작전에 대한 세션을 마무리합니다.</t>
        </is>
      </c>
    </row>
    <row r="680" ht="28.35" customHeight="1" s="11">
      <c r="A680" s="13" t="n">
        <v>679</v>
      </c>
      <c r="B680" s="13" t="n">
        <v>49</v>
      </c>
      <c r="C680" s="14">
        <f>INDEX('부작 목록'!$C$2:$C$66,B680)</f>
        <v/>
      </c>
      <c r="D680" s="14" t="inlineStr">
        <is>
          <t>E 빅토르 안전가옥 세션</t>
        </is>
      </c>
      <c r="E680" s="13" t="n">
        <v>12743</v>
      </c>
      <c r="F680" s="13" t="n">
        <v>26</v>
      </c>
      <c r="G680" s="15" t="inlineStr">
        <is>
          <t>며칠 후, 새로운 세션. 빅토르가 약속대로 '바벨탑 작전'을 설명합니다 — 북방의 교향곡을 유럽 각국 언어로 동시에 복제한 국제 확장판입니다.</t>
        </is>
      </c>
    </row>
    <row r="681" ht="15" customHeight="1" s="11">
      <c r="A681" s="13" t="n">
        <v>680</v>
      </c>
      <c r="B681" s="13" t="n">
        <v>49</v>
      </c>
      <c r="C681" s="14">
        <f>INDEX('부작 목록'!$C$2:$C$66,B681)</f>
        <v/>
      </c>
      <c r="D681" s="14" t="inlineStr">
        <is>
          <t>E 빅토르 안전가옥 세션</t>
        </is>
      </c>
      <c r="E681" s="13" t="n">
        <v>12773</v>
      </c>
      <c r="F681" s="13" t="n">
        <v>27</v>
      </c>
      <c r="G681" s="15" t="inlineStr">
        <is>
          <t>카를로스가 중앙 조율팀의 구조와, 이를 저지하기 위한 유럽 차원의 공조 전략을 캐묻습니다.</t>
        </is>
      </c>
    </row>
    <row r="682" ht="15" customHeight="1" s="11">
      <c r="A682" s="13" t="n">
        <v>681</v>
      </c>
      <c r="B682" s="13" t="n">
        <v>49</v>
      </c>
      <c r="C682" s="14">
        <f>INDEX('부작 목록'!$C$2:$C$66,B682)</f>
        <v/>
      </c>
      <c r="D682" s="14" t="inlineStr">
        <is>
          <t>E 빅토르 안전가옥 세션</t>
        </is>
      </c>
      <c r="E682" s="13" t="n">
        <v>12804</v>
      </c>
      <c r="F682" s="13" t="n">
        <v>18</v>
      </c>
      <c r="G682" s="15" t="inlineStr">
        <is>
          <t>며칠 후, 알바로가 이니고와 연락해 프랑스·독일 언론인과의 접선을 시도합니다. 세션에서 그 결 과를 보고합니다.</t>
        </is>
      </c>
    </row>
    <row r="683" ht="15" customHeight="1" s="11">
      <c r="A683" s="13" t="n">
        <v>682</v>
      </c>
      <c r="B683" s="13" t="n">
        <v>49</v>
      </c>
      <c r="C683" s="14">
        <f>INDEX('부작 목록'!$C$2:$C$66,B683)</f>
        <v/>
      </c>
      <c r="D683" s="14" t="inlineStr">
        <is>
          <t>E 빅토르 안전가옥 세션</t>
        </is>
      </c>
      <c r="E683" s="13" t="n">
        <v>12825</v>
      </c>
      <c r="F683" s="13" t="n">
        <v>23</v>
      </c>
      <c r="G683" s="15" t="inlineStr">
        <is>
          <t>며칠 후, 알바로가 프랑스·독일 기자들과 이니고까지 포함한 화상회의를 진행합니다. 카를로스와 빅토르도 배석합니다.</t>
        </is>
      </c>
    </row>
    <row r="684" ht="15" customHeight="1" s="11">
      <c r="A684" s="13" t="n">
        <v>683</v>
      </c>
      <c r="B684" s="13" t="n">
        <v>49</v>
      </c>
      <c r="C684" s="14">
        <f>INDEX('부작 목록'!$C$2:$C$66,B684)</f>
        <v/>
      </c>
      <c r="D684" s="14" t="inlineStr">
        <is>
          <t>E 빅토르 안전가옥 세션</t>
        </is>
      </c>
      <c r="E684" s="13" t="n">
        <v>12851</v>
      </c>
      <c r="F684" s="13" t="n">
        <v>19</v>
      </c>
      <c r="G684" s="15" t="inlineStr">
        <is>
          <t>다음 세션. 빅토르가 폴란드와 발트해 국가들의 상황에 대해 더 자세히 설명하며, 그 지역의 특 수성을 짚습니다.</t>
        </is>
      </c>
    </row>
    <row r="685" ht="15" customHeight="1" s="11">
      <c r="A685" s="13" t="n">
        <v>684</v>
      </c>
      <c r="B685" s="13" t="n">
        <v>49</v>
      </c>
      <c r="C685" s="14">
        <f>INDEX('부작 목록'!$C$2:$C$66,B685)</f>
        <v/>
      </c>
      <c r="D685" s="14" t="inlineStr">
        <is>
          <t>E 빅토르 안전가옥 세션</t>
        </is>
      </c>
      <c r="E685" s="13" t="n">
        <v>12873</v>
      </c>
      <c r="F685" s="13" t="n">
        <v>21</v>
      </c>
      <c r="G685" s="15" t="inlineStr">
        <is>
          <t>며칠 후, 카밀라가 발트해 지역 자금 흐름 분석 결과를 갖고 세션에 합류합니다.</t>
        </is>
      </c>
    </row>
    <row r="686" ht="15" customHeight="1" s="11">
      <c r="A686" s="13" t="n">
        <v>685</v>
      </c>
      <c r="B686" s="13" t="n">
        <v>49</v>
      </c>
      <c r="C686" s="14">
        <f>INDEX('부작 목록'!$C$2:$C$66,B686)</f>
        <v/>
      </c>
      <c r="D686" s="14" t="inlineStr">
        <is>
          <t>E 빅토르 안전가옥 세션</t>
        </is>
      </c>
      <c r="E686" s="13" t="n">
        <v>12898</v>
      </c>
      <c r="F686" s="13" t="n">
        <v>18</v>
      </c>
      <c r="G686" s="15" t="inlineStr">
        <is>
          <t>알바로가 클라우스와 직접 통화하며 독일 내 상황을 더 파악합니다.</t>
        </is>
      </c>
    </row>
    <row r="687" ht="15" customHeight="1" s="11">
      <c r="A687" s="13" t="n">
        <v>686</v>
      </c>
      <c r="B687" s="13" t="n">
        <v>49</v>
      </c>
      <c r="C687" s="14">
        <f>INDEX('부작 목록'!$C$2:$C$66,B687)</f>
        <v/>
      </c>
      <c r="D687" s="14" t="inlineStr">
        <is>
          <t>E 빅토르 안전가옥 세션</t>
        </is>
      </c>
      <c r="E687" s="13" t="n">
        <v>12919</v>
      </c>
      <c r="F687" s="13" t="n">
        <v>18</v>
      </c>
      <c r="G687" s="15" t="inlineStr">
        <is>
          <t>모든 진행 상황을 정리하는 세션. 세 사람과 카밀라가 지금까지의 국제 공조 상황을 종합합니 다.</t>
        </is>
      </c>
    </row>
    <row r="688" ht="15" customHeight="1" s="11">
      <c r="A688" s="13" t="n">
        <v>687</v>
      </c>
      <c r="B688" s="13" t="n">
        <v>49</v>
      </c>
      <c r="C688" s="14">
        <f>INDEX('부작 목록'!$C$2:$C$66,B688)</f>
        <v/>
      </c>
      <c r="D688" s="14" t="inlineStr">
        <is>
          <t>E 빅토르 안전가옥 세션</t>
        </is>
      </c>
      <c r="E688" s="13" t="n">
        <v>12940</v>
      </c>
      <c r="F688" s="13" t="n">
        <v>17</v>
      </c>
      <c r="G688" s="15" t="inlineStr">
        <is>
          <t>그날 밤, 알바로가 카밀라에게 이번 국제 공조에 대한 소회를 나눕니다.</t>
        </is>
      </c>
    </row>
    <row r="689" ht="15" customHeight="1" s="11">
      <c r="A689" s="13" t="n">
        <v>688</v>
      </c>
      <c r="B689" s="13" t="n">
        <v>49</v>
      </c>
      <c r="C689" s="14">
        <f>INDEX('부작 목록'!$C$2:$C$66,B689)</f>
        <v/>
      </c>
      <c r="D689" s="14" t="inlineStr">
        <is>
          <t>E 빅토르 안전가옥 세션</t>
        </is>
      </c>
      <c r="E689" s="13" t="n">
        <v>12960</v>
      </c>
      <c r="F689" s="13" t="n">
        <v>11</v>
      </c>
      <c r="G689" s="15" t="inlineStr">
        <is>
          <t>다음 날 아침, 세션 시작 전 카를로스와 빅토르가 짧게 대화합니다.</t>
        </is>
      </c>
    </row>
    <row r="690" ht="41.75" customHeight="1" s="11">
      <c r="A690" s="13" t="n">
        <v>689</v>
      </c>
      <c r="B690" s="13" t="n">
        <v>50</v>
      </c>
      <c r="C690" s="14">
        <f>INDEX('부작 목록'!$C$2:$C$66,B690)</f>
        <v/>
      </c>
      <c r="D690" s="14" t="inlineStr">
        <is>
          <t>E 빅토르 안전가옥 세션</t>
        </is>
      </c>
      <c r="E690" s="13" t="n">
        <v>12973</v>
      </c>
      <c r="F690" s="13" t="n">
        <v>18</v>
      </c>
      <c r="G690" s="15" t="inlineStr">
        <is>
          <t>새로운 세션. 빅토르가 '마레아 작전'을 설명합니다 — 북방의 교향곡과 바벨탑이 인프라라면, 마레아는 특정 선거를 겨냥해 그 인프라 전체를 가동시키는 실행 단계입니다. 특정 정당이나 후 보는 언급하지 않고, 기법 자체에 초점을 맞춥니다.</t>
        </is>
      </c>
    </row>
    <row r="691" ht="15" customHeight="1" s="11">
      <c r="A691" s="13" t="n">
        <v>690</v>
      </c>
      <c r="B691" s="13" t="n">
        <v>50</v>
      </c>
      <c r="C691" s="14">
        <f>INDEX('부작 목록'!$C$2:$C$66,B691)</f>
        <v/>
      </c>
      <c r="D691" s="14" t="inlineStr">
        <is>
          <t>E 빅토르 안전가옥 세션</t>
        </is>
      </c>
      <c r="E691" s="13" t="n">
        <v>12996</v>
      </c>
      <c r="F691" s="13" t="n">
        <v>19</v>
      </c>
      <c r="G691" s="15" t="inlineStr">
        <is>
          <t>카를로스가 마레아를 사전에 탐지하고 대응할 구체적 방법을 캐묻습니다.</t>
        </is>
      </c>
    </row>
    <row r="692" ht="15" customHeight="1" s="11">
      <c r="A692" s="13" t="n">
        <v>691</v>
      </c>
      <c r="B692" s="13" t="n">
        <v>50</v>
      </c>
      <c r="C692" s="14">
        <f>INDEX('부작 목록'!$C$2:$C$66,B692)</f>
        <v/>
      </c>
      <c r="D692" s="14" t="inlineStr">
        <is>
          <t>E 빅토르 안전가옥 세션</t>
        </is>
      </c>
      <c r="E692" s="13" t="n">
        <v>13018</v>
      </c>
      <c r="F692" s="13" t="n">
        <v>19</v>
      </c>
      <c r="G692" s="15" t="inlineStr">
        <is>
          <t>며칠 후, 마르코스가 조기 경보 시스템 구축 결과를 세션에 보고합니다.</t>
        </is>
      </c>
    </row>
    <row r="693" ht="28.35" customHeight="1" s="11">
      <c r="A693" s="13" t="n">
        <v>692</v>
      </c>
      <c r="B693" s="13" t="n">
        <v>50</v>
      </c>
      <c r="C693" s="14">
        <f>INDEX('부작 목록'!$C$2:$C$66,B693)</f>
        <v/>
      </c>
      <c r="D693" s="14" t="inlineStr">
        <is>
          <t>E 빅토르 안전가옥 세션</t>
        </is>
      </c>
      <c r="E693" s="13" t="n">
        <v>13040</v>
      </c>
      <c r="F693" s="13" t="n">
        <v>19</v>
      </c>
      <c r="G693" s="15" t="inlineStr">
        <is>
          <t>일주일 후, 모의 훈련(시뮬레이션)이 실시됩니다. 마르코스가 가상 활성화 신호를 발생시키고, 팀 전체가 실전처럼 대응합니다.</t>
        </is>
      </c>
    </row>
    <row r="694" ht="15" customHeight="1" s="11">
      <c r="A694" s="13" t="n">
        <v>693</v>
      </c>
      <c r="B694" s="13" t="n">
        <v>50</v>
      </c>
      <c r="C694" s="14">
        <f>INDEX('부작 목록'!$C$2:$C$66,B694)</f>
        <v/>
      </c>
      <c r="D694" s="14" t="inlineStr">
        <is>
          <t>E 빅토르 안전가옥 세션</t>
        </is>
      </c>
      <c r="E694" s="13" t="n">
        <v>13062</v>
      </c>
      <c r="F694" s="13" t="n">
        <v>18</v>
      </c>
      <c r="G694" s="15" t="inlineStr">
        <is>
          <t>카를로스가 중앙선거관리위원회 관계자와 사전 협의를 진행하며, 알바로가 배석합니다.</t>
        </is>
      </c>
    </row>
    <row r="695" ht="15" customHeight="1" s="11">
      <c r="A695" s="13" t="n">
        <v>694</v>
      </c>
      <c r="B695" s="13" t="n">
        <v>50</v>
      </c>
      <c r="C695" s="14">
        <f>INDEX('부작 목록'!$C$2:$C$66,B695)</f>
        <v/>
      </c>
      <c r="D695" s="14" t="inlineStr">
        <is>
          <t>E 빅토르 안전가옥 세션</t>
        </is>
      </c>
      <c r="E695" s="13" t="n">
        <v>13083</v>
      </c>
      <c r="F695" s="13" t="n">
        <v>18</v>
      </c>
      <c r="G695" s="15" t="inlineStr">
        <is>
          <t>몇 주 후, 마르코스의 조기경보 시스템이 처음으로 실제 이상 징후를 감지하며 긴장이 고조됩니 다.</t>
        </is>
      </c>
    </row>
    <row r="696" ht="15" customHeight="1" s="11">
      <c r="A696" s="13" t="n">
        <v>695</v>
      </c>
      <c r="B696" s="13" t="n">
        <v>50</v>
      </c>
      <c r="C696" s="14">
        <f>INDEX('부작 목록'!$C$2:$C$66,B696)</f>
        <v/>
      </c>
      <c r="D696" s="14" t="inlineStr">
        <is>
          <t>E 빅토르 안전가옥 세션</t>
        </is>
      </c>
      <c r="E696" s="13" t="n">
        <v>13104</v>
      </c>
      <c r="F696" s="13" t="n">
        <v>18</v>
      </c>
      <c r="G696" s="15" t="inlineStr">
        <is>
          <t>다음 날, 하비에르가 검증 결과를 갖고 세션에 합류하며, 초기 대응이 어떻게 진행됐는지 공유 합니다.</t>
        </is>
      </c>
    </row>
    <row r="697" ht="15" customHeight="1" s="11">
      <c r="A697" s="13" t="n">
        <v>696</v>
      </c>
      <c r="B697" s="13" t="n">
        <v>50</v>
      </c>
      <c r="C697" s="14">
        <f>INDEX('부작 목록'!$C$2:$C$66,B697)</f>
        <v/>
      </c>
      <c r="D697" s="14" t="inlineStr">
        <is>
          <t>E 빅토르 안전가옥 세션</t>
        </is>
      </c>
      <c r="E697" s="13" t="n">
        <v>13125</v>
      </c>
      <c r="F697" s="13" t="n">
        <v>17</v>
      </c>
      <c r="G697" s="15" t="inlineStr">
        <is>
          <t>며칠 후, 마르코스가 다른 플랫폼으로 옮겨간 새로운 활동을 확인하며 세션이 이어집니다.</t>
        </is>
      </c>
    </row>
    <row r="698" ht="15" customHeight="1" s="11">
      <c r="A698" s="13" t="n">
        <v>697</v>
      </c>
      <c r="B698" s="13" t="n">
        <v>50</v>
      </c>
      <c r="C698" s="14">
        <f>INDEX('부작 목록'!$C$2:$C$66,B698)</f>
        <v/>
      </c>
      <c r="D698" s="14" t="inlineStr">
        <is>
          <t>E 빅토르 안전가옥 세션</t>
        </is>
      </c>
      <c r="E698" s="13" t="n">
        <v>13145</v>
      </c>
      <c r="F698" s="13" t="n">
        <v>18</v>
      </c>
      <c r="G698" s="15" t="inlineStr">
        <is>
          <t>의회 표결 당일. 팀 전체가 실시간으로 상황을 모니터링하며 대응합니다.</t>
        </is>
      </c>
    </row>
    <row r="699" ht="15" customHeight="1" s="11">
      <c r="A699" s="13" t="n">
        <v>698</v>
      </c>
      <c r="B699" s="13" t="n">
        <v>50</v>
      </c>
      <c r="C699" s="14">
        <f>INDEX('부작 목록'!$C$2:$C$66,B699)</f>
        <v/>
      </c>
      <c r="D699" s="14" t="inlineStr">
        <is>
          <t>E 빅토르 안전가옥 세션</t>
        </is>
      </c>
      <c r="E699" s="13" t="n">
        <v>13166</v>
      </c>
      <c r="F699" s="13" t="n">
        <v>17</v>
      </c>
      <c r="G699" s="15" t="inlineStr">
        <is>
          <t>세션을 마무리하며, 카를로스가 이번 대응이 남긴 교훈과 앞으로의 방향을 정리합니다.</t>
        </is>
      </c>
    </row>
    <row r="700" ht="15" customHeight="1" s="11">
      <c r="A700" s="13" t="n">
        <v>699</v>
      </c>
      <c r="B700" s="13" t="n">
        <v>50</v>
      </c>
      <c r="C700" s="14">
        <f>INDEX('부작 목록'!$C$2:$C$66,B700)</f>
        <v/>
      </c>
      <c r="D700" s="14" t="inlineStr">
        <is>
          <t>E 빅토르 안전가옥 세션</t>
        </is>
      </c>
      <c r="E700" s="13" t="n">
        <v>13186</v>
      </c>
      <c r="F700" s="13" t="n">
        <v>19</v>
      </c>
      <c r="G700" s="15" t="inlineStr">
        <is>
          <t>그날 밤, 알바로가 카밀라에게 오늘 하루를 짧게 전합니다.</t>
        </is>
      </c>
    </row>
    <row r="701" ht="28.35" customHeight="1" s="11">
      <c r="A701" s="13" t="n">
        <v>700</v>
      </c>
      <c r="B701" s="13" t="n">
        <v>51</v>
      </c>
      <c r="C701" s="14">
        <f>INDEX('부작 목록'!$C$2:$C$66,B701)</f>
        <v/>
      </c>
      <c r="D701" s="14" t="inlineStr">
        <is>
          <t>E 빅토르 안전가옥 세션</t>
        </is>
      </c>
      <c r="E701" s="13" t="n">
        <v>13208</v>
      </c>
      <c r="F701" s="13" t="n">
        <v>25</v>
      </c>
      <c r="G701" s="15" t="inlineStr">
        <is>
          <t>새로운 세션. 빅토르가 '돈키호테 작전'을 밝히기 전, 유독 무거운 표정으로 망설입니다. 알바로 가 지금까지 겪었던 '아슬아슬한 추적'들이 사실은 의도된 기만이었다는 사실이 드러나기 시작 합니다.</t>
        </is>
      </c>
    </row>
    <row r="702" ht="15" customHeight="1" s="11">
      <c r="A702" s="13" t="n">
        <v>701</v>
      </c>
      <c r="B702" s="13" t="n">
        <v>51</v>
      </c>
      <c r="C702" s="14">
        <f>INDEX('부작 목록'!$C$2:$C$66,B702)</f>
        <v/>
      </c>
      <c r="D702" s="14" t="inlineStr">
        <is>
          <t>E 빅토르 안전가옥 세션</t>
        </is>
      </c>
      <c r="E702" s="13" t="n">
        <v>13237</v>
      </c>
      <c r="F702" s="13" t="n">
        <v>17</v>
      </c>
      <c r="G702" s="15" t="inlineStr">
        <is>
          <t>알바로가 충격에서 벗어나며, 이 모든 걸 어떻게 받아들여야 할지 정면으로 마주합니다.</t>
        </is>
      </c>
    </row>
    <row r="703" ht="15" customHeight="1" s="11">
      <c r="A703" s="13" t="n">
        <v>702</v>
      </c>
      <c r="B703" s="13" t="n">
        <v>51</v>
      </c>
      <c r="C703" s="14">
        <f>INDEX('부작 목록'!$C$2:$C$66,B703)</f>
        <v/>
      </c>
      <c r="D703" s="14" t="inlineStr">
        <is>
          <t>E 빅토르 안전가옥 세션</t>
        </is>
      </c>
      <c r="E703" s="13" t="n">
        <v>13257</v>
      </c>
      <c r="F703" s="13" t="n">
        <v>15</v>
      </c>
      <c r="G703" s="15" t="inlineStr">
        <is>
          <t>카를로스가 로셀요가 왜 이렇게까지 정교한 기만 작전을 벌이는지, 그 동기를 캐묻습니다.</t>
        </is>
      </c>
    </row>
    <row r="704" ht="15" customHeight="1" s="11">
      <c r="A704" s="13" t="n">
        <v>703</v>
      </c>
      <c r="B704" s="13" t="n">
        <v>51</v>
      </c>
      <c r="C704" s="14">
        <f>INDEX('부작 목록'!$C$2:$C$66,B704)</f>
        <v/>
      </c>
      <c r="D704" s="14" t="inlineStr">
        <is>
          <t>E 빅토르 안전가옥 세션</t>
        </is>
      </c>
      <c r="E704" s="13" t="n">
        <v>13275</v>
      </c>
      <c r="F704" s="13" t="n">
        <v>20</v>
      </c>
      <c r="G704" s="15" t="inlineStr">
        <is>
          <t>알바로가 그날 밤 카밀라에게 이 사실을 전하며, 그녀의 반응과 함께 재검증 작업이 시작됩니 다.</t>
        </is>
      </c>
    </row>
    <row r="705" ht="15" customHeight="1" s="11">
      <c r="A705" s="13" t="n">
        <v>704</v>
      </c>
      <c r="B705" s="13" t="n">
        <v>51</v>
      </c>
      <c r="C705" s="14">
        <f>INDEX('부작 목록'!$C$2:$C$66,B705)</f>
        <v/>
      </c>
      <c r="D705" s="14" t="inlineStr">
        <is>
          <t>E 빅토르 안전가옥 세션</t>
        </is>
      </c>
      <c r="E705" s="13" t="n">
        <v>13298</v>
      </c>
      <c r="F705" s="13" t="n">
        <v>17</v>
      </c>
      <c r="G705" s="15" t="inlineStr">
        <is>
          <t>다음 날, 알바로와 카밀라가 발견한 내용을 세션에서 보고하며, 앞으로의 검증 프로토콜을 논의 합니다.</t>
        </is>
      </c>
    </row>
    <row r="706" ht="15" customHeight="1" s="11">
      <c r="A706" s="13" t="n">
        <v>705</v>
      </c>
      <c r="B706" s="13" t="n">
        <v>51</v>
      </c>
      <c r="C706" s="14">
        <f>INDEX('부작 목록'!$C$2:$C$66,B706)</f>
        <v/>
      </c>
      <c r="D706" s="14" t="inlineStr">
        <is>
          <t>E 빅토르 안전가옥 세션</t>
        </is>
      </c>
      <c r="E706" s="13" t="n">
        <v>13318</v>
      </c>
      <c r="F706" s="13" t="n">
        <v>18</v>
      </c>
      <c r="G706" s="15" t="inlineStr">
        <is>
          <t>카를로스가 다른 과거 사건들도 재검토가 필요한지 하나씩 짚어봅니다.</t>
        </is>
      </c>
    </row>
    <row r="707" ht="15" customHeight="1" s="11">
      <c r="A707" s="13" t="n">
        <v>706</v>
      </c>
      <c r="B707" s="13" t="n">
        <v>51</v>
      </c>
      <c r="C707" s="14">
        <f>INDEX('부작 목록'!$C$2:$C$66,B707)</f>
        <v/>
      </c>
      <c r="D707" s="14" t="inlineStr">
        <is>
          <t>E 빅토르 안전가옥 세션</t>
        </is>
      </c>
      <c r="E707" s="13" t="n">
        <v>13339</v>
      </c>
      <c r="F707" s="13" t="n">
        <v>18</v>
      </c>
      <c r="G707" s="15" t="inlineStr">
        <is>
          <t>며칠 후, 마르코스가 누베 이베리카 사건을 재검토한 결과를 갖고 세션에 합류합니다.</t>
        </is>
      </c>
    </row>
    <row r="708" ht="15" customHeight="1" s="11">
      <c r="A708" s="13" t="n">
        <v>707</v>
      </c>
      <c r="B708" s="13" t="n">
        <v>51</v>
      </c>
      <c r="C708" s="14">
        <f>INDEX('부작 목록'!$C$2:$C$66,B708)</f>
        <v/>
      </c>
      <c r="D708" s="14" t="inlineStr">
        <is>
          <t>E 빅토르 안전가옥 세션</t>
        </is>
      </c>
      <c r="E708" s="13" t="n">
        <v>13360</v>
      </c>
      <c r="F708" s="13" t="n">
        <v>18</v>
      </c>
      <c r="G708" s="15" t="inlineStr">
        <is>
          <t>세션 후, 알바로가 카를로스와 단둘이 남아 이번 폭로가 자신에게 미친 개인적 영향을 이야기합 니다.</t>
        </is>
      </c>
    </row>
    <row r="709" ht="15" customHeight="1" s="11">
      <c r="A709" s="13" t="n">
        <v>708</v>
      </c>
      <c r="B709" s="13" t="n">
        <v>51</v>
      </c>
      <c r="C709" s="14">
        <f>INDEX('부작 목록'!$C$2:$C$66,B709)</f>
        <v/>
      </c>
      <c r="D709" s="14" t="inlineStr">
        <is>
          <t>E 빅토르 안전가옥 세션</t>
        </is>
      </c>
      <c r="E709" s="13" t="n">
        <v>13381</v>
      </c>
      <c r="F709" s="13" t="n">
        <v>17</v>
      </c>
      <c r="G709" s="15" t="inlineStr">
        <is>
          <t>며칠 후, 팀 전체가 다시 모여 돈키호테 작전에 대한 대응을 최종 정리하며 앞으로 나아갈 결의 를 다집니다.</t>
        </is>
      </c>
    </row>
    <row r="710" ht="15" customHeight="1" s="11">
      <c r="A710" s="13" t="n">
        <v>709</v>
      </c>
      <c r="B710" s="13" t="n">
        <v>51</v>
      </c>
      <c r="C710" s="14">
        <f>INDEX('부작 목록'!$C$2:$C$66,B710)</f>
        <v/>
      </c>
      <c r="D710" s="14" t="inlineStr">
        <is>
          <t>E 빅토르 안전가옥 세션</t>
        </is>
      </c>
      <c r="E710" s="13" t="n">
        <v>13401</v>
      </c>
      <c r="F710" s="13" t="n">
        <v>26</v>
      </c>
      <c r="G710" s="15" t="inlineStr">
        <is>
          <t>그날 밤, 알바로와 카밀라가 조용히 이번 폭로가 남긴 감정을 정리합니다.</t>
        </is>
      </c>
    </row>
    <row r="711" ht="28.35" customHeight="1" s="11">
      <c r="A711" s="13" t="n">
        <v>710</v>
      </c>
      <c r="B711" s="13" t="n">
        <v>52</v>
      </c>
      <c r="C711" s="14">
        <f>INDEX('부작 목록'!$C$2:$C$66,B711)</f>
        <v/>
      </c>
      <c r="D711" s="14" t="inlineStr">
        <is>
          <t>E 빅토르 안전가옥 세션</t>
        </is>
      </c>
      <c r="E711" s="13" t="n">
        <v>13430</v>
      </c>
      <c r="F711" s="13" t="n">
        <v>28</v>
      </c>
      <c r="G711" s="15" t="inlineStr">
        <is>
          <t>새로운 세션. 빅토르가 '자칼 작전'을 밝힙니다 — 위협이 되는 인물을 제거하는 전담팀이며, 그 리더는 다름 아닌 로셀요의 옛 담당관, 별명 '라 세르피엔테'입니다.</t>
        </is>
      </c>
    </row>
    <row r="712" ht="15" customHeight="1" s="11">
      <c r="A712" s="13" t="n">
        <v>711</v>
      </c>
      <c r="B712" s="13" t="n">
        <v>52</v>
      </c>
      <c r="C712" s="14">
        <f>INDEX('부작 목록'!$C$2:$C$66,B712)</f>
        <v/>
      </c>
      <c r="D712" s="14" t="inlineStr">
        <is>
          <t>E 빅토르 안전가옥 세션</t>
        </is>
      </c>
      <c r="E712" s="13" t="n">
        <v>13461</v>
      </c>
      <c r="F712" s="13" t="n">
        <v>17</v>
      </c>
      <c r="G712" s="15" t="inlineStr">
        <is>
          <t>알바로가 라 세르피엔테와 로셀요 사이의 관계에 대해 더 깊이 캐물으며, 니스에서의 협박도 재 해석됩니다.</t>
        </is>
      </c>
    </row>
    <row r="713" ht="15" customHeight="1" s="11">
      <c r="A713" s="13" t="n">
        <v>712</v>
      </c>
      <c r="B713" s="13" t="n">
        <v>52</v>
      </c>
      <c r="C713" s="14">
        <f>INDEX('부작 목록'!$C$2:$C$66,B713)</f>
        <v/>
      </c>
      <c r="D713" s="14" t="inlineStr">
        <is>
          <t>E 빅토르 안전가옥 세션</t>
        </is>
      </c>
      <c r="E713" s="13" t="n">
        <v>13481</v>
      </c>
      <c r="F713" s="13" t="n">
        <v>16</v>
      </c>
      <c r="G713" s="15" t="inlineStr">
        <is>
          <t>카를로스가 자칼 작전이 팀 전체, 특히 마르코스와 카밀라에게 미칠 수 있는 위협을 평가합니 다.</t>
        </is>
      </c>
    </row>
    <row r="714" ht="15" customHeight="1" s="11">
      <c r="A714" s="13" t="n">
        <v>713</v>
      </c>
      <c r="B714" s="13" t="n">
        <v>52</v>
      </c>
      <c r="C714" s="14">
        <f>INDEX('부작 목록'!$C$2:$C$66,B714)</f>
        <v/>
      </c>
      <c r="D714" s="14" t="inlineStr">
        <is>
          <t>E 빅토르 안전가옥 세션</t>
        </is>
      </c>
      <c r="E714" s="13" t="n">
        <v>13500</v>
      </c>
      <c r="F714" s="13" t="n">
        <v>16</v>
      </c>
      <c r="G714" s="15" t="inlineStr">
        <is>
          <t>알바로가 그날 밤 카밀라에게 자칼 작전에 대해 전하며, 그녀의 안전에 대해 진지하게 이야기합 니다.</t>
        </is>
      </c>
    </row>
    <row r="715" ht="15" customHeight="1" s="11">
      <c r="A715" s="13" t="n">
        <v>714</v>
      </c>
      <c r="B715" s="13" t="n">
        <v>52</v>
      </c>
      <c r="C715" s="14">
        <f>INDEX('부작 목록'!$C$2:$C$66,B715)</f>
        <v/>
      </c>
      <c r="D715" s="14" t="inlineStr">
        <is>
          <t>E 빅토르 안전가옥 세션</t>
        </is>
      </c>
      <c r="E715" s="13" t="n">
        <v>13519</v>
      </c>
      <c r="F715" s="13" t="n">
        <v>21</v>
      </c>
      <c r="G715" s="15" t="inlineStr">
        <is>
          <t>다음 날, 알바로가 도밍고와 안셀모에게 전화해 상황을 알리고 보호 조치를 안내합니다.</t>
        </is>
      </c>
    </row>
    <row r="716" ht="15" customHeight="1" s="11">
      <c r="A716" s="13" t="n">
        <v>715</v>
      </c>
      <c r="B716" s="13" t="n">
        <v>52</v>
      </c>
      <c r="C716" s="14">
        <f>INDEX('부작 목록'!$C$2:$C$66,B716)</f>
        <v/>
      </c>
      <c r="D716" s="14" t="inlineStr">
        <is>
          <t>E 빅토르 안전가옥 세션</t>
        </is>
      </c>
      <c r="E716" s="13" t="n">
        <v>13543</v>
      </c>
      <c r="F716" s="13" t="n">
        <v>17</v>
      </c>
      <c r="G716" s="15" t="inlineStr">
        <is>
          <t>며칠 후, 알바로가 스스로 미행당하는 느낌을 받으며 긴장이 고조됩니다.</t>
        </is>
      </c>
    </row>
    <row r="717" ht="15" customHeight="1" s="11">
      <c r="A717" s="13" t="n">
        <v>716</v>
      </c>
      <c r="B717" s="13" t="n">
        <v>52</v>
      </c>
      <c r="C717" s="14">
        <f>INDEX('부작 목록'!$C$2:$C$66,B717)</f>
        <v/>
      </c>
      <c r="D717" s="14" t="inlineStr">
        <is>
          <t>E 빅토르 안전가옥 세션</t>
        </is>
      </c>
      <c r="E717" s="13" t="n">
        <v>13563</v>
      </c>
      <c r="F717" s="13" t="n">
        <v>16</v>
      </c>
      <c r="G717" s="15" t="inlineStr">
        <is>
          <t>안전가옥에서, 빅토르가 이 미행 사건을 분석하며 자칼의 정찰 단계임을 확인합니다.</t>
        </is>
      </c>
    </row>
    <row r="718" ht="15" customHeight="1" s="11">
      <c r="A718" s="13" t="n">
        <v>717</v>
      </c>
      <c r="B718" s="13" t="n">
        <v>52</v>
      </c>
      <c r="C718" s="14">
        <f>INDEX('부작 목록'!$C$2:$C$66,B718)</f>
        <v/>
      </c>
      <c r="D718" s="14" t="inlineStr">
        <is>
          <t>E 빅토르 안전가옥 세션</t>
        </is>
      </c>
      <c r="E718" s="13" t="n">
        <v>13582</v>
      </c>
      <c r="F718" s="13" t="n">
        <v>17</v>
      </c>
      <c r="G718" s="15" t="inlineStr">
        <is>
          <t>카를로스가 자칼 팀 자체를 역으로 추적할 방법을 논의합니다.</t>
        </is>
      </c>
    </row>
    <row r="719" ht="15" customHeight="1" s="11">
      <c r="A719" s="13" t="n">
        <v>718</v>
      </c>
      <c r="B719" s="13" t="n">
        <v>52</v>
      </c>
      <c r="C719" s="14">
        <f>INDEX('부작 목록'!$C$2:$C$66,B719)</f>
        <v/>
      </c>
      <c r="D719" s="14" t="inlineStr">
        <is>
          <t>E 빅토르 안전가옥 세션</t>
        </is>
      </c>
      <c r="E719" s="13" t="n">
        <v>13602</v>
      </c>
      <c r="F719" s="13" t="n">
        <v>15</v>
      </c>
      <c r="G719" s="15" t="inlineStr">
        <is>
          <t>며칠 후, 역정찰 팀이 첫 결과를 보고하며 세션이 재개됩니다.</t>
        </is>
      </c>
    </row>
    <row r="720" ht="15" customHeight="1" s="11">
      <c r="A720" s="13" t="n">
        <v>719</v>
      </c>
      <c r="B720" s="13" t="n">
        <v>52</v>
      </c>
      <c r="C720" s="14">
        <f>INDEX('부작 목록'!$C$2:$C$66,B720)</f>
        <v/>
      </c>
      <c r="D720" s="14" t="inlineStr">
        <is>
          <t>E 빅토르 안전가옥 세션</t>
        </is>
      </c>
      <c r="E720" s="13" t="n">
        <v>13620</v>
      </c>
      <c r="F720" s="13" t="n">
        <v>11</v>
      </c>
      <c r="G720" s="15" t="inlineStr">
        <is>
          <t>세션을 마무리하며, 팀이 앞으로의 경계 태세를 다집니다.</t>
        </is>
      </c>
    </row>
    <row r="721" ht="15" customHeight="1" s="11">
      <c r="A721" s="13" t="n">
        <v>720</v>
      </c>
      <c r="B721" s="13" t="n">
        <v>52</v>
      </c>
      <c r="C721" s="14">
        <f>INDEX('부작 목록'!$C$2:$C$66,B721)</f>
        <v/>
      </c>
      <c r="D721" s="14" t="inlineStr">
        <is>
          <t>E 빅토르 안전가옥 세션</t>
        </is>
      </c>
      <c r="E721" s="13" t="n">
        <v>13634</v>
      </c>
      <c r="F721" s="13" t="n">
        <v>16</v>
      </c>
      <c r="G721" s="15" t="inlineStr">
        <is>
          <t>그날 밤, 알바로와 카밀라가 새로운 경계 속에서도 서로에게 의지하며 하루를 마무리합니다.</t>
        </is>
      </c>
    </row>
    <row r="722" ht="41.75" customHeight="1" s="11">
      <c r="A722" s="13" t="n">
        <v>721</v>
      </c>
      <c r="B722" s="13" t="n">
        <v>53</v>
      </c>
      <c r="C722" s="14">
        <f>INDEX('부작 목록'!$C$2:$C$66,B722)</f>
        <v/>
      </c>
      <c r="D722" s="14" t="inlineStr">
        <is>
          <t>E 빅토르 안전가옥 세션</t>
        </is>
      </c>
      <c r="E722" s="13" t="n">
        <v>13653</v>
      </c>
      <c r="F722" s="13" t="n">
        <v>17</v>
      </c>
      <c r="G722" s="15" t="inlineStr">
        <is>
          <t>새로운 세션. 빅토르가 '파로 작전'을 소개합니다 — 아직 실행되지 않은, 문서로만 존재하는 계 획입니다. 스페인의 해상풍력 등 재생에너지 인프라 입찰에 위장 컨소시엄을 침투시켜, 장기적 으로 전력망 일부 통제권을 확보하려는 계획입니다.</t>
        </is>
      </c>
    </row>
    <row r="723" ht="15" customHeight="1" s="11">
      <c r="A723" s="13" t="n">
        <v>722</v>
      </c>
      <c r="B723" s="13" t="n">
        <v>53</v>
      </c>
      <c r="C723" s="14">
        <f>INDEX('부작 목록'!$C$2:$C$66,B723)</f>
        <v/>
      </c>
      <c r="D723" s="14" t="inlineStr">
        <is>
          <t>E 빅토르 안전가옥 세션</t>
        </is>
      </c>
      <c r="E723" s="13" t="n">
        <v>13673</v>
      </c>
      <c r="F723" s="13" t="n">
        <v>14</v>
      </c>
      <c r="G723" s="15" t="inlineStr">
        <is>
          <t>카를로스가 위장 컨소시엄의 구체적 구조를 캐묻습니다.</t>
        </is>
      </c>
    </row>
    <row r="724" ht="15" customHeight="1" s="11">
      <c r="A724" s="13" t="n">
        <v>723</v>
      </c>
      <c r="B724" s="13" t="n">
        <v>53</v>
      </c>
      <c r="C724" s="14">
        <f>INDEX('부작 목록'!$C$2:$C$66,B724)</f>
        <v/>
      </c>
      <c r="D724" s="14" t="inlineStr">
        <is>
          <t>E 빅토르 안전가옥 세션</t>
        </is>
      </c>
      <c r="E724" s="13" t="n">
        <v>13690</v>
      </c>
      <c r="F724" s="13" t="n">
        <v>18</v>
      </c>
      <c r="G724" s="15" t="inlineStr">
        <is>
          <t>카를로스가 아직 실행 전인 이 계획을 어떻게 저지할지 구체적으로 논의합니다.</t>
        </is>
      </c>
    </row>
    <row r="725" ht="15" customHeight="1" s="11">
      <c r="A725" s="13" t="n">
        <v>724</v>
      </c>
      <c r="B725" s="13" t="n">
        <v>53</v>
      </c>
      <c r="C725" s="14">
        <f>INDEX('부작 목록'!$C$2:$C$66,B725)</f>
        <v/>
      </c>
      <c r="D725" s="14" t="inlineStr">
        <is>
          <t>E 빅토르 안전가옥 세션</t>
        </is>
      </c>
      <c r="E725" s="13" t="n">
        <v>13711</v>
      </c>
      <c r="F725" s="13" t="n">
        <v>17</v>
      </c>
      <c r="G725" s="15" t="inlineStr">
        <is>
          <t>며칠 후, 카밀라가 더블린 펀드에 대한 초기 분석 결과를 세션에 보고합니다.</t>
        </is>
      </c>
    </row>
    <row r="726" ht="15" customHeight="1" s="11">
      <c r="A726" s="13" t="n">
        <v>725</v>
      </c>
      <c r="B726" s="13" t="n">
        <v>53</v>
      </c>
      <c r="C726" s="14">
        <f>INDEX('부작 목록'!$C$2:$C$66,B726)</f>
        <v/>
      </c>
      <c r="D726" s="14" t="inlineStr">
        <is>
          <t>E 빅토르 안전가옥 세션</t>
        </is>
      </c>
      <c r="E726" s="13" t="n">
        <v>13731</v>
      </c>
      <c r="F726" s="13" t="n">
        <v>15</v>
      </c>
      <c r="G726" s="15" t="inlineStr">
        <is>
          <t>며칠 후, 마르코스가 다른 유럽 국가에서의 유사 입찰 패턴을 발견하며 세션에 합류합니다.</t>
        </is>
      </c>
    </row>
    <row r="727" ht="15" customHeight="1" s="11">
      <c r="A727" s="13" t="n">
        <v>726</v>
      </c>
      <c r="B727" s="13" t="n">
        <v>53</v>
      </c>
      <c r="C727" s="14">
        <f>INDEX('부작 목록'!$C$2:$C$66,B727)</f>
        <v/>
      </c>
      <c r="D727" s="14" t="inlineStr">
        <is>
          <t>E 빅토르 안전가옥 세션</t>
        </is>
      </c>
      <c r="E727" s="13" t="n">
        <v>13749</v>
      </c>
      <c r="F727" s="13" t="n">
        <v>8</v>
      </c>
      <c r="G727" s="15" t="inlineStr">
        <is>
          <t>알바로가 환경부 담당 부서와의 접촉을 준비하며, 세션에서 접근 전략을 논의합니다.</t>
        </is>
      </c>
    </row>
    <row r="728" ht="15" customHeight="1" s="11">
      <c r="A728" s="13" t="n">
        <v>727</v>
      </c>
      <c r="B728" s="13" t="n">
        <v>53</v>
      </c>
      <c r="C728" s="14">
        <f>INDEX('부작 목록'!$C$2:$C$66,B728)</f>
        <v/>
      </c>
      <c r="D728" s="14" t="inlineStr">
        <is>
          <t>E 빅토르 안전가옥 세션</t>
        </is>
      </c>
      <c r="E728" s="13" t="n">
        <v>13759</v>
      </c>
      <c r="F728" s="13" t="n">
        <v>14</v>
      </c>
      <c r="G728" s="15" t="inlineStr">
        <is>
          <t>다음 날, 알바로가 부처 담당자와의 통화 결과를 세션에 보고합니다.</t>
        </is>
      </c>
    </row>
    <row r="729" ht="15" customHeight="1" s="11">
      <c r="A729" s="13" t="n">
        <v>728</v>
      </c>
      <c r="B729" s="13" t="n">
        <v>53</v>
      </c>
      <c r="C729" s="14">
        <f>INDEX('부작 목록'!$C$2:$C$66,B729)</f>
        <v/>
      </c>
      <c r="D729" s="14" t="inlineStr">
        <is>
          <t>E 빅토르 안전가옥 세션</t>
        </is>
      </c>
      <c r="E729" s="13" t="n">
        <v>13776</v>
      </c>
      <c r="F729" s="13" t="n">
        <v>17</v>
      </c>
      <c r="G729" s="17" t="inlineStr">
        <is>
          <t>2주 후, 카밀라가 완성된 분석 결과를 갖고 세션에 합류하며 결정적 증거를 제시합니다.</t>
        </is>
      </c>
    </row>
    <row r="730" ht="15" customHeight="1" s="11">
      <c r="A730" s="13" t="n">
        <v>729</v>
      </c>
      <c r="B730" s="13" t="n">
        <v>53</v>
      </c>
      <c r="C730" s="14">
        <f>INDEX('부작 목록'!$C$2:$C$66,B730)</f>
        <v/>
      </c>
      <c r="D730" s="14" t="inlineStr">
        <is>
          <t>E 빅토르 안전가옥 세션</t>
        </is>
      </c>
      <c r="E730" s="13" t="n">
        <v>13796</v>
      </c>
      <c r="F730" s="13" t="n">
        <v>17</v>
      </c>
      <c r="G730" s="15" t="inlineStr">
        <is>
          <t>며칠 후, 알바로와 카밀라가 베아트리스 솔라노와 공식 회의를 갖습니다.</t>
        </is>
      </c>
    </row>
    <row r="731" ht="15" customHeight="1" s="11">
      <c r="A731" s="13" t="n">
        <v>730</v>
      </c>
      <c r="B731" s="13" t="n">
        <v>53</v>
      </c>
      <c r="C731" s="14">
        <f>INDEX('부작 목록'!$C$2:$C$66,B731)</f>
        <v/>
      </c>
      <c r="D731" s="14" t="inlineStr">
        <is>
          <t>E 빅토르 안전가옥 세션</t>
        </is>
      </c>
      <c r="E731" s="13" t="n">
        <v>13816</v>
      </c>
      <c r="F731" s="13" t="n">
        <v>16</v>
      </c>
      <c r="G731" s="17" t="inlineStr">
        <is>
          <t>3주 후, 카를로스가 최종 결과를 세션에 보고합니다.</t>
        </is>
      </c>
    </row>
    <row r="732" ht="15" customHeight="1" s="11">
      <c r="A732" s="13" t="n">
        <v>731</v>
      </c>
      <c r="B732" s="13" t="n">
        <v>53</v>
      </c>
      <c r="C732" s="14">
        <f>INDEX('부작 목록'!$C$2:$C$66,B732)</f>
        <v/>
      </c>
      <c r="D732" s="14" t="inlineStr">
        <is>
          <t>E 빅토르 안전가옥 세션</t>
        </is>
      </c>
      <c r="E732" s="13" t="n">
        <v>13835</v>
      </c>
      <c r="F732" s="13" t="n">
        <v>7</v>
      </c>
      <c r="G732" s="15" t="inlineStr">
        <is>
          <t>며칠 후, 알바로가 베아트리스에게 감사 인사를 전하며 향후 협력 가능성을 열어둡니다.</t>
        </is>
      </c>
    </row>
    <row r="733" ht="15" customHeight="1" s="11">
      <c r="A733" s="13" t="n">
        <v>732</v>
      </c>
      <c r="B733" s="13" t="n">
        <v>53</v>
      </c>
      <c r="C733" s="14">
        <f>INDEX('부작 목록'!$C$2:$C$66,B733)</f>
        <v/>
      </c>
      <c r="D733" s="14" t="inlineStr">
        <is>
          <t>E 빅토르 안전가옥 세션</t>
        </is>
      </c>
      <c r="E733" s="13" t="n">
        <v>13844</v>
      </c>
      <c r="F733" s="13" t="n">
        <v>9</v>
      </c>
      <c r="G733" s="15" t="inlineStr">
        <is>
          <t>며칠 후, 마르코스가 포르투갈 쪽에서 얻은 추가 정보를 세션에 공유합니다.</t>
        </is>
      </c>
    </row>
    <row r="734" ht="15" customHeight="1" s="11">
      <c r="A734" s="13" t="n">
        <v>733</v>
      </c>
      <c r="B734" s="13" t="n">
        <v>53</v>
      </c>
      <c r="C734" s="14">
        <f>INDEX('부작 목록'!$C$2:$C$66,B734)</f>
        <v/>
      </c>
      <c r="D734" s="14" t="inlineStr">
        <is>
          <t>E 빅토르 안전가옥 세션</t>
        </is>
      </c>
      <c r="E734" s="13" t="n">
        <v>13856</v>
      </c>
      <c r="F734" s="13" t="n">
        <v>10</v>
      </c>
      <c r="G734" s="15" t="inlineStr">
        <is>
          <t>그날 밤, 알바로와 카밀라가 조용한 저녁으로 이번 성공을 자축합니다.</t>
        </is>
      </c>
    </row>
    <row r="735" ht="15" customHeight="1" s="11">
      <c r="A735" s="13" t="n">
        <v>734</v>
      </c>
      <c r="B735" s="13" t="n">
        <v>53</v>
      </c>
      <c r="C735" s="14">
        <f>INDEX('부작 목록'!$C$2:$C$66,B735)</f>
        <v/>
      </c>
      <c r="D735" s="14" t="inlineStr">
        <is>
          <t>E 빅토르 안전가옥 세션</t>
        </is>
      </c>
      <c r="E735" s="13" t="n">
        <v>13868</v>
      </c>
      <c r="F735" s="13" t="n">
        <v>29</v>
      </c>
      <c r="G735" s="15" t="inlineStr">
        <is>
          <t>다음 세션에서, 알바로가 빅토르에게 개인적으로 감사를 전합니다.</t>
        </is>
      </c>
    </row>
    <row r="736" ht="28.35" customHeight="1" s="11">
      <c r="A736" s="13" t="n">
        <v>735</v>
      </c>
      <c r="B736" s="13" t="n">
        <v>54</v>
      </c>
      <c r="C736" s="14">
        <f>INDEX('부작 목록'!$C$2:$C$66,B736)</f>
        <v/>
      </c>
      <c r="D736" s="14" t="inlineStr">
        <is>
          <t>E 빅토르 안전가옥 세션</t>
        </is>
      </c>
      <c r="E736" s="13" t="n">
        <v>13901</v>
      </c>
      <c r="F736" s="13" t="n">
        <v>17</v>
      </c>
      <c r="G736" s="15" t="inlineStr">
        <is>
          <t>새로운 세션. 빅토르가 마지막 작전, '불꽃 작전'을 밝힙니다 — 조직이 궁지에 몰렸다고 느낄 때 발동되는 증거·증인 소각 프로토콜입니다. 지금까지 폭로해온 모든 것 때문에, 이미 발동 직전이 라는 긴박한 경고로 시작됩니다.</t>
        </is>
      </c>
    </row>
    <row r="737" ht="15" customHeight="1" s="11">
      <c r="A737" s="13" t="n">
        <v>736</v>
      </c>
      <c r="B737" s="13" t="n">
        <v>54</v>
      </c>
      <c r="C737" s="14">
        <f>INDEX('부작 목록'!$C$2:$C$66,B737)</f>
        <v/>
      </c>
      <c r="D737" s="14" t="inlineStr">
        <is>
          <t>E 빅토르 안전가옥 세션</t>
        </is>
      </c>
      <c r="E737" s="13" t="n">
        <v>13921</v>
      </c>
      <c r="F737" s="13" t="n">
        <v>16</v>
      </c>
      <c r="G737" s="15" t="inlineStr">
        <is>
          <t>카를로스가 실시간으로 각 협력자에 대한 긴급 보호 조치를 지시합니다.</t>
        </is>
      </c>
    </row>
    <row r="738" ht="15" customHeight="1" s="11">
      <c r="A738" s="13" t="n">
        <v>737</v>
      </c>
      <c r="B738" s="13" t="n">
        <v>54</v>
      </c>
      <c r="C738" s="14">
        <f>INDEX('부작 목록'!$C$2:$C$66,B738)</f>
        <v/>
      </c>
      <c r="D738" s="14" t="inlineStr">
        <is>
          <t>E 빅토르 안전가옥 세션</t>
        </is>
      </c>
      <c r="E738" s="13" t="n">
        <v>13940</v>
      </c>
      <c r="F738" s="13" t="n">
        <v>18</v>
      </c>
      <c r="G738" s="15" t="inlineStr">
        <is>
          <t>긴박한 순간들이 흐르고, 도밍고와 안셀모의 안전 확보 소식이 전해집니다.</t>
        </is>
      </c>
    </row>
    <row r="739" ht="15" customHeight="1" s="11">
      <c r="A739" s="13" t="n">
        <v>738</v>
      </c>
      <c r="B739" s="13" t="n">
        <v>54</v>
      </c>
      <c r="C739" s="14">
        <f>INDEX('부작 목록'!$C$2:$C$66,B739)</f>
        <v/>
      </c>
      <c r="D739" s="14" t="inlineStr">
        <is>
          <t>E 빅토르 안전가옥 세션</t>
        </is>
      </c>
      <c r="E739" s="13" t="n">
        <v>13961</v>
      </c>
      <c r="F739" s="13" t="n">
        <v>11</v>
      </c>
      <c r="G739" s="15" t="inlineStr">
        <is>
          <t>카밀라와 마르코스가 안전가옥에 도착하며, 카를로스가 시설 전체 보안을 강화합니다.</t>
        </is>
      </c>
    </row>
    <row r="740" ht="15" customHeight="1" s="11">
      <c r="A740" s="13" t="n">
        <v>739</v>
      </c>
      <c r="B740" s="13" t="n">
        <v>54</v>
      </c>
      <c r="C740" s="14">
        <f>INDEX('부작 목록'!$C$2:$C$66,B740)</f>
        <v/>
      </c>
      <c r="D740" s="14" t="inlineStr">
        <is>
          <t>E 빅토르 안전가옥 세션</t>
        </is>
      </c>
      <c r="E740" s="13" t="n">
        <v>13974</v>
      </c>
      <c r="F740" s="13" t="n">
        <v>18</v>
      </c>
      <c r="G740" s="15" t="inlineStr">
        <is>
          <t>빅토르가 위험을 감수하고 옛 연락망을 통해 상황을 파악하려 시도합니다.</t>
        </is>
      </c>
    </row>
    <row r="741" ht="15" customHeight="1" s="11">
      <c r="A741" s="13" t="n">
        <v>740</v>
      </c>
      <c r="B741" s="13" t="n">
        <v>54</v>
      </c>
      <c r="C741" s="14">
        <f>INDEX('부작 목록'!$C$2:$C$66,B741)</f>
        <v/>
      </c>
      <c r="D741" s="14" t="inlineStr">
        <is>
          <t>E 빅토르 안전가옥 세션</t>
        </is>
      </c>
      <c r="E741" s="13" t="n">
        <v>13995</v>
      </c>
      <c r="F741" s="13" t="n">
        <v>9</v>
      </c>
      <c r="G741" s="15" t="inlineStr">
        <is>
          <t>카를로스가 베르메호와 베르호벤이 수감된 시설의 보안 강화 상황을 확인합니다.</t>
        </is>
      </c>
    </row>
    <row r="742" ht="15" customHeight="1" s="11">
      <c r="A742" s="13" t="n">
        <v>741</v>
      </c>
      <c r="B742" s="13" t="n">
        <v>54</v>
      </c>
      <c r="C742" s="14">
        <f>INDEX('부작 목록'!$C$2:$C$66,B742)</f>
        <v/>
      </c>
      <c r="D742" s="14" t="inlineStr">
        <is>
          <t>E 빅토르 안전가옥 세션</t>
        </is>
      </c>
      <c r="E742" s="13" t="n">
        <v>14007</v>
      </c>
      <c r="F742" s="13" t="n">
        <v>10</v>
      </c>
      <c r="G742" s="15" t="inlineStr">
        <is>
          <t>그날 밤, 안전가옥에서 모두가 뜬눈으로 상황을 지켜보며 긴장된 시간을 보냅니다.</t>
        </is>
      </c>
    </row>
    <row r="743" ht="15" customHeight="1" s="11">
      <c r="A743" s="13" t="n">
        <v>742</v>
      </c>
      <c r="B743" s="13" t="n">
        <v>54</v>
      </c>
      <c r="C743" s="14">
        <f>INDEX('부작 목록'!$C$2:$C$66,B743)</f>
        <v/>
      </c>
      <c r="D743" s="14" t="inlineStr">
        <is>
          <t>E 빅토르 안전가옥 세션</t>
        </is>
      </c>
      <c r="E743" s="13" t="n">
        <v>14019</v>
      </c>
      <c r="F743" s="13" t="n">
        <v>10</v>
      </c>
      <c r="G743" s="15" t="inlineStr">
        <is>
          <t>긴장된 밤중에, 알바로와 카밀라가 조용히 서로에게 의지하며 대화를 나눕니다.</t>
        </is>
      </c>
    </row>
    <row r="744" ht="15" customHeight="1" s="11">
      <c r="A744" s="13" t="n">
        <v>743</v>
      </c>
      <c r="B744" s="13" t="n">
        <v>54</v>
      </c>
      <c r="C744" s="14">
        <f>INDEX('부작 목록'!$C$2:$C$66,B744)</f>
        <v/>
      </c>
      <c r="D744" s="14" t="inlineStr">
        <is>
          <t>E 빅토르 안전가옥 세션</t>
        </is>
      </c>
      <c r="E744" s="13" t="n">
        <v>14032</v>
      </c>
      <c r="F744" s="13" t="n">
        <v>20</v>
      </c>
      <c r="G744" s="15" t="inlineStr">
        <is>
          <t>새벽녘, 마르코스가 시스템에서 이상 활동을 감지하며 새로운 긴장이 발생합니다.</t>
        </is>
      </c>
    </row>
    <row r="745" ht="15" customHeight="1" s="11">
      <c r="A745" s="13" t="n">
        <v>744</v>
      </c>
      <c r="B745" s="13" t="n">
        <v>54</v>
      </c>
      <c r="C745" s="14">
        <f>INDEX('부작 목록'!$C$2:$C$66,B745)</f>
        <v/>
      </c>
      <c r="D745" s="14" t="inlineStr">
        <is>
          <t>E 빅토르 안전가옥 세션</t>
        </is>
      </c>
      <c r="E745" s="13" t="n">
        <v>14055</v>
      </c>
      <c r="F745" s="13" t="n">
        <v>9</v>
      </c>
      <c r="G745" s="15" t="inlineStr">
        <is>
          <t>며칠 후, 알바로가 임시 안전 시설에서 도밍고와 안셀모를 방문합니다.</t>
        </is>
      </c>
    </row>
    <row r="746" ht="28.35" customHeight="1" s="11">
      <c r="A746" s="13" t="n">
        <v>745</v>
      </c>
      <c r="B746" s="13" t="n">
        <v>54</v>
      </c>
      <c r="C746" s="14">
        <f>INDEX('부작 목록'!$C$2:$C$66,B746)</f>
        <v/>
      </c>
      <c r="D746" s="14" t="inlineStr">
        <is>
          <t>E 빅토르 안전가옥 세션</t>
        </is>
      </c>
      <c r="E746" s="13" t="n">
        <v>14067</v>
      </c>
      <c r="F746" s="13" t="n">
        <v>9</v>
      </c>
      <c r="G746" s="15" t="inlineStr">
        <is>
          <t>몇 주 후, 위기가 진정되며 세 사람과 카밀라, 마르코스가 지금까지 밝혀진 모든 작전을 종합 정리하는 마지막 세션을 갖습니다.</t>
        </is>
      </c>
    </row>
    <row r="747" ht="15" customHeight="1" s="11">
      <c r="A747" s="13" t="n">
        <v>746</v>
      </c>
      <c r="B747" s="13" t="n">
        <v>54</v>
      </c>
      <c r="C747" s="14">
        <f>INDEX('부작 목록'!$C$2:$C$66,B747)</f>
        <v/>
      </c>
      <c r="D747" s="14" t="inlineStr">
        <is>
          <t>E 빅토르 안전가옥 세션</t>
        </is>
      </c>
      <c r="E747" s="13" t="n">
        <v>14078</v>
      </c>
      <c r="F747" s="13" t="n">
        <v>10</v>
      </c>
      <c r="G747" s="15" t="inlineStr">
        <is>
          <t>카를로스가 이제 다음 단계, 즉 로셀요 검거를 향한 본격적인 준비를 제안합니다.</t>
        </is>
      </c>
    </row>
    <row r="748" ht="15" customHeight="1" s="11">
      <c r="A748" s="13" t="n">
        <v>747</v>
      </c>
      <c r="B748" s="13" t="n">
        <v>54</v>
      </c>
      <c r="C748" s="14">
        <f>INDEX('부작 목록'!$C$2:$C$66,B748)</f>
        <v/>
      </c>
      <c r="D748" s="14" t="inlineStr">
        <is>
          <t>E 빅토르 안전가옥 세션</t>
        </is>
      </c>
      <c r="E748" s="13" t="n">
        <v>14091</v>
      </c>
      <c r="F748" s="13" t="n">
        <v>11</v>
      </c>
      <c r="G748" s="15" t="inlineStr">
        <is>
          <t>세션이 끝나갈 무렵, 빅토르가 지금까지의 여정에 대한 깊은 소회를 나눕니다.</t>
        </is>
      </c>
    </row>
    <row r="749" ht="15" customHeight="1" s="11">
      <c r="A749" s="13" t="n">
        <v>748</v>
      </c>
      <c r="B749" s="13" t="n">
        <v>54</v>
      </c>
      <c r="C749" s="14">
        <f>INDEX('부작 목록'!$C$2:$C$66,B749)</f>
        <v/>
      </c>
      <c r="D749" s="14" t="inlineStr">
        <is>
          <t>E 빅토르 안전가옥 세션</t>
        </is>
      </c>
      <c r="E749" s="13" t="n">
        <v>14105</v>
      </c>
      <c r="F749" s="13" t="n">
        <v>28</v>
      </c>
      <c r="G749" s="15" t="inlineStr">
        <is>
          <t>그날 밤, 알바로와 카밀라가 마침내 조금은 평온한 저녁을 함께합니다.</t>
        </is>
      </c>
    </row>
    <row r="750" ht="28.35" customHeight="1" s="11">
      <c r="A750" s="13" t="n">
        <v>749</v>
      </c>
      <c r="B750" s="13" t="n">
        <v>55</v>
      </c>
      <c r="C750" s="14">
        <f>INDEX('부작 목록'!$C$2:$C$66,B750)</f>
        <v/>
      </c>
      <c r="D750" s="14" t="inlineStr">
        <is>
          <t>E 빅토르 안전가옥 세션</t>
        </is>
      </c>
      <c r="E750" s="13" t="n">
        <v>14136</v>
      </c>
      <c r="F750" s="13" t="n">
        <v>16</v>
      </c>
      <c r="G750" s="15" t="inlineStr">
        <is>
          <t>새로운 시리즈 시작. 궁지에 몰린 로셀요가 급전 마련을 위해 직접 개입한 온라인 투자사기 조 직을 빅토르가 밝힙니다 — 텔레그램 '리딩방'을 통한 폰지 스킴입니다.</t>
        </is>
      </c>
    </row>
    <row r="751" ht="15" customHeight="1" s="11">
      <c r="A751" s="13" t="n">
        <v>750</v>
      </c>
      <c r="B751" s="13" t="n">
        <v>55</v>
      </c>
      <c r="C751" s="14">
        <f>INDEX('부작 목록'!$C$2:$C$66,B751)</f>
        <v/>
      </c>
      <c r="D751" s="14" t="inlineStr">
        <is>
          <t>E 빅토르 안전가옥 세션</t>
        </is>
      </c>
      <c r="E751" s="13" t="n">
        <v>14155</v>
      </c>
      <c r="F751" s="13" t="n">
        <v>15</v>
      </c>
      <c r="G751" s="15" t="inlineStr">
        <is>
          <t>카밀라가 세션에 합류해 다섯 개 채널의 자금 흐름을 추적하기 시작합니다.</t>
        </is>
      </c>
    </row>
    <row r="752" ht="15" customHeight="1" s="11">
      <c r="A752" s="13" t="n">
        <v>751</v>
      </c>
      <c r="B752" s="13" t="n">
        <v>55</v>
      </c>
      <c r="C752" s="14">
        <f>INDEX('부작 목록'!$C$2:$C$66,B752)</f>
        <v/>
      </c>
      <c r="D752" s="14" t="inlineStr">
        <is>
          <t>E 빅토르 안전가옥 세션</t>
        </is>
      </c>
      <c r="E752" s="13" t="n">
        <v>14173</v>
      </c>
      <c r="F752" s="13" t="n">
        <v>15</v>
      </c>
      <c r="G752" s="15" t="inlineStr">
        <is>
          <t>하비에르가 피해자 한 명을 인터뷰하며, 이 사기가 실제 사람들에게 미친 피해를 취재합니다.</t>
        </is>
      </c>
    </row>
    <row r="753" ht="15" customHeight="1" s="11">
      <c r="A753" s="13" t="n">
        <v>752</v>
      </c>
      <c r="B753" s="13" t="n">
        <v>55</v>
      </c>
      <c r="C753" s="14">
        <f>INDEX('부작 목록'!$C$2:$C$66,B753)</f>
        <v/>
      </c>
      <c r="D753" s="14" t="inlineStr">
        <is>
          <t>E 빅토르 안전가옥 세션</t>
        </is>
      </c>
      <c r="E753" s="13" t="n">
        <v>14191</v>
      </c>
      <c r="F753" s="13" t="n">
        <v>9</v>
      </c>
      <c r="G753" s="15" t="inlineStr">
        <is>
          <t>일주일 후, 카밀라가 완성된 분석을 보고하며, 법원의 계좌 동결 승인을 확인합니다.</t>
        </is>
      </c>
    </row>
    <row r="754" ht="28.35" customHeight="1" s="11">
      <c r="A754" s="13" t="n">
        <v>753</v>
      </c>
      <c r="B754" s="13" t="n">
        <v>55</v>
      </c>
      <c r="C754" s="14">
        <f>INDEX('부작 목록'!$C$2:$C$66,B754)</f>
        <v/>
      </c>
      <c r="D754" s="14" t="inlineStr">
        <is>
          <t>E 빅토르 안전가옥 세션</t>
        </is>
      </c>
      <c r="E754" s="13" t="n">
        <v>14203</v>
      </c>
      <c r="F754" s="13" t="n">
        <v>15</v>
      </c>
      <c r="G754" s="15" t="inlineStr">
        <is>
          <t>세션이 재개됩니다. 빅토르가 로셀요와 연결된 국제 장기매매 브로커 조직을 밝힙니다. 지금까 지 다룬 것 중 가장 인간의 존엄을 직접적으로 해치는 범죄로, 세 사람 모두 무거운 침묵 속에 대화를 시작합니다.</t>
        </is>
      </c>
    </row>
    <row r="755" ht="15" customHeight="1" s="11">
      <c r="A755" s="13" t="n">
        <v>754</v>
      </c>
      <c r="B755" s="13" t="n">
        <v>55</v>
      </c>
      <c r="C755" s="14">
        <f>INDEX('부작 목록'!$C$2:$C$66,B755)</f>
        <v/>
      </c>
      <c r="D755" s="14" t="inlineStr">
        <is>
          <t>E 빅토르 안전가옥 세션</t>
        </is>
      </c>
      <c r="E755" s="13" t="n">
        <v>14221</v>
      </c>
      <c r="F755" s="13" t="n">
        <v>8</v>
      </c>
      <c r="G755" s="15" t="inlineStr">
        <is>
          <t>카밀라가 이 사건의 심각성에 감정적으로 반응하며, 국제 인신매매 전담 기구와의 협조를 제안 합니다.</t>
        </is>
      </c>
    </row>
    <row r="756" ht="15" customHeight="1" s="11">
      <c r="A756" s="13" t="n">
        <v>755</v>
      </c>
      <c r="B756" s="13" t="n">
        <v>55</v>
      </c>
      <c r="C756" s="14">
        <f>INDEX('부작 목록'!$C$2:$C$66,B756)</f>
        <v/>
      </c>
      <c r="D756" s="14" t="inlineStr">
        <is>
          <t>E 빅토르 안전가옥 세션</t>
        </is>
      </c>
      <c r="E756" s="13" t="n">
        <v>14231</v>
      </c>
      <c r="F756" s="13" t="n">
        <v>9</v>
      </c>
      <c r="G756" s="15" t="inlineStr">
        <is>
          <t>며칠 후, 카를로스가 전담 경찰 부서와의 협조 결과를 보고합니다.</t>
        </is>
      </c>
    </row>
    <row r="757" ht="15" customHeight="1" s="11">
      <c r="A757" s="13" t="n">
        <v>756</v>
      </c>
      <c r="B757" s="13" t="n">
        <v>55</v>
      </c>
      <c r="C757" s="14">
        <f>INDEX('부작 목록'!$C$2:$C$66,B757)</f>
        <v/>
      </c>
      <c r="D757" s="14" t="inlineStr">
        <is>
          <t>E 빅토르 안전가옥 세션</t>
        </is>
      </c>
      <c r="E757" s="13" t="n">
        <v>14245</v>
      </c>
      <c r="F757" s="13" t="n">
        <v>17</v>
      </c>
      <c r="G757" s="15" t="inlineStr">
        <is>
          <t>다음 날 세션. 카밀라가 5개 텔레그램 채널을 통해 발견한 루마니아 모집책 관련 자금줄을 추적 한 결과를 보고합니다.</t>
        </is>
      </c>
    </row>
    <row r="758" ht="15" customHeight="1" s="11">
      <c r="A758" s="13" t="n">
        <v>757</v>
      </c>
      <c r="B758" s="13" t="n">
        <v>55</v>
      </c>
      <c r="C758" s="14">
        <f>INDEX('부작 목록'!$C$2:$C$66,B758)</f>
        <v/>
      </c>
      <c r="D758" s="14" t="inlineStr">
        <is>
          <t>E 빅토르 안전가옥 세션</t>
        </is>
      </c>
      <c r="E758" s="13" t="n">
        <v>14265</v>
      </c>
      <c r="F758" s="13" t="n">
        <v>7</v>
      </c>
      <c r="G758" s="15" t="inlineStr">
        <is>
          <t>일주일 후, 카밀라가 스위스 재단 연구자들의 공모 여부를 조사한 결과를 세션에 보고합니다.</t>
        </is>
      </c>
    </row>
    <row r="759" ht="15" customHeight="1" s="11">
      <c r="A759" s="13" t="n">
        <v>758</v>
      </c>
      <c r="B759" s="13" t="n">
        <v>55</v>
      </c>
      <c r="C759" s="14">
        <f>INDEX('부작 목록'!$C$2:$C$66,B759)</f>
        <v/>
      </c>
      <c r="D759" s="14" t="inlineStr">
        <is>
          <t>E 빅토르 안전가옥 세션</t>
        </is>
      </c>
      <c r="E759" s="13" t="n">
        <v>14274</v>
      </c>
      <c r="F759" s="13" t="n">
        <v>10</v>
      </c>
      <c r="G759" s="15" t="inlineStr">
        <is>
          <t>며칠 후, 스위스 당국이 조치를 취하며 세션에서 그 결과를 확인합니다.</t>
        </is>
      </c>
    </row>
    <row r="760" ht="15" customHeight="1" s="11">
      <c r="A760" s="13" t="n">
        <v>759</v>
      </c>
      <c r="B760" s="13" t="n">
        <v>55</v>
      </c>
      <c r="C760" s="14">
        <f>INDEX('부작 목록'!$C$2:$C$66,B760)</f>
        <v/>
      </c>
      <c r="D760" s="14" t="inlineStr">
        <is>
          <t>E 빅토르 안전가옥 세션</t>
        </is>
      </c>
      <c r="E760" s="13" t="n">
        <v>14287</v>
      </c>
      <c r="F760" s="13" t="n">
        <v>8</v>
      </c>
      <c r="G760" s="15" t="inlineStr">
        <is>
          <t>그날 밤, 알바로가 카밀라에게 이번 사건이 남긴 감정적 무게에 대해 이야기합니다.</t>
        </is>
      </c>
    </row>
    <row r="761" ht="15" customHeight="1" s="11">
      <c r="A761" s="13" t="n">
        <v>760</v>
      </c>
      <c r="B761" s="13" t="n">
        <v>55</v>
      </c>
      <c r="C761" s="14">
        <f>INDEX('부작 목록'!$C$2:$C$66,B761)</f>
        <v/>
      </c>
      <c r="D761" s="14" t="inlineStr">
        <is>
          <t>E 빅토르 안전가옥 세션</t>
        </is>
      </c>
      <c r="E761" s="13" t="n">
        <v>14298</v>
      </c>
      <c r="F761" s="13" t="n">
        <v>10</v>
      </c>
      <c r="G761" s="15" t="inlineStr">
        <is>
          <t>며칠 후, 하비에르가 한 피해 생존자를 인터뷰하며 그의 이야기를 취재합니다.</t>
        </is>
      </c>
    </row>
    <row r="762" ht="15" customHeight="1" s="11">
      <c r="A762" s="13" t="n">
        <v>761</v>
      </c>
      <c r="B762" s="13" t="n">
        <v>55</v>
      </c>
      <c r="C762" s="14">
        <f>INDEX('부작 목록'!$C$2:$C$66,B762)</f>
        <v/>
      </c>
      <c r="D762" s="14" t="inlineStr">
        <is>
          <t>E 빅토르 안전가옥 세션</t>
        </is>
      </c>
      <c r="E762" s="13" t="n">
        <v>14310</v>
      </c>
      <c r="F762" s="13" t="n">
        <v>9</v>
      </c>
      <c r="G762" s="15" t="inlineStr">
        <is>
          <t>세션에서, 카를로스가 하비에르의 취재 결과를 바탕으로 정책 제안을 논의합니다.</t>
        </is>
      </c>
    </row>
    <row r="763" ht="15" customHeight="1" s="11">
      <c r="A763" s="13" t="n">
        <v>762</v>
      </c>
      <c r="B763" s="13" t="n">
        <v>55</v>
      </c>
      <c r="C763" s="14">
        <f>INDEX('부작 목록'!$C$2:$C$66,B763)</f>
        <v/>
      </c>
      <c r="D763" s="14" t="inlineStr">
        <is>
          <t>E 빅토르 안전가옥 세션</t>
        </is>
      </c>
      <c r="E763" s="13" t="n">
        <v>14322</v>
      </c>
      <c r="F763" s="13" t="n">
        <v>9</v>
      </c>
      <c r="G763" s="15" t="inlineStr">
        <is>
          <t>몇 주 후, 마르코스가 동남아시아 클리닉 쪽 자금 흐름을 추가로 조사한 결과를 세션에 보고합 니다.</t>
        </is>
      </c>
    </row>
    <row r="764" ht="15" customHeight="1" s="11">
      <c r="A764" s="13" t="n">
        <v>763</v>
      </c>
      <c r="B764" s="13" t="n">
        <v>55</v>
      </c>
      <c r="C764" s="14">
        <f>INDEX('부작 목록'!$C$2:$C$66,B764)</f>
        <v/>
      </c>
      <c r="D764" s="14" t="inlineStr">
        <is>
          <t>E 빅토르 안전가옥 세션</t>
        </is>
      </c>
      <c r="E764" s="13" t="n">
        <v>14333</v>
      </c>
      <c r="F764" s="13" t="n">
        <v>9</v>
      </c>
      <c r="G764" s="15" t="inlineStr">
        <is>
          <t>몇 주 후, 인터폴과의 공조 결과가 도착하며 세션에서 국제 수사 진전을 확인합니다.</t>
        </is>
      </c>
    </row>
    <row r="765" ht="15" customHeight="1" s="11">
      <c r="A765" s="13" t="n">
        <v>764</v>
      </c>
      <c r="B765" s="13" t="n">
        <v>55</v>
      </c>
      <c r="C765" s="14">
        <f>INDEX('부작 목록'!$C$2:$C$66,B765)</f>
        <v/>
      </c>
      <c r="D765" s="14" t="inlineStr">
        <is>
          <t>E 빅토르 안전가옥 세션</t>
        </is>
      </c>
      <c r="E765" s="13" t="n">
        <v>14345</v>
      </c>
      <c r="F765" s="13" t="n">
        <v>8</v>
      </c>
      <c r="G765" s="15" t="inlineStr">
        <is>
          <t>카밀라가 이 사건에서 배운 국제 인신매매 재정추적 방법론을 향후 사건에 적용할 방안을 제안 합니다.</t>
        </is>
      </c>
    </row>
    <row r="766" ht="15" customHeight="1" s="11">
      <c r="A766" s="13" t="n">
        <v>765</v>
      </c>
      <c r="B766" s="13" t="n">
        <v>55</v>
      </c>
      <c r="C766" s="14">
        <f>INDEX('부작 목록'!$C$2:$C$66,B766)</f>
        <v/>
      </c>
      <c r="D766" s="14" t="inlineStr">
        <is>
          <t>E 빅토르 안전가옥 세션</t>
        </is>
      </c>
      <c r="E766" s="13" t="n">
        <v>14355</v>
      </c>
      <c r="F766" s="13" t="n">
        <v>8</v>
      </c>
      <c r="G766" s="15" t="inlineStr">
        <is>
          <t>다음 세션에서, 필리핀 클리닉 관련 최종 조치 결과가 보고됩니다.</t>
        </is>
      </c>
    </row>
    <row r="767" ht="15" customHeight="1" s="11">
      <c r="A767" s="13" t="n">
        <v>766</v>
      </c>
      <c r="B767" s="13" t="n">
        <v>55</v>
      </c>
      <c r="C767" s="14">
        <f>INDEX('부작 목록'!$C$2:$C$66,B767)</f>
        <v/>
      </c>
      <c r="D767" s="14" t="inlineStr">
        <is>
          <t>E 빅토르 안전가옥 세션</t>
        </is>
      </c>
      <c r="E767" s="13" t="n">
        <v>14365</v>
      </c>
      <c r="F767" s="13" t="n">
        <v>8</v>
      </c>
      <c r="G767" s="15" t="inlineStr">
        <is>
          <t>그날 밤, 알바로가 취재원과의 인터뷰를 곱씹으며 카밀라와 대화합니다.</t>
        </is>
      </c>
    </row>
    <row r="768" ht="15" customHeight="1" s="11">
      <c r="A768" s="13" t="n">
        <v>767</v>
      </c>
      <c r="B768" s="13" t="n">
        <v>55</v>
      </c>
      <c r="C768" s="14">
        <f>INDEX('부작 목록'!$C$2:$C$66,B768)</f>
        <v/>
      </c>
      <c r="D768" s="14" t="inlineStr">
        <is>
          <t>E 빅토르 안전가옥 세션</t>
        </is>
      </c>
      <c r="E768" s="13" t="n">
        <v>14375</v>
      </c>
      <c r="F768" s="13" t="n">
        <v>8</v>
      </c>
      <c r="G768" s="15" t="inlineStr">
        <is>
          <t>몇 달 후, 국제 재판이 시작되며 알바로가 그 재판 과정을 취재합니다.</t>
        </is>
      </c>
    </row>
    <row r="769" ht="15" customHeight="1" s="11">
      <c r="A769" s="13" t="n">
        <v>768</v>
      </c>
      <c r="B769" s="13" t="n">
        <v>55</v>
      </c>
      <c r="C769" s="14">
        <f>INDEX('부작 목록'!$C$2:$C$66,B769)</f>
        <v/>
      </c>
      <c r="D769" s="14" t="inlineStr">
        <is>
          <t>E 빅토르 안전가옥 세션</t>
        </is>
      </c>
      <c r="E769" s="13" t="n">
        <v>14385</v>
      </c>
      <c r="F769" s="13" t="n">
        <v>10</v>
      </c>
      <c r="G769" s="15" t="inlineStr">
        <is>
          <t>몇 주 후, 재판 결과가 나오며 세션에서 최종 결과를 정리합니다.</t>
        </is>
      </c>
    </row>
    <row r="770" ht="15" customHeight="1" s="11">
      <c r="A770" s="13" t="n">
        <v>769</v>
      </c>
      <c r="B770" s="13" t="n">
        <v>55</v>
      </c>
      <c r="C770" s="14">
        <f>INDEX('부작 목록'!$C$2:$C$66,B770)</f>
        <v/>
      </c>
      <c r="D770" s="14" t="inlineStr">
        <is>
          <t>E 빅토르 안전가옥 세션</t>
        </is>
      </c>
      <c r="E770" s="13" t="n">
        <v>14398</v>
      </c>
      <c r="F770" s="13" t="n">
        <v>9</v>
      </c>
      <c r="G770" s="15" t="inlineStr">
        <is>
          <t>카밀라가 피해자 지원기금 설계 과정에 자문으로 참여하며, 알바로에게 그 경험을 나눕니다.</t>
        </is>
      </c>
    </row>
    <row r="771" ht="15" customHeight="1" s="11">
      <c r="A771" s="13" t="n">
        <v>770</v>
      </c>
      <c r="B771" s="13" t="n">
        <v>55</v>
      </c>
      <c r="C771" s="14">
        <f>INDEX('부작 목록'!$C$2:$C$66,B771)</f>
        <v/>
      </c>
      <c r="D771" s="14" t="inlineStr">
        <is>
          <t>E 빅토르 안전가옥 세션</t>
        </is>
      </c>
      <c r="E771" s="13" t="n">
        <v>14409</v>
      </c>
      <c r="F771" s="13" t="n">
        <v>9</v>
      </c>
      <c r="G771" s="15" t="inlineStr">
        <is>
          <t>몇 달 후, 마르코스가 기금 분배 시스템 구축을 완료하며 세션에 결과를 보고합니다.</t>
        </is>
      </c>
    </row>
    <row r="772" ht="15" customHeight="1" s="11">
      <c r="A772" s="13" t="n">
        <v>771</v>
      </c>
      <c r="B772" s="13" t="n">
        <v>55</v>
      </c>
      <c r="C772" s="14">
        <f>INDEX('부작 목록'!$C$2:$C$66,B772)</f>
        <v/>
      </c>
      <c r="D772" s="14" t="inlineStr">
        <is>
          <t>E 빅토르 안전가옥 세션</t>
        </is>
      </c>
      <c r="E772" s="13" t="n">
        <v>14421</v>
      </c>
      <c r="F772" s="13" t="n">
        <v>7</v>
      </c>
      <c r="G772" s="15" t="inlineStr">
        <is>
          <t>빅토르가 이 사건 전체를 되짚으며 팀에게 마지막 소회를 전합니다.</t>
        </is>
      </c>
    </row>
    <row r="773" ht="15" customHeight="1" s="11">
      <c r="A773" s="13" t="n">
        <v>772</v>
      </c>
      <c r="B773" s="13" t="n">
        <v>55</v>
      </c>
      <c r="C773" s="14">
        <f>INDEX('부작 목록'!$C$2:$C$66,B773)</f>
        <v/>
      </c>
      <c r="D773" s="14" t="inlineStr">
        <is>
          <t>E 빅토르 안전가옥 세션</t>
        </is>
      </c>
      <c r="E773" s="13" t="n">
        <v>14430</v>
      </c>
      <c r="F773" s="13" t="n">
        <v>8</v>
      </c>
      <c r="G773" s="15" t="inlineStr">
        <is>
          <t>며칠 후, 하비에르가 후속 기사에서 피해자 지원기금의 진행 상황을 취재하며 세션에 최신 소식 을 전합니다.</t>
        </is>
      </c>
    </row>
    <row r="774" ht="15" customHeight="1" s="11">
      <c r="A774" s="13" t="n">
        <v>773</v>
      </c>
      <c r="B774" s="13" t="n">
        <v>55</v>
      </c>
      <c r="C774" s="14">
        <f>INDEX('부작 목록'!$C$2:$C$66,B774)</f>
        <v/>
      </c>
      <c r="D774" s="14" t="inlineStr">
        <is>
          <t>E 빅토르 안전가옥 세션</t>
        </is>
      </c>
      <c r="E774" s="13" t="n">
        <v>14441</v>
      </c>
      <c r="F774" s="13" t="n">
        <v>8</v>
      </c>
      <c r="G774" s="15" t="inlineStr">
        <is>
          <t>그날 밤, 알바로와 카밀라가 이번 사건 전체를 마무리하며 조용한 저녁을 갖습니다.</t>
        </is>
      </c>
    </row>
    <row r="775" ht="15" customHeight="1" s="11">
      <c r="A775" s="13" t="n">
        <v>774</v>
      </c>
      <c r="B775" s="13" t="n">
        <v>56</v>
      </c>
      <c r="C775" s="14">
        <f>INDEX('부작 목록'!$C$2:$C$66,B775)</f>
        <v/>
      </c>
      <c r="D775" s="14" t="inlineStr">
        <is>
          <t>E 빅토르 안전가옥 세션</t>
        </is>
      </c>
      <c r="E775" s="13" t="n">
        <v>14451</v>
      </c>
      <c r="F775" s="13" t="n">
        <v>6</v>
      </c>
      <c r="G775" s="15" t="inlineStr">
        <is>
          <t>다음 날 아침, 세션 시작 전 카를로스와 빅토르가 짧게 대화합니다.</t>
        </is>
      </c>
    </row>
    <row r="776" ht="15" customHeight="1" s="11">
      <c r="A776" s="13" t="n">
        <v>775</v>
      </c>
      <c r="B776" s="13" t="n">
        <v>56</v>
      </c>
      <c r="C776" s="14">
        <f>INDEX('부작 목록'!$C$2:$C$66,B776)</f>
        <v/>
      </c>
      <c r="D776" s="14" t="inlineStr">
        <is>
          <t>E 빅토르 안전가옥 세션</t>
        </is>
      </c>
      <c r="E776" s="13" t="n">
        <v>14460</v>
      </c>
      <c r="F776" s="13" t="n">
        <v>7</v>
      </c>
      <c r="G776" s="15" t="inlineStr">
        <is>
          <t>카밀라와 알바로가 도착하며, 짧은 인사를 나눈 뒤 세션이 정식으로 시작됩니다.</t>
        </is>
      </c>
    </row>
    <row r="777" ht="15" customHeight="1" s="11">
      <c r="A777" s="13" t="n">
        <v>776</v>
      </c>
      <c r="B777" s="13" t="n">
        <v>56</v>
      </c>
      <c r="C777" s="14">
        <f>INDEX('부작 목록'!$C$2:$C$66,B777)</f>
        <v/>
      </c>
      <c r="D777" s="14" t="inlineStr">
        <is>
          <t>E 빅토르 안전가옥 세션</t>
        </is>
      </c>
      <c r="E777" s="13" t="n">
        <v>14468</v>
      </c>
      <c r="F777" s="13" t="n">
        <v>16</v>
      </c>
      <c r="G777" s="15" t="inlineStr">
        <is>
          <t>빅토르가 로셀요가 자금을 세탁해온 제약회사의 임상시험 데이터 조작 사건을 밝힙니다.</t>
        </is>
      </c>
    </row>
    <row r="778" ht="15" customHeight="1" s="11">
      <c r="A778" s="13" t="n">
        <v>777</v>
      </c>
      <c r="B778" s="13" t="n">
        <v>56</v>
      </c>
      <c r="C778" s="14">
        <f>INDEX('부작 목록'!$C$2:$C$66,B778)</f>
        <v/>
      </c>
      <c r="D778" s="14" t="inlineStr">
        <is>
          <t>E 빅토르 안전가옥 세션</t>
        </is>
      </c>
      <c r="E778" s="13" t="n">
        <v>14487</v>
      </c>
      <c r="F778" s="13" t="n">
        <v>8</v>
      </c>
      <c r="G778" s="15" t="inlineStr">
        <is>
          <t>며칠 후, 카를로스가 규제당국의 대응 결과를 보고합니다.</t>
        </is>
      </c>
    </row>
    <row r="779" ht="15" customHeight="1" s="11">
      <c r="A779" s="13" t="n">
        <v>778</v>
      </c>
      <c r="B779" s="13" t="n">
        <v>56</v>
      </c>
      <c r="C779" s="14">
        <f>INDEX('부작 목록'!$C$2:$C$66,B779)</f>
        <v/>
      </c>
      <c r="D779" s="14" t="inlineStr">
        <is>
          <t>E 빅토르 안전가옥 세션</t>
        </is>
      </c>
      <c r="E779" s="13" t="n">
        <v>14497</v>
      </c>
      <c r="F779" s="13" t="n">
        <v>8</v>
      </c>
      <c r="G779" s="15" t="inlineStr">
        <is>
          <t>카밀라가 제약회사와 로셀요를 연결하는 자금 흐름의 완전한 그림을 세션에서 보고합니다.</t>
        </is>
      </c>
    </row>
    <row r="780" ht="15" customHeight="1" s="11">
      <c r="A780" s="13" t="n">
        <v>779</v>
      </c>
      <c r="B780" s="13" t="n">
        <v>56</v>
      </c>
      <c r="C780" s="14">
        <f>INDEX('부작 목록'!$C$2:$C$66,B780)</f>
        <v/>
      </c>
      <c r="D780" s="14" t="inlineStr">
        <is>
          <t>E 빅토르 안전가옥 세션</t>
        </is>
      </c>
      <c r="E780" s="13" t="n">
        <v>14507</v>
      </c>
      <c r="F780" s="13" t="n">
        <v>11</v>
      </c>
      <c r="G780" s="15" t="inlineStr">
        <is>
          <t>하비에르가 임상시험에 참여했던 피해 환자를 인터뷰하며 실제 부작용 사례를 취재합니다.</t>
        </is>
      </c>
    </row>
    <row r="781" ht="15" customHeight="1" s="11">
      <c r="A781" s="13" t="n">
        <v>780</v>
      </c>
      <c r="B781" s="13" t="n">
        <v>56</v>
      </c>
      <c r="C781" s="14">
        <f>INDEX('부작 목록'!$C$2:$C$66,B781)</f>
        <v/>
      </c>
      <c r="D781" s="14" t="inlineStr">
        <is>
          <t>E 빅토르 안전가옥 세션</t>
        </is>
      </c>
      <c r="E781" s="13" t="n">
        <v>14521</v>
      </c>
      <c r="F781" s="13" t="n">
        <v>8</v>
      </c>
      <c r="G781" s="15" t="inlineStr">
        <is>
          <t>세션에서, 팀이 이 환자 사례를 규제당국에 어떻게 전달할지 논의합니다.</t>
        </is>
      </c>
    </row>
    <row r="782" ht="15" customHeight="1" s="11">
      <c r="A782" s="13" t="n">
        <v>781</v>
      </c>
      <c r="B782" s="13" t="n">
        <v>56</v>
      </c>
      <c r="C782" s="14">
        <f>INDEX('부작 목록'!$C$2:$C$66,B782)</f>
        <v/>
      </c>
      <c r="D782" s="14" t="inlineStr">
        <is>
          <t>E 빅토르 안전가옥 세션</t>
        </is>
      </c>
      <c r="E782" s="13" t="n">
        <v>14531</v>
      </c>
      <c r="F782" s="13" t="n">
        <v>9</v>
      </c>
      <c r="G782" s="15" t="inlineStr">
        <is>
          <t>며칠 후, 법원 승인이 나오며 세션에서 의료기록 확보 절차를 확인합니다.</t>
        </is>
      </c>
    </row>
    <row r="783" ht="15" customHeight="1" s="11">
      <c r="A783" s="13" t="n">
        <v>782</v>
      </c>
      <c r="B783" s="13" t="n">
        <v>56</v>
      </c>
      <c r="C783" s="14">
        <f>INDEX('부작 목록'!$C$2:$C$66,B783)</f>
        <v/>
      </c>
      <c r="D783" s="14" t="inlineStr">
        <is>
          <t>E 빅토르 안전가옥 세션</t>
        </is>
      </c>
      <c r="E783" s="13" t="n">
        <v>14543</v>
      </c>
      <c r="F783" s="13" t="n">
        <v>8</v>
      </c>
      <c r="G783" s="15" t="inlineStr">
        <is>
          <t>며칠 후, 규제당국이 긴급 안전 경보를 발령하며 세션에서 그 결과가 확인됩니다.</t>
        </is>
      </c>
    </row>
    <row r="784" ht="15" customHeight="1" s="11">
      <c r="A784" s="13" t="n">
        <v>783</v>
      </c>
      <c r="B784" s="13" t="n">
        <v>56</v>
      </c>
      <c r="C784" s="14">
        <f>INDEX('부작 목록'!$C$2:$C$66,B784)</f>
        <v/>
      </c>
      <c r="D784" s="14" t="inlineStr">
        <is>
          <t>E 빅토르 안전가옥 세션</t>
        </is>
      </c>
      <c r="E784" s="13" t="n">
        <v>14553</v>
      </c>
      <c r="F784" s="13" t="n">
        <v>8</v>
      </c>
      <c r="G784" s="15" t="inlineStr">
        <is>
          <t>카밀라가 리카르도 푸엔테스 살라사르의 정확한 역할을 조사한 결과를 세션에 보고합니다.</t>
        </is>
      </c>
    </row>
    <row r="785" ht="15" customHeight="1" s="11">
      <c r="A785" s="13" t="n">
        <v>784</v>
      </c>
      <c r="B785" s="13" t="n">
        <v>56</v>
      </c>
      <c r="C785" s="14">
        <f>INDEX('부작 목록'!$C$2:$C$66,B785)</f>
        <v/>
      </c>
      <c r="D785" s="14" t="inlineStr">
        <is>
          <t>E 빅토르 안전가옥 세션</t>
        </is>
      </c>
      <c r="E785" s="13" t="n">
        <v>14564</v>
      </c>
      <c r="F785" s="13" t="n">
        <v>8</v>
      </c>
      <c r="G785" s="15" t="inlineStr">
        <is>
          <t>며칠 후, 알바로가 두 번째 피해자를 인터뷰하며 사건의 인간적 파장을 더 파악합니다.</t>
        </is>
      </c>
    </row>
    <row r="786" ht="15" customHeight="1" s="11">
      <c r="A786" s="13" t="n">
        <v>785</v>
      </c>
      <c r="B786" s="13" t="n">
        <v>56</v>
      </c>
      <c r="C786" s="14">
        <f>INDEX('부작 목록'!$C$2:$C$66,B786)</f>
        <v/>
      </c>
      <c r="D786" s="14" t="inlineStr">
        <is>
          <t>E 빅토르 안전가옥 세션</t>
        </is>
      </c>
      <c r="E786" s="13" t="n">
        <v>14574</v>
      </c>
      <c r="F786" s="13" t="n">
        <v>8</v>
      </c>
      <c r="G786" s="15" t="inlineStr">
        <is>
          <t>세션에서, 팀이 사망 사례를 포함한 새로운 증거를 검토하며 형사 고발 가능성을 논의합니다.</t>
        </is>
      </c>
    </row>
    <row r="787" ht="15" customHeight="1" s="11">
      <c r="A787" s="13" t="n">
        <v>786</v>
      </c>
      <c r="B787" s="13" t="n">
        <v>56</v>
      </c>
      <c r="C787" s="14">
        <f>INDEX('부작 목록'!$C$2:$C$66,B787)</f>
        <v/>
      </c>
      <c r="D787" s="14" t="inlineStr">
        <is>
          <t>E 빅토르 안전가옥 세션</t>
        </is>
      </c>
      <c r="E787" s="13" t="n">
        <v>14585</v>
      </c>
      <c r="F787" s="13" t="n">
        <v>8</v>
      </c>
      <c r="G787" s="15" t="inlineStr">
        <is>
          <t>몇 주 후, 마르코스가 사망 사례 전체 검토 결과를 세션에 보고합니다.</t>
        </is>
      </c>
    </row>
    <row r="788" ht="15" customHeight="1" s="11">
      <c r="A788" s="13" t="n">
        <v>787</v>
      </c>
      <c r="B788" s="13" t="n">
        <v>56</v>
      </c>
      <c r="C788" s="14">
        <f>INDEX('부작 목록'!$C$2:$C$66,B788)</f>
        <v/>
      </c>
      <c r="D788" s="14" t="inlineStr">
        <is>
          <t>E 빅토르 안전가옥 세션</t>
        </is>
      </c>
      <c r="E788" s="13" t="n">
        <v>14595</v>
      </c>
      <c r="F788" s="13" t="n">
        <v>8</v>
      </c>
      <c r="G788" s="15" t="inlineStr">
        <is>
          <t>다음 날, 알바로의 기사가 발행되며 그 파장이 즉시 나타납니다.</t>
        </is>
      </c>
    </row>
    <row r="789" ht="15" customHeight="1" s="11">
      <c r="A789" s="13" t="n">
        <v>788</v>
      </c>
      <c r="B789" s="13" t="n">
        <v>56</v>
      </c>
      <c r="C789" s="14">
        <f>INDEX('부작 목록'!$C$2:$C$66,B789)</f>
        <v/>
      </c>
      <c r="D789" s="14" t="inlineStr">
        <is>
          <t>E 빅토르 안전가옥 세션</t>
        </is>
      </c>
      <c r="E789" s="13" t="n">
        <v>14606</v>
      </c>
      <c r="F789" s="13" t="n">
        <v>8</v>
      </c>
      <c r="G789" s="15" t="inlineStr">
        <is>
          <t>며칠 후, 검찰이 정식 수사에 착수하며 리카르도 푸엔테스 살라사르가 체포됩니다.</t>
        </is>
      </c>
    </row>
    <row r="790" ht="15" customHeight="1" s="11">
      <c r="A790" s="13" t="n">
        <v>789</v>
      </c>
      <c r="B790" s="13" t="n">
        <v>56</v>
      </c>
      <c r="C790" s="14">
        <f>INDEX('부작 목록'!$C$2:$C$66,B790)</f>
        <v/>
      </c>
      <c r="D790" s="14" t="inlineStr">
        <is>
          <t>E 빅토르 안전가옥 세션</t>
        </is>
      </c>
      <c r="E790" s="13" t="n">
        <v>14616</v>
      </c>
      <c r="F790" s="13" t="n">
        <v>8</v>
      </c>
      <c r="G790" s="15" t="inlineStr">
        <is>
          <t>그날 밤, 알바로가 카밀라에게 이 사건이 로셀요 검거에 갖는 전략적 의미를 이야기합니다.</t>
        </is>
      </c>
    </row>
    <row r="791" ht="15" customHeight="1" s="11">
      <c r="A791" s="13" t="n">
        <v>790</v>
      </c>
      <c r="B791" s="13" t="n">
        <v>56</v>
      </c>
      <c r="C791" s="14">
        <f>INDEX('부작 목록'!$C$2:$C$66,B791)</f>
        <v/>
      </c>
      <c r="D791" s="14" t="inlineStr">
        <is>
          <t>E 빅토르 안전가옥 세션</t>
        </is>
      </c>
      <c r="E791" s="13" t="n">
        <v>14627</v>
      </c>
      <c r="F791" s="13" t="n">
        <v>8</v>
      </c>
      <c r="G791" s="15" t="inlineStr">
        <is>
          <t>일주일 후, 푸엔테스 살라사르가 협조를 결정하며 그 진술 내용이 세션에서 공유됩니다.</t>
        </is>
      </c>
    </row>
    <row r="792" ht="15" customHeight="1" s="11">
      <c r="A792" s="13" t="n">
        <v>791</v>
      </c>
      <c r="B792" s="13" t="n">
        <v>56</v>
      </c>
      <c r="C792" s="14">
        <f>INDEX('부작 목록'!$C$2:$C$66,B792)</f>
        <v/>
      </c>
      <c r="D792" s="14" t="inlineStr">
        <is>
          <t>E 빅토르 안전가옥 세션</t>
        </is>
      </c>
      <c r="E792" s="13" t="n">
        <v>14637</v>
      </c>
      <c r="F792" s="13" t="n">
        <v>8</v>
      </c>
      <c r="G792" s="15" t="inlineStr">
        <is>
          <t>며칠 후, 마르코스가 IP 추적 결과를 세션에 보고합니다.</t>
        </is>
      </c>
    </row>
    <row r="793" ht="15" customHeight="1" s="11">
      <c r="A793" s="13" t="n">
        <v>792</v>
      </c>
      <c r="B793" s="13" t="n">
        <v>56</v>
      </c>
      <c r="C793" s="14">
        <f>INDEX('부작 목록'!$C$2:$C$66,B793)</f>
        <v/>
      </c>
      <c r="D793" s="14" t="inlineStr">
        <is>
          <t>E 빅토르 안전가옥 세션</t>
        </is>
      </c>
      <c r="E793" s="13" t="n">
        <v>14648</v>
      </c>
      <c r="F793" s="13" t="n">
        <v>6</v>
      </c>
      <c r="G793" s="15" t="inlineStr">
        <is>
          <t>몇 주 후, 제약회사 관련 재판이 시작되며 알바로가 그 과정을 취재합니다.</t>
        </is>
      </c>
    </row>
    <row r="794" ht="15" customHeight="1" s="11">
      <c r="A794" s="13" t="n">
        <v>793</v>
      </c>
      <c r="B794" s="13" t="n">
        <v>56</v>
      </c>
      <c r="C794" s="14">
        <f>INDEX('부작 목록'!$C$2:$C$66,B794)</f>
        <v/>
      </c>
      <c r="D794" s="14" t="inlineStr">
        <is>
          <t>E 빅토르 안전가옥 세션</t>
        </is>
      </c>
      <c r="E794" s="13" t="n">
        <v>14656</v>
      </c>
      <c r="F794" s="13" t="n">
        <v>8</v>
      </c>
      <c r="G794" s="15" t="inlineStr">
        <is>
          <t>몇 주 후, 최종 판결이 나오며 세션에서 그 결과를 정리합니다.</t>
        </is>
      </c>
    </row>
    <row r="795" ht="15" customHeight="1" s="11">
      <c r="A795" s="13" t="n">
        <v>794</v>
      </c>
      <c r="B795" s="13" t="n">
        <v>56</v>
      </c>
      <c r="C795" s="14">
        <f>INDEX('부작 목록'!$C$2:$C$66,B795)</f>
        <v/>
      </c>
      <c r="D795" s="14" t="inlineStr">
        <is>
          <t>E 빅토르 안전가옥 세션</t>
        </is>
      </c>
      <c r="E795" s="13" t="n">
        <v>14667</v>
      </c>
      <c r="F795" s="13" t="n">
        <v>8</v>
      </c>
      <c r="G795" s="15" t="inlineStr">
        <is>
          <t>그날 밤, 알바로가 사망한 환자의 딸에게 판결 소식을 전하며 짧은 대화를 나눕니다.</t>
        </is>
      </c>
    </row>
    <row r="796" ht="15" customHeight="1" s="11">
      <c r="A796" s="13" t="n">
        <v>795</v>
      </c>
      <c r="B796" s="13" t="n">
        <v>56</v>
      </c>
      <c r="C796" s="14">
        <f>INDEX('부작 목록'!$C$2:$C$66,B796)</f>
        <v/>
      </c>
      <c r="D796" s="14" t="inlineStr">
        <is>
          <t>E 빅토르 안전가옥 세션</t>
        </is>
      </c>
      <c r="E796" s="13" t="n">
        <v>14677</v>
      </c>
      <c r="F796" s="13" t="n">
        <v>9</v>
      </c>
      <c r="G796" s="15" t="inlineStr">
        <is>
          <t>세션에서, 팀이 임상시험 전반의 제도 개선안을 논의하며 이 사건에서 배운 교훈을 정리합니다.</t>
        </is>
      </c>
    </row>
    <row r="797" ht="15" customHeight="1" s="11">
      <c r="A797" s="13" t="n">
        <v>796</v>
      </c>
      <c r="B797" s="13" t="n">
        <v>56</v>
      </c>
      <c r="C797" s="14">
        <f>INDEX('부작 목록'!$C$2:$C$66,B797)</f>
        <v/>
      </c>
      <c r="D797" s="14" t="inlineStr">
        <is>
          <t>E 빅토르 안전가옥 세션</t>
        </is>
      </c>
      <c r="E797" s="13" t="n">
        <v>14689</v>
      </c>
      <c r="F797" s="13" t="n">
        <v>9</v>
      </c>
      <c r="G797" s="15" t="inlineStr">
        <is>
          <t>빅토르가 이 사건이 로셀요 검거에 갖는 의미를 정리하며 다음 단계를 제안합니다.</t>
        </is>
      </c>
    </row>
    <row r="798" ht="15" customHeight="1" s="11">
      <c r="A798" s="13" t="n">
        <v>797</v>
      </c>
      <c r="B798" s="13" t="n">
        <v>56</v>
      </c>
      <c r="C798" s="14">
        <f>INDEX('부작 목록'!$C$2:$C$66,B798)</f>
        <v/>
      </c>
      <c r="D798" s="14" t="inlineStr">
        <is>
          <t>E 빅토르 안전가옥 세션</t>
        </is>
      </c>
      <c r="E798" s="13" t="n">
        <v>14700</v>
      </c>
      <c r="F798" s="13" t="n">
        <v>9</v>
      </c>
      <c r="G798" s="15" t="inlineStr">
        <is>
          <t>팀 전체가 지금까지 다룬 모든 사건을 종합하며, 로셀요 검거 국면으로의 전환을 확인합니다.</t>
        </is>
      </c>
    </row>
    <row r="799" ht="15" customHeight="1" s="11">
      <c r="A799" s="13" t="n">
        <v>798</v>
      </c>
      <c r="B799" s="13" t="n">
        <v>56</v>
      </c>
      <c r="C799" s="14">
        <f>INDEX('부작 목록'!$C$2:$C$66,B799)</f>
        <v/>
      </c>
      <c r="D799" s="14" t="inlineStr">
        <is>
          <t>E 빅토르 안전가옥 세션</t>
        </is>
      </c>
      <c r="E799" s="13" t="n">
        <v>14712</v>
      </c>
      <c r="F799" s="13" t="n">
        <v>8</v>
      </c>
      <c r="G799" s="15" t="inlineStr">
        <is>
          <t>그날 밤, 알바로와 카밀라가 이 전환점에 대한 감회를 나눕니다.</t>
        </is>
      </c>
    </row>
    <row r="800" ht="15" customHeight="1" s="11">
      <c r="A800" s="13" t="n">
        <v>799</v>
      </c>
      <c r="B800" s="13" t="n">
        <v>57</v>
      </c>
      <c r="C800" s="14">
        <f>INDEX('부작 목록'!$C$2:$C$66,B800)</f>
        <v/>
      </c>
      <c r="D800" s="14" t="inlineStr">
        <is>
          <t>E 빅토르 안전가옥 세션</t>
        </is>
      </c>
      <c r="E800" s="13" t="n">
        <v>14722</v>
      </c>
      <c r="F800" s="13" t="n">
        <v>5</v>
      </c>
      <c r="G800" s="15" t="inlineStr">
        <is>
          <t>다음 날 아침, 세션 시작 전 카를로스와 빅토르가 마지막 준비 상황을 점검합니다.</t>
        </is>
      </c>
    </row>
    <row r="801" ht="15" customHeight="1" s="11">
      <c r="A801" s="13" t="n">
        <v>800</v>
      </c>
      <c r="B801" s="13" t="n">
        <v>57</v>
      </c>
      <c r="C801" s="14">
        <f>INDEX('부작 목록'!$C$2:$C$66,B801)</f>
        <v/>
      </c>
      <c r="D801" s="14" t="inlineStr">
        <is>
          <t>E 빅토르 안전가옥 세션</t>
        </is>
      </c>
      <c r="E801" s="13" t="n">
        <v>14730</v>
      </c>
      <c r="F801" s="13" t="n">
        <v>13</v>
      </c>
      <c r="G801" s="15" t="inlineStr">
        <is>
          <t>알바로와 카밀라, 마르코스가 도착하며 세션이 정식으로 시작됩니다.</t>
        </is>
      </c>
    </row>
    <row r="802" ht="28.35" customHeight="1" s="11">
      <c r="A802" s="13" t="n">
        <v>801</v>
      </c>
      <c r="B802" s="13" t="n">
        <v>57</v>
      </c>
      <c r="C802" s="14">
        <f>INDEX('부작 목록'!$C$2:$C$66,B802)</f>
        <v/>
      </c>
      <c r="D802" s="14" t="inlineStr">
        <is>
          <t>E 빅토르 안전가옥 세션</t>
        </is>
      </c>
      <c r="E802" s="13" t="n">
        <v>14745</v>
      </c>
      <c r="F802" s="13" t="n">
        <v>17</v>
      </c>
      <c r="G802" s="15" t="inlineStr">
        <is>
          <t>빅토르가 로셀요와 연결된 국제 예술품 위조 공방을 밝힙니다 — 유명 작가의 작품을 정교하게 위조해 경매시장에 유통시키는 조직입니다.</t>
        </is>
      </c>
    </row>
    <row r="803" ht="15" customHeight="1" s="11">
      <c r="A803" s="13" t="n">
        <v>802</v>
      </c>
      <c r="B803" s="13" t="n">
        <v>57</v>
      </c>
      <c r="C803" s="14">
        <f>INDEX('부작 목록'!$C$2:$C$66,B803)</f>
        <v/>
      </c>
      <c r="D803" s="14" t="inlineStr">
        <is>
          <t>E 빅토르 안전가옥 세션</t>
        </is>
      </c>
      <c r="E803" s="13" t="n">
        <v>14765</v>
      </c>
      <c r="F803" s="13" t="n">
        <v>8</v>
      </c>
      <c r="G803" s="15" t="inlineStr">
        <is>
          <t>며칠 후, 카밀라가 결제 흐름을 통해 공방의 대략적 위치를 특정합니다.</t>
        </is>
      </c>
    </row>
    <row r="804" ht="15" customHeight="1" s="11">
      <c r="A804" s="13" t="n">
        <v>803</v>
      </c>
      <c r="B804" s="13" t="n">
        <v>57</v>
      </c>
      <c r="C804" s="14">
        <f>INDEX('부작 목록'!$C$2:$C$66,B804)</f>
        <v/>
      </c>
      <c r="D804" s="14" t="inlineStr">
        <is>
          <t>E 빅토르 안전가옥 세션</t>
        </is>
      </c>
      <c r="E804" s="13" t="n">
        <v>14776</v>
      </c>
      <c r="F804" s="13" t="n">
        <v>8</v>
      </c>
      <c r="G804" s="15" t="inlineStr">
        <is>
          <t>급습 당일. 경찰이 론다 인근 공방을 급습하며, 카를로스가 실시간으로 상황을 보고받습니다.</t>
        </is>
      </c>
    </row>
    <row r="805" ht="15" customHeight="1" s="11">
      <c r="A805" s="13" t="n">
        <v>804</v>
      </c>
      <c r="B805" s="13" t="n">
        <v>57</v>
      </c>
      <c r="C805" s="14">
        <f>INDEX('부작 목록'!$C$2:$C$66,B805)</f>
        <v/>
      </c>
      <c r="D805" s="14" t="inlineStr">
        <is>
          <t>E 빅토르 안전가옥 세션</t>
        </is>
      </c>
      <c r="E805" s="13" t="n">
        <v>14786</v>
      </c>
      <c r="F805" s="13" t="n">
        <v>13</v>
      </c>
      <c r="G805" s="15" t="inlineStr">
        <is>
          <t>다음 날, 알바로가 에밀리오를 면회하며 그의 이야기를 직접 듣습니다.</t>
        </is>
      </c>
    </row>
    <row r="806" ht="15" customHeight="1" s="11">
      <c r="A806" s="13" t="n">
        <v>805</v>
      </c>
      <c r="B806" s="13" t="n">
        <v>57</v>
      </c>
      <c r="C806" s="14">
        <f>INDEX('부작 목록'!$C$2:$C$66,B806)</f>
        <v/>
      </c>
      <c r="D806" s="14" t="inlineStr">
        <is>
          <t>E 빅토르 안전가옥 세션</t>
        </is>
      </c>
      <c r="E806" s="13" t="n">
        <v>14802</v>
      </c>
      <c r="F806" s="13" t="n">
        <v>9</v>
      </c>
      <c r="G806" s="15" t="inlineStr">
        <is>
          <t>세션에서, 팀이 압수한 통신 기록 분석 결과와 미술관·경매업계 통보 계획을 논의합니다.</t>
        </is>
      </c>
    </row>
    <row r="807" ht="15" customHeight="1" s="11">
      <c r="A807" s="13" t="n">
        <v>806</v>
      </c>
      <c r="B807" s="13" t="n">
        <v>57</v>
      </c>
      <c r="C807" s="14">
        <f>INDEX('부작 목록'!$C$2:$C$66,B807)</f>
        <v/>
      </c>
      <c r="D807" s="14" t="inlineStr">
        <is>
          <t>E 빅토르 안전가옥 세션</t>
        </is>
      </c>
      <c r="E807" s="13" t="n">
        <v>14813</v>
      </c>
      <c r="F807" s="13" t="n">
        <v>7</v>
      </c>
      <c r="G807" s="15" t="inlineStr">
        <is>
          <t>며칠 후, 마르코스가 압수된 컴퓨터에서 추가 증거를 발견하며 세션에 보고합니다.</t>
        </is>
      </c>
    </row>
    <row r="808" ht="15" customHeight="1" s="11">
      <c r="A808" s="13" t="n">
        <v>807</v>
      </c>
      <c r="B808" s="13" t="n">
        <v>57</v>
      </c>
      <c r="C808" s="14">
        <f>INDEX('부작 목록'!$C$2:$C$66,B808)</f>
        <v/>
      </c>
      <c r="D808" s="14" t="inlineStr">
        <is>
          <t>E 빅토르 안전가옥 세션</t>
        </is>
      </c>
      <c r="E808" s="13" t="n">
        <v>14822</v>
      </c>
      <c r="F808" s="13" t="n">
        <v>9</v>
      </c>
      <c r="G808" s="15" t="inlineStr">
        <is>
          <t>일주일 후, 마르코스의 언어 분석 결과가 나오며 세션이 재개됩니다.</t>
        </is>
      </c>
    </row>
    <row r="809" ht="15" customHeight="1" s="11">
      <c r="A809" s="13" t="n">
        <v>808</v>
      </c>
      <c r="B809" s="13" t="n">
        <v>57</v>
      </c>
      <c r="C809" s="14">
        <f>INDEX('부작 목록'!$C$2:$C$66,B809)</f>
        <v/>
      </c>
      <c r="D809" s="14" t="inlineStr">
        <is>
          <t>E 빅토르 안전가옥 세션</t>
        </is>
      </c>
      <c r="E809" s="13" t="n">
        <v>14834</v>
      </c>
      <c r="F809" s="13" t="n">
        <v>12</v>
      </c>
      <c r="G809" s="15" t="inlineStr">
        <is>
          <t>며칠 후, 알바로의 기사가 발행되며 국제 미술계의 반응이 나타납니다. 세션에서 그 파장을 논 의합니다.</t>
        </is>
      </c>
    </row>
    <row r="810" ht="15" customHeight="1" s="11">
      <c r="A810" s="13" t="n">
        <v>809</v>
      </c>
      <c r="B810" s="13" t="n">
        <v>57</v>
      </c>
      <c r="C810" s="14">
        <f>INDEX('부작 목록'!$C$2:$C$66,B810)</f>
        <v/>
      </c>
      <c r="D810" s="14" t="inlineStr">
        <is>
          <t>E 빅토르 안전가옥 세션</t>
        </is>
      </c>
      <c r="E810" s="13" t="n">
        <v>14848</v>
      </c>
      <c r="F810" s="13" t="n">
        <v>11</v>
      </c>
      <c r="G810" s="15" t="inlineStr">
        <is>
          <t>카밀라가 남아있는 재무적 실마리를 더 조사하며, 관련된 두 번째 위조 공방의 흔적을 발견합니</t>
        </is>
      </c>
    </row>
    <row r="811" ht="15" customHeight="1" s="11">
      <c r="A811" s="13" t="n">
        <v>810</v>
      </c>
      <c r="B811" s="13" t="n">
        <v>57</v>
      </c>
      <c r="C811" s="14">
        <f>INDEX('부작 목록'!$C$2:$C$66,B811)</f>
        <v/>
      </c>
      <c r="D811" s="14" t="inlineStr">
        <is>
          <t>E 빅토르 안전가옥 세션</t>
        </is>
      </c>
      <c r="E811" s="13" t="n">
        <v>14862</v>
      </c>
      <c r="F811" s="13" t="n">
        <v>10</v>
      </c>
      <c r="G811" s="15" t="inlineStr">
        <is>
          <t>몇 주 후, 이탈리아 공조 결과와 함께 카밀라가 이탈리아 측 협조 성과를 보고합니다.</t>
        </is>
      </c>
    </row>
    <row r="812" ht="15" customHeight="1" s="11">
      <c r="A812" s="13" t="n">
        <v>811</v>
      </c>
      <c r="B812" s="13" t="n">
        <v>57</v>
      </c>
      <c r="C812" s="14">
        <f>INDEX('부작 목록'!$C$2:$C$66,B812)</f>
        <v/>
      </c>
      <c r="D812" s="14" t="inlineStr">
        <is>
          <t>E 빅토르 안전가옥 세션</t>
        </is>
      </c>
      <c r="E812" s="13" t="n">
        <v>14875</v>
      </c>
      <c r="F812" s="13" t="n">
        <v>10</v>
      </c>
      <c r="G812" s="15" t="inlineStr">
        <is>
          <t>그날 밤, 알바로와 카밀라가 예술품 위조 사건이 남긴 여운에 대해 이야기합니다.</t>
        </is>
      </c>
    </row>
    <row r="813" ht="15" customHeight="1" s="11">
      <c r="A813" s="13" t="n">
        <v>812</v>
      </c>
      <c r="B813" s="13" t="n">
        <v>57</v>
      </c>
      <c r="C813" s="14">
        <f>INDEX('부작 목록'!$C$2:$C$66,B813)</f>
        <v/>
      </c>
      <c r="D813" s="14" t="inlineStr">
        <is>
          <t>E 빅토르 안전가옥 세션</t>
        </is>
      </c>
      <c r="E813" s="13" t="n">
        <v>14887</v>
      </c>
      <c r="F813" s="13" t="n">
        <v>11</v>
      </c>
      <c r="G813" s="15" t="inlineStr">
        <is>
          <t>다음 세션, 카를로스가 에밀리오 재판 준비 상황과 위조 미술품 회수 절차에 대해 업데이트합니</t>
        </is>
      </c>
    </row>
    <row r="814" ht="15" customHeight="1" s="11">
      <c r="A814" s="13" t="n">
        <v>813</v>
      </c>
      <c r="B814" s="13" t="n">
        <v>57</v>
      </c>
      <c r="C814" s="14">
        <f>INDEX('부작 목록'!$C$2:$C$66,B814)</f>
        <v/>
      </c>
      <c r="D814" s="14" t="inlineStr">
        <is>
          <t>E 빅토르 안전가옥 세션</t>
        </is>
      </c>
      <c r="E814" s="13" t="n">
        <v>14901</v>
      </c>
      <c r="F814" s="13" t="n">
        <v>11</v>
      </c>
      <c r="G814" s="15" t="inlineStr">
        <is>
          <t>마지막 정리 세션. 팀 전체가 이 사건에서 얻은 교훈과 예술시장 규제 개선안을 논의하며 아크 를 마무리합니다.</t>
        </is>
      </c>
    </row>
    <row r="815" ht="15" customHeight="1" s="11">
      <c r="A815" s="13" t="n">
        <v>814</v>
      </c>
      <c r="B815" s="13" t="n">
        <v>57</v>
      </c>
      <c r="C815" s="14">
        <f>INDEX('부작 목록'!$C$2:$C$66,B815)</f>
        <v/>
      </c>
      <c r="D815" s="14" t="inlineStr">
        <is>
          <t>E 빅토르 안전가옥 세션</t>
        </is>
      </c>
      <c r="E815" s="13" t="n">
        <v>14915</v>
      </c>
      <c r="F815" s="13" t="n">
        <v>9</v>
      </c>
      <c r="G815" s="15" t="inlineStr">
        <is>
          <t>몇 주 후, 에밀리오의 재판이 시작되며 알바로가 법정을 취재합니다.</t>
        </is>
      </c>
    </row>
    <row r="816" ht="15" customHeight="1" s="11">
      <c r="A816" s="13" t="n">
        <v>815</v>
      </c>
      <c r="B816" s="13" t="n">
        <v>57</v>
      </c>
      <c r="C816" s="14">
        <f>INDEX('부작 목록'!$C$2:$C$66,B816)</f>
        <v/>
      </c>
      <c r="D816" s="14" t="inlineStr">
        <is>
          <t>E 빅토르 안전가옥 세션</t>
        </is>
      </c>
      <c r="E816" s="13" t="n">
        <v>14926</v>
      </c>
      <c r="F816" s="13" t="n">
        <v>11</v>
      </c>
      <c r="G816" s="15" t="inlineStr">
        <is>
          <t>팀 세션으로 돌아와, 카를로스가 이탈리아 공방 재판 결과와 유럽 전역의 후속 대응을 정리합니 다.</t>
        </is>
      </c>
    </row>
    <row r="817" ht="15" customHeight="1" s="11">
      <c r="A817" s="13" t="n">
        <v>816</v>
      </c>
      <c r="B817" s="13" t="n">
        <v>57</v>
      </c>
      <c r="C817" s="14">
        <f>INDEX('부작 목록'!$C$2:$C$66,B817)</f>
        <v/>
      </c>
      <c r="D817" s="14" t="inlineStr">
        <is>
          <t>E 빅토르 안전가옥 세션</t>
        </is>
      </c>
      <c r="E817" s="13" t="n">
        <v>14939</v>
      </c>
      <c r="F817" s="13" t="n">
        <v>10</v>
      </c>
      <c r="G817" s="15" t="inlineStr">
        <is>
          <t>세션에서, 카를로스가 이탈리아 측 재판 준비 상황과 유럽 공조 성과를 종합 보고합니다.</t>
        </is>
      </c>
    </row>
    <row r="818" ht="15" customHeight="1" s="11">
      <c r="A818" s="13" t="n">
        <v>817</v>
      </c>
      <c r="B818" s="13" t="n">
        <v>57</v>
      </c>
      <c r="C818" s="14">
        <f>INDEX('부작 목록'!$C$2:$C$66,B818)</f>
        <v/>
      </c>
      <c r="D818" s="14" t="inlineStr">
        <is>
          <t>E 빅토르 안전가옥 세션</t>
        </is>
      </c>
      <c r="E818" s="13" t="n">
        <v>14952</v>
      </c>
      <c r="F818" s="13" t="n">
        <v>9</v>
      </c>
      <c r="G818" s="15" t="inlineStr">
        <is>
          <t>그날 밤, 알바로가 카밀라에게 전체 사건이 자신에게 남긴 깊은 인상을 이야기합니다.</t>
        </is>
      </c>
    </row>
    <row r="819" ht="15" customHeight="1" s="11">
      <c r="A819" s="13" t="n">
        <v>818</v>
      </c>
      <c r="B819" s="13" t="n">
        <v>57</v>
      </c>
      <c r="C819" s="14">
        <f>INDEX('부작 목록'!$C$2:$C$66,B819)</f>
        <v/>
      </c>
      <c r="D819" s="14" t="inlineStr">
        <is>
          <t>E 빅토르 안전가옥 세션</t>
        </is>
      </c>
      <c r="E819" s="13" t="n">
        <v>14963</v>
      </c>
      <c r="F819" s="13" t="n">
        <v>9</v>
      </c>
      <c r="G819" s="15" t="inlineStr">
        <is>
          <t>마르코스가 포르투갈 쪽 의혹을 추가로 조사한 결과를 세션에 보고합니다.</t>
        </is>
      </c>
    </row>
    <row r="820" ht="15" customHeight="1" s="11">
      <c r="A820" s="13" t="n">
        <v>819</v>
      </c>
      <c r="B820" s="13" t="n">
        <v>57</v>
      </c>
      <c r="C820" s="14">
        <f>INDEX('부작 목록'!$C$2:$C$66,B820)</f>
        <v/>
      </c>
      <c r="D820" s="14" t="inlineStr">
        <is>
          <t>E 빅토르 안전가옥 세션</t>
        </is>
      </c>
      <c r="E820" s="13" t="n">
        <v>14975</v>
      </c>
      <c r="F820" s="13" t="n">
        <v>10</v>
      </c>
      <c r="G820" s="15" t="inlineStr">
        <is>
          <t>세션의 마지막 장면. 팀 전체가 이 사건을 공식적으로 종결하며 다음 사건으로 넘어갈 준비를 합니다.</t>
        </is>
      </c>
    </row>
    <row r="821" ht="15" customHeight="1" s="11">
      <c r="A821" s="13" t="n">
        <v>820</v>
      </c>
      <c r="B821" s="13" t="n">
        <v>57</v>
      </c>
      <c r="C821" s="14">
        <f>INDEX('부작 목록'!$C$2:$C$66,B821)</f>
        <v/>
      </c>
      <c r="D821" s="14" t="inlineStr">
        <is>
          <t>E 빅토르 안전가옥 세션</t>
        </is>
      </c>
      <c r="E821" s="13" t="n">
        <v>14988</v>
      </c>
      <c r="F821" s="13" t="n">
        <v>15</v>
      </c>
      <c r="G821" s="15" t="inlineStr">
        <is>
          <t>세션이 끝난 뒤, 알바로가 빅토르에게 개인적으로 감사를 전하며 대화가 마무리됩니다.</t>
        </is>
      </c>
    </row>
    <row r="822" ht="28.35" customHeight="1" s="11">
      <c r="A822" s="13" t="n">
        <v>821</v>
      </c>
      <c r="B822" s="13" t="n">
        <v>58</v>
      </c>
      <c r="C822" s="14">
        <f>INDEX('부작 목록'!$C$2:$C$66,B822)</f>
        <v/>
      </c>
      <c r="D822" s="14" t="inlineStr">
        <is>
          <t>E 빅토르 안전가옥 세션</t>
        </is>
      </c>
      <c r="E822" s="13" t="n">
        <v>15005</v>
      </c>
      <c r="F822" s="13" t="n">
        <v>16</v>
      </c>
      <c r="G822" s="15" t="inlineStr">
        <is>
          <t>새로운 국면. 빅토르가 '푸른 열차 작전'을 소개합니다 — 로셀요의 실제 이동 패턴(기차·항공·차 량)을 추적해 예측 가능한 규칙을 찾는 첫 단계입니다.</t>
        </is>
      </c>
    </row>
    <row r="823" ht="15" customHeight="1" s="11">
      <c r="A823" s="13" t="n">
        <v>822</v>
      </c>
      <c r="B823" s="13" t="n">
        <v>58</v>
      </c>
      <c r="C823" s="14">
        <f>INDEX('부작 목록'!$C$2:$C$66,B823)</f>
        <v/>
      </c>
      <c r="D823" s="14" t="inlineStr">
        <is>
          <t>E 빅토르 안전가옥 세션</t>
        </is>
      </c>
      <c r="E823" s="13" t="n">
        <v>15024</v>
      </c>
      <c r="F823" s="13" t="n">
        <v>10</v>
      </c>
      <c r="G823" s="15" t="inlineStr">
        <is>
          <t>일주일 후, 마르코스가 카드 사용 패턴 초기 분석 결과를 세션에 보고합니다.</t>
        </is>
      </c>
    </row>
    <row r="824" ht="15" customHeight="1" s="11">
      <c r="A824" s="13" t="n">
        <v>823</v>
      </c>
      <c r="B824" s="13" t="n">
        <v>58</v>
      </c>
      <c r="C824" s="14">
        <f>INDEX('부작 목록'!$C$2:$C$66,B824)</f>
        <v/>
      </c>
      <c r="D824" s="14" t="inlineStr">
        <is>
          <t>E 빅토르 안전가옥 세션</t>
        </is>
      </c>
      <c r="E824" s="13" t="n">
        <v>15036</v>
      </c>
      <c r="F824" s="13" t="n">
        <v>9</v>
      </c>
      <c r="G824" s="15" t="inlineStr">
        <is>
          <t>카를로스가 감시 배치 계획을 논의하며, 스위스·이탈리아 당국과의 공조를 확정합니다.</t>
        </is>
      </c>
    </row>
    <row r="825" ht="15" customHeight="1" s="11">
      <c r="A825" s="13" t="n">
        <v>824</v>
      </c>
      <c r="B825" s="13" t="n">
        <v>58</v>
      </c>
      <c r="C825" s="14">
        <f>INDEX('부작 목록'!$C$2:$C$66,B825)</f>
        <v/>
      </c>
      <c r="D825" s="14" t="inlineStr">
        <is>
          <t>E 빅토르 안전가옥 세션</t>
        </is>
      </c>
      <c r="E825" s="13" t="n">
        <v>15048</v>
      </c>
      <c r="F825" s="13" t="n">
        <v>8</v>
      </c>
      <c r="G825" s="15" t="inlineStr">
        <is>
          <t>열흘 후, 감시 첫날. 팀이 실시간으로 결과를 기다립니다.</t>
        </is>
      </c>
    </row>
    <row r="826" ht="15" customHeight="1" s="11">
      <c r="A826" s="13" t="n">
        <v>825</v>
      </c>
      <c r="B826" s="13" t="n">
        <v>58</v>
      </c>
      <c r="C826" s="14">
        <f>INDEX('부작 목록'!$C$2:$C$66,B826)</f>
        <v/>
      </c>
      <c r="D826" s="14" t="inlineStr">
        <is>
          <t>E 빅토르 안전가옥 세션</t>
        </is>
      </c>
      <c r="E826" s="13" t="n">
        <v>15058</v>
      </c>
      <c r="F826" s="13" t="n">
        <v>8</v>
      </c>
      <c r="G826" s="15" t="inlineStr">
        <is>
          <t>이탈리아 경찰이 밀라노역에서 로셀요를 목격한 뒤 후속 상황을 보고합니다.</t>
        </is>
      </c>
    </row>
    <row r="827" ht="15" customHeight="1" s="11">
      <c r="A827" s="13" t="n">
        <v>826</v>
      </c>
      <c r="B827" s="13" t="n">
        <v>58</v>
      </c>
      <c r="C827" s="14">
        <f>INDEX('부작 목록'!$C$2:$C$66,B827)</f>
        <v/>
      </c>
      <c r="D827" s="14" t="inlineStr">
        <is>
          <t>E 빅토르 안전가옥 세션</t>
        </is>
      </c>
      <c r="E827" s="13" t="n">
        <v>15069</v>
      </c>
      <c r="F827" s="13" t="n">
        <v>8</v>
      </c>
      <c r="G827" s="15" t="inlineStr">
        <is>
          <t>며칠 후, 카밀라가 밀라노 건물 조사 결과를 세션에 보고합니다.</t>
        </is>
      </c>
    </row>
    <row r="828" ht="15" customHeight="1" s="11">
      <c r="A828" s="13" t="n">
        <v>827</v>
      </c>
      <c r="B828" s="13" t="n">
        <v>58</v>
      </c>
      <c r="C828" s="14">
        <f>INDEX('부작 목록'!$C$2:$C$66,B828)</f>
        <v/>
      </c>
      <c r="D828" s="14" t="inlineStr">
        <is>
          <t>E 빅토르 안전가옥 세션</t>
        </is>
      </c>
      <c r="E828" s="13" t="n">
        <v>15079</v>
      </c>
      <c r="F828" s="13" t="n">
        <v>9</v>
      </c>
      <c r="G828" s="15" t="inlineStr">
        <is>
          <t>카를로스가 다음 달 감시를 강화하는 계획을 세우며, 이탈리아 당국과 확대된 공조를 논의합니 다.</t>
        </is>
      </c>
    </row>
    <row r="829" ht="15" customHeight="1" s="11">
      <c r="A829" s="13" t="n">
        <v>828</v>
      </c>
      <c r="B829" s="13" t="n">
        <v>58</v>
      </c>
      <c r="C829" s="14">
        <f>INDEX('부작 목록'!$C$2:$C$66,B829)</f>
        <v/>
      </c>
      <c r="D829" s="14" t="inlineStr">
        <is>
          <t>E 빅토르 안전가옥 세션</t>
        </is>
      </c>
      <c r="E829" s="13" t="n">
        <v>15091</v>
      </c>
      <c r="F829" s="13" t="n">
        <v>8</v>
      </c>
      <c r="G829" s="15" t="inlineStr">
        <is>
          <t>그날 밤, 알바로가 카밀라에게 로셀요를 직접 목격한 순간의 감정을 이야기합니다.</t>
        </is>
      </c>
    </row>
    <row r="830" ht="15" customHeight="1" s="11">
      <c r="A830" s="13" t="n">
        <v>829</v>
      </c>
      <c r="B830" s="13" t="n">
        <v>58</v>
      </c>
      <c r="C830" s="14">
        <f>INDEX('부작 목록'!$C$2:$C$66,B830)</f>
        <v/>
      </c>
      <c r="D830" s="14" t="inlineStr">
        <is>
          <t>E 빅토르 안전가옥 세션</t>
        </is>
      </c>
      <c r="E830" s="13" t="n">
        <v>15101</v>
      </c>
      <c r="F830" s="13" t="n">
        <v>8</v>
      </c>
      <c r="G830" s="15" t="inlineStr">
        <is>
          <t>한 달 후, 다음 감시 사이클이 시작되며 세션에서 새로운 결과를 확인합니다.</t>
        </is>
      </c>
    </row>
    <row r="831" ht="15" customHeight="1" s="11">
      <c r="A831" s="13" t="n">
        <v>830</v>
      </c>
      <c r="B831" s="13" t="n">
        <v>58</v>
      </c>
      <c r="C831" s="14">
        <f>INDEX('부작 목록'!$C$2:$C$66,B831)</f>
        <v/>
      </c>
      <c r="D831" s="14" t="inlineStr">
        <is>
          <t>E 빅토르 안전가옥 세션</t>
        </is>
      </c>
      <c r="E831" s="13" t="n">
        <v>15112</v>
      </c>
      <c r="F831" s="13" t="n">
        <v>8</v>
      </c>
      <c r="G831" s="15" t="inlineStr">
        <is>
          <t>빅토르가 그 경호 차량이 자칼 팀과 관련이 있을 가능성을 제기합니다.</t>
        </is>
      </c>
    </row>
    <row r="832" ht="15" customHeight="1" s="11">
      <c r="A832" s="13" t="n">
        <v>831</v>
      </c>
      <c r="B832" s="13" t="n">
        <v>58</v>
      </c>
      <c r="C832" s="14">
        <f>INDEX('부작 목록'!$C$2:$C$66,B832)</f>
        <v/>
      </c>
      <c r="D832" s="14" t="inlineStr">
        <is>
          <t>E 빅토르 안전가옥 세션</t>
        </is>
      </c>
      <c r="E832" s="13" t="n">
        <v>15122</v>
      </c>
      <c r="F832" s="13" t="n">
        <v>8</v>
      </c>
      <c r="G832" s="15" t="inlineStr">
        <is>
          <t>카를로스가 이 발견에 대한 대응 전략을 정리하며 다음 단계를 지시합니다.</t>
        </is>
      </c>
    </row>
    <row r="833" ht="15" customHeight="1" s="11">
      <c r="A833" s="13" t="n">
        <v>832</v>
      </c>
      <c r="B833" s="13" t="n">
        <v>58</v>
      </c>
      <c r="C833" s="14">
        <f>INDEX('부작 목록'!$C$2:$C$66,B833)</f>
        <v/>
      </c>
      <c r="D833" s="14" t="inlineStr">
        <is>
          <t>E 빅토르 안전가옥 세션</t>
        </is>
      </c>
      <c r="E833" s="13" t="n">
        <v>15133</v>
      </c>
      <c r="F833" s="13" t="n">
        <v>8</v>
      </c>
      <c r="G833" s="15" t="inlineStr">
        <is>
          <t>며칠 후, 다른 두 노선(취리히-파리, 마드리드-리스본)에 대한 조사 결과가 보고됩니다.</t>
        </is>
      </c>
    </row>
    <row r="834" ht="15" customHeight="1" s="11">
      <c r="A834" s="13" t="n">
        <v>833</v>
      </c>
      <c r="B834" s="13" t="n">
        <v>58</v>
      </c>
      <c r="C834" s="14">
        <f>INDEX('부작 목록'!$C$2:$C$66,B834)</f>
        <v/>
      </c>
      <c r="D834" s="14" t="inlineStr">
        <is>
          <t>E 빅토르 안전가옥 세션</t>
        </is>
      </c>
      <c r="E834" s="13" t="n">
        <v>15143</v>
      </c>
      <c r="F834" s="13" t="n">
        <v>8</v>
      </c>
      <c r="G834" s="15" t="inlineStr">
        <is>
          <t>세 번째 감시 사이클. 팀이 이번엔 더 가까이서 관찰하며 새로운 정보를 얻습니다.</t>
        </is>
      </c>
    </row>
    <row r="835" ht="15" customHeight="1" s="11">
      <c r="A835" s="13" t="n">
        <v>834</v>
      </c>
      <c r="B835" s="13" t="n">
        <v>58</v>
      </c>
      <c r="C835" s="14">
        <f>INDEX('부작 목록'!$C$2:$C$66,B835)</f>
        <v/>
      </c>
      <c r="D835" s="14" t="inlineStr">
        <is>
          <t>E 빅토르 안전가옥 세션</t>
        </is>
      </c>
      <c r="E835" s="13" t="n">
        <v>15154</v>
      </c>
      <c r="F835" s="13" t="n">
        <v>8</v>
      </c>
      <c r="G835" s="15" t="inlineStr">
        <is>
          <t>며칠 후, 카밀라가 그 여성의 신원을 확인한 결과를 보고합니다.</t>
        </is>
      </c>
    </row>
    <row r="836" ht="15" customHeight="1" s="11">
      <c r="A836" s="13" t="n">
        <v>835</v>
      </c>
      <c r="B836" s="13" t="n">
        <v>58</v>
      </c>
      <c r="C836" s="14">
        <f>INDEX('부작 목록'!$C$2:$C$66,B836)</f>
        <v/>
      </c>
      <c r="D836" s="14" t="inlineStr">
        <is>
          <t>E 빅토르 안전가옥 세션</t>
        </is>
      </c>
      <c r="E836" s="13" t="n">
        <v>15164</v>
      </c>
      <c r="F836" s="13" t="n">
        <v>8</v>
      </c>
      <c r="G836" s="15" t="inlineStr">
        <is>
          <t>빅토르가 이 세 번째 관찰 주기 전체를 종합하며 다음 단계로 넘어갈 시점을 판단합니다.</t>
        </is>
      </c>
    </row>
    <row r="837" ht="15" customHeight="1" s="11">
      <c r="A837" s="13" t="n">
        <v>836</v>
      </c>
      <c r="B837" s="13" t="n">
        <v>58</v>
      </c>
      <c r="C837" s="14">
        <f>INDEX('부작 목록'!$C$2:$C$66,B837)</f>
        <v/>
      </c>
      <c r="D837" s="14" t="inlineStr">
        <is>
          <t>E 빅토르 안전가옥 세션</t>
        </is>
      </c>
      <c r="E837" s="13" t="n">
        <v>15175</v>
      </c>
      <c r="F837" s="13" t="n">
        <v>7</v>
      </c>
      <c r="G837" s="15" t="inlineStr">
        <is>
          <t>카를로스가 밀라노 감시를 계속 유지할지, 아니면 자원을 재배치할지 실무적으로 논의합니다.</t>
        </is>
      </c>
    </row>
    <row r="838" ht="15" customHeight="1" s="11">
      <c r="A838" s="13" t="n">
        <v>837</v>
      </c>
      <c r="B838" s="13" t="n">
        <v>58</v>
      </c>
      <c r="C838" s="14">
        <f>INDEX('부작 목록'!$C$2:$C$66,B838)</f>
        <v/>
      </c>
      <c r="D838" s="14" t="inlineStr">
        <is>
          <t>E 빅토르 안전가옥 세션</t>
        </is>
      </c>
      <c r="E838" s="13" t="n">
        <v>15184</v>
      </c>
      <c r="F838" s="13" t="n">
        <v>8</v>
      </c>
      <c r="G838" s="15" t="inlineStr">
        <is>
          <t>그날 밤, 알바로와 카밀라가 이번 작전의 성과를 되짚으며 저녁을 마무리합니다.</t>
        </is>
      </c>
    </row>
    <row r="839" ht="15" customHeight="1" s="11">
      <c r="A839" s="13" t="n">
        <v>838</v>
      </c>
      <c r="B839" s="13" t="n">
        <v>58</v>
      </c>
      <c r="C839" s="14">
        <f>INDEX('부작 목록'!$C$2:$C$66,B839)</f>
        <v/>
      </c>
      <c r="D839" s="14" t="inlineStr">
        <is>
          <t>E 빅토르 안전가옥 세션</t>
        </is>
      </c>
      <c r="E839" s="13" t="n">
        <v>15195</v>
      </c>
      <c r="F839" s="13" t="n">
        <v>7</v>
      </c>
      <c r="G839" s="15" t="inlineStr">
        <is>
          <t>다음 날 아침, 팀 전체가 모여 푸른 열차 작전을 공식적으로 마무리하며 종합 요약을 정리합니 다.</t>
        </is>
      </c>
    </row>
    <row r="840" ht="15" customHeight="1" s="11">
      <c r="A840" s="13" t="n">
        <v>839</v>
      </c>
      <c r="B840" s="13" t="n">
        <v>58</v>
      </c>
      <c r="C840" s="14">
        <f>INDEX('부작 목록'!$C$2:$C$66,B840)</f>
        <v/>
      </c>
      <c r="D840" s="14" t="inlineStr">
        <is>
          <t>E 빅토르 안전가옥 세션</t>
        </is>
      </c>
      <c r="E840" s="13" t="n">
        <v>15204</v>
      </c>
      <c r="F840" s="13" t="n">
        <v>6</v>
      </c>
      <c r="G840" s="15" t="inlineStr">
        <is>
          <t>카를로스가 팀에게 잠시 휴식을 권하며, 다음 세션 일정을 확정합니다.</t>
        </is>
      </c>
    </row>
    <row r="841" ht="15" customHeight="1" s="11">
      <c r="A841" s="13" t="n">
        <v>840</v>
      </c>
      <c r="B841" s="13" t="n">
        <v>58</v>
      </c>
      <c r="C841" s="14">
        <f>INDEX('부작 목록'!$C$2:$C$66,B841)</f>
        <v/>
      </c>
      <c r="D841" s="14" t="inlineStr">
        <is>
          <t>E 빅토르 안전가옥 세션</t>
        </is>
      </c>
      <c r="E841" s="13" t="n">
        <v>15213</v>
      </c>
      <c r="F841" s="13" t="n">
        <v>8</v>
      </c>
      <c r="G841" s="15" t="inlineStr">
        <is>
          <t>그 짧은 휴식일, 알바로가 카밀라와 조용한 시간을 보냅니다.</t>
        </is>
      </c>
    </row>
    <row r="842" ht="28.35" customHeight="1" s="11">
      <c r="A842" s="13" t="n">
        <v>841</v>
      </c>
      <c r="B842" s="13" t="n">
        <v>59</v>
      </c>
      <c r="C842" s="14">
        <f>INDEX('부작 목록'!$C$2:$C$66,B842)</f>
        <v/>
      </c>
      <c r="D842" s="14" t="inlineStr">
        <is>
          <t>E 빅토르 안전가옥 세션</t>
        </is>
      </c>
      <c r="E842" s="13" t="n">
        <v>15223</v>
      </c>
      <c r="F842" s="13" t="n">
        <v>15</v>
      </c>
      <c r="G842" s="15" t="inlineStr">
        <is>
          <t>세션 재개. 빅토르가 '묘지 작전'을 소개합니다 — 제네바, 니스, 칸타브리아 등 과거 흔적들을 다시 파헤쳐 예측 가능한 패턴을 찾는 작업입니다.</t>
        </is>
      </c>
    </row>
    <row r="843" ht="15" customHeight="1" s="11">
      <c r="A843" s="13" t="n">
        <v>842</v>
      </c>
      <c r="B843" s="13" t="n">
        <v>59</v>
      </c>
      <c r="C843" s="14">
        <f>INDEX('부작 목록'!$C$2:$C$66,B843)</f>
        <v/>
      </c>
      <c r="D843" s="14" t="inlineStr">
        <is>
          <t>E 빅토르 안전가옥 세션</t>
        </is>
      </c>
      <c r="E843" s="13" t="n">
        <v>15241</v>
      </c>
      <c r="F843" s="13" t="n">
        <v>9</v>
      </c>
      <c r="G843" s="15" t="inlineStr">
        <is>
          <t>며칠 후, 카밀라가 제네바 호텔 재방문 여부를 조사한 결과를 세션에 보고합니다.</t>
        </is>
      </c>
    </row>
    <row r="844" ht="15" customHeight="1" s="11">
      <c r="A844" s="13" t="n">
        <v>843</v>
      </c>
      <c r="B844" s="13" t="n">
        <v>59</v>
      </c>
      <c r="C844" s="14">
        <f>INDEX('부작 목록'!$C$2:$C$66,B844)</f>
        <v/>
      </c>
      <c r="D844" s="14" t="inlineStr">
        <is>
          <t>E 빅토르 안전가옥 세션</t>
        </is>
      </c>
      <c r="E844" s="13" t="n">
        <v>15253</v>
      </c>
      <c r="F844" s="13" t="n">
        <v>9</v>
      </c>
      <c r="G844" s="15" t="inlineStr">
        <is>
          <t>카밀라가 니스 사건의 노트북에 대해 다시 조사한 결과를 세션에서 공유합니다.</t>
        </is>
      </c>
    </row>
    <row r="845" ht="15" customHeight="1" s="11">
      <c r="A845" s="13" t="n">
        <v>844</v>
      </c>
      <c r="B845" s="13" t="n">
        <v>59</v>
      </c>
      <c r="C845" s="14">
        <f>INDEX('부작 목록'!$C$2:$C$66,B845)</f>
        <v/>
      </c>
      <c r="D845" s="14" t="inlineStr">
        <is>
          <t>E 빅토르 안전가옥 세션</t>
        </is>
      </c>
      <c r="E845" s="13" t="n">
        <v>15264</v>
      </c>
      <c r="F845" s="13" t="n">
        <v>9</v>
      </c>
      <c r="G845" s="15" t="inlineStr">
        <is>
          <t>일주일 후, 마르코스가 복구된 파일 결과를 세션에 보고합니다.</t>
        </is>
      </c>
    </row>
    <row r="846" ht="15" customHeight="1" s="11">
      <c r="A846" s="13" t="n">
        <v>845</v>
      </c>
      <c r="B846" s="13" t="n">
        <v>59</v>
      </c>
      <c r="C846" s="14">
        <f>INDEX('부작 목록'!$C$2:$C$66,B846)</f>
        <v/>
      </c>
      <c r="D846" s="14" t="inlineStr">
        <is>
          <t>E 빅토르 안전가옥 세션</t>
        </is>
      </c>
      <c r="E846" s="13" t="n">
        <v>15276</v>
      </c>
      <c r="F846" s="13" t="n">
        <v>8</v>
      </c>
      <c r="G846" s="15" t="inlineStr">
        <is>
          <t>며칠 후, 카밀라가 루체른 부동산 등기 조사 결과를 세션에 보고합니다.</t>
        </is>
      </c>
    </row>
    <row r="847" ht="15" customHeight="1" s="11">
      <c r="A847" s="13" t="n">
        <v>846</v>
      </c>
      <c r="B847" s="13" t="n">
        <v>59</v>
      </c>
      <c r="C847" s="14">
        <f>INDEX('부작 목록'!$C$2:$C$66,B847)</f>
        <v/>
      </c>
      <c r="D847" s="14" t="inlineStr">
        <is>
          <t>E 빅토르 안전가옥 세션</t>
        </is>
      </c>
      <c r="E847" s="13" t="n">
        <v>15286</v>
      </c>
      <c r="F847" s="13" t="n">
        <v>8</v>
      </c>
      <c r="G847" s="15" t="inlineStr">
        <is>
          <t>알바로가 칸타브리아 저택 사건도 재검토할 것을 제안하며, 세 사람이 그 가능성을 논의합니다.</t>
        </is>
      </c>
    </row>
    <row r="848" ht="15" customHeight="1" s="11">
      <c r="A848" s="13" t="n">
        <v>847</v>
      </c>
      <c r="B848" s="13" t="n">
        <v>59</v>
      </c>
      <c r="C848" s="14">
        <f>INDEX('부작 목록'!$C$2:$C$66,B848)</f>
        <v/>
      </c>
      <c r="D848" s="14" t="inlineStr">
        <is>
          <t>E 빅토르 안전가옥 세션</t>
        </is>
      </c>
      <c r="E848" s="13" t="n">
        <v>15297</v>
      </c>
      <c r="F848" s="13" t="n">
        <v>9</v>
      </c>
      <c r="G848" s="15" t="inlineStr">
        <is>
          <t>며칠 후, 카밀라가 칸타브리아 저택의 최근 활동 기록을 세션에 보고합니다.</t>
        </is>
      </c>
    </row>
    <row r="849" ht="15" customHeight="1" s="11">
      <c r="A849" s="13" t="n">
        <v>848</v>
      </c>
      <c r="B849" s="13" t="n">
        <v>59</v>
      </c>
      <c r="C849" s="14">
        <f>INDEX('부작 목록'!$C$2:$C$66,B849)</f>
        <v/>
      </c>
      <c r="D849" s="14" t="inlineStr">
        <is>
          <t>E 빅토르 안전가옥 세션</t>
        </is>
      </c>
      <c r="E849" s="13" t="n">
        <v>15308</v>
      </c>
      <c r="F849" s="13" t="n">
        <v>9</v>
      </c>
      <c r="G849" s="15" t="inlineStr">
        <is>
          <t>다음 날, 알바로가 도밍고에게 그 방에 대해 물어보며 새로운 단서를 확보합니다.</t>
        </is>
      </c>
    </row>
    <row r="850" ht="15" customHeight="1" s="11">
      <c r="A850" s="13" t="n">
        <v>849</v>
      </c>
      <c r="B850" s="13" t="n">
        <v>59</v>
      </c>
      <c r="C850" s="14">
        <f>INDEX('부작 목록'!$C$2:$C$66,B850)</f>
        <v/>
      </c>
      <c r="D850" s="14" t="inlineStr">
        <is>
          <t>E 빅토르 안전가옥 세션</t>
        </is>
      </c>
      <c r="E850" s="13" t="n">
        <v>15320</v>
      </c>
      <c r="F850" s="13" t="n">
        <v>8</v>
      </c>
      <c r="G850" s="15" t="inlineStr">
        <is>
          <t>카를로스가 그 방 진입을 위한 법적 절차와 실행 계획을 논의합니다.</t>
        </is>
      </c>
    </row>
    <row r="851" ht="15" customHeight="1" s="11">
      <c r="A851" s="13" t="n">
        <v>850</v>
      </c>
      <c r="B851" s="13" t="n">
        <v>59</v>
      </c>
      <c r="C851" s="14">
        <f>INDEX('부작 목록'!$C$2:$C$66,B851)</f>
        <v/>
      </c>
      <c r="D851" s="14" t="inlineStr">
        <is>
          <t>E 빅토르 안전가옥 세션</t>
        </is>
      </c>
      <c r="E851" s="13" t="n">
        <v>15330</v>
      </c>
      <c r="F851" s="13" t="n">
        <v>9</v>
      </c>
      <c r="G851" s="15" t="inlineStr">
        <is>
          <t>사흘 후, 승인이 나오며 팀이 칸타브리아 저택으로 향합니다.</t>
        </is>
      </c>
    </row>
    <row r="852" ht="15" customHeight="1" s="11">
      <c r="A852" s="13" t="n">
        <v>851</v>
      </c>
      <c r="B852" s="13" t="n">
        <v>59</v>
      </c>
      <c r="C852" s="14">
        <f>INDEX('부작 목록'!$C$2:$C$66,B852)</f>
        <v/>
      </c>
      <c r="D852" s="14" t="inlineStr">
        <is>
          <t>E 빅토르 안전가옥 세션</t>
        </is>
      </c>
      <c r="E852" s="13" t="n">
        <v>15342</v>
      </c>
      <c r="F852" s="13" t="n">
        <v>9</v>
      </c>
      <c r="G852" s="15" t="inlineStr">
        <is>
          <t>문이 열리며 방 내부의 발견이 실시간으로 공유됩니다.</t>
        </is>
      </c>
    </row>
    <row r="853" ht="15" customHeight="1" s="11">
      <c r="A853" s="13" t="n">
        <v>852</v>
      </c>
      <c r="B853" s="13" t="n">
        <v>59</v>
      </c>
      <c r="C853" s="14">
        <f>INDEX('부작 목록'!$C$2:$C$66,B853)</f>
        <v/>
      </c>
      <c r="D853" s="14" t="inlineStr">
        <is>
          <t>E 빅토르 안전가옥 세션</t>
        </is>
      </c>
      <c r="E853" s="13" t="n">
        <v>15353</v>
      </c>
      <c r="F853" s="13" t="n">
        <v>9</v>
      </c>
      <c r="G853" s="15" t="inlineStr">
        <is>
          <t>금고 개봉이 이어지며, 그 안의 내용이 확인됩니다.</t>
        </is>
      </c>
    </row>
    <row r="854" ht="15" customHeight="1" s="11">
      <c r="A854" s="13" t="n">
        <v>853</v>
      </c>
      <c r="B854" s="13" t="n">
        <v>59</v>
      </c>
      <c r="C854" s="14">
        <f>INDEX('부작 목록'!$C$2:$C$66,B854)</f>
        <v/>
      </c>
      <c r="D854" s="14" t="inlineStr">
        <is>
          <t>E 빅토르 안전가옥 세션</t>
        </is>
      </c>
      <c r="E854" s="13" t="n">
        <v>15365</v>
      </c>
      <c r="F854" s="13" t="n">
        <v>9</v>
      </c>
      <c r="G854" s="15" t="inlineStr">
        <is>
          <t>그날 밤, 안전가옥에서 팀 전체가 발견한 편지 중 하나를 함께 읽습니다.</t>
        </is>
      </c>
    </row>
    <row r="855" ht="15" customHeight="1" s="11">
      <c r="A855" s="13" t="n">
        <v>854</v>
      </c>
      <c r="B855" s="13" t="n">
        <v>59</v>
      </c>
      <c r="C855" s="14">
        <f>INDEX('부작 목록'!$C$2:$C$66,B855)</f>
        <v/>
      </c>
      <c r="D855" s="14" t="inlineStr">
        <is>
          <t>E 빅토르 안전가옥 세션</t>
        </is>
      </c>
      <c r="E855" s="13" t="n">
        <v>15376</v>
      </c>
      <c r="F855" s="13" t="n">
        <v>8</v>
      </c>
      <c r="G855" s="15" t="inlineStr">
        <is>
          <t>다음 날, 루체른 재단 관련 새로운 정보와 니스 노트북 결과가 종합됩니다.</t>
        </is>
      </c>
    </row>
    <row r="856" ht="15" customHeight="1" s="11">
      <c r="A856" s="13" t="n">
        <v>855</v>
      </c>
      <c r="B856" s="13" t="n">
        <v>59</v>
      </c>
      <c r="C856" s="14">
        <f>INDEX('부작 목록'!$C$2:$C$66,B856)</f>
        <v/>
      </c>
      <c r="D856" s="14" t="inlineStr">
        <is>
          <t>E 빅토르 안전가옥 세션</t>
        </is>
      </c>
      <c r="E856" s="13" t="n">
        <v>15387</v>
      </c>
      <c r="F856" s="13" t="n">
        <v>7</v>
      </c>
      <c r="G856" s="15" t="inlineStr">
        <is>
          <t>카를로스가 루체른 재단 조사를 위한 스위스 당국 협조 절차를 개시합니다.</t>
        </is>
      </c>
    </row>
    <row r="857" ht="15" customHeight="1" s="11">
      <c r="A857" s="13" t="n">
        <v>856</v>
      </c>
      <c r="B857" s="13" t="n">
        <v>59</v>
      </c>
      <c r="C857" s="14">
        <f>INDEX('부작 목록'!$C$2:$C$66,B857)</f>
        <v/>
      </c>
      <c r="D857" s="14" t="inlineStr">
        <is>
          <t>E 빅토르 안전가옥 세션</t>
        </is>
      </c>
      <c r="E857" s="13" t="n">
        <v>15396</v>
      </c>
      <c r="F857" s="13" t="n">
        <v>7</v>
      </c>
      <c r="G857" s="15" t="inlineStr">
        <is>
          <t>일주일 후, 카밀라가 재단 관리인을 특정한 결과를 세션에 보고합니다.</t>
        </is>
      </c>
    </row>
    <row r="858" ht="15" customHeight="1" s="11">
      <c r="A858" s="13" t="n">
        <v>857</v>
      </c>
      <c r="B858" s="13" t="n">
        <v>59</v>
      </c>
      <c r="C858" s="14">
        <f>INDEX('부작 목록'!$C$2:$C$66,B858)</f>
        <v/>
      </c>
      <c r="D858" s="14" t="inlineStr">
        <is>
          <t>E 빅토르 안전가옥 세션</t>
        </is>
      </c>
      <c r="E858" s="13" t="n">
        <v>15406</v>
      </c>
      <c r="F858" s="13" t="n">
        <v>8</v>
      </c>
      <c r="G858" s="15" t="inlineStr">
        <is>
          <t>일주일 후, 스위스 변호사와의 면담이 성사되며 그 내용이 세션에 공유됩니다.</t>
        </is>
      </c>
    </row>
    <row r="859" ht="15" customHeight="1" s="11">
      <c r="A859" s="13" t="n">
        <v>858</v>
      </c>
      <c r="B859" s="13" t="n">
        <v>59</v>
      </c>
      <c r="C859" s="14">
        <f>INDEX('부작 목록'!$C$2:$C$66,B859)</f>
        <v/>
      </c>
      <c r="D859" s="14" t="inlineStr">
        <is>
          <t>E 빅토르 안전가옥 세션</t>
        </is>
      </c>
      <c r="E859" s="13" t="n">
        <v>15416</v>
      </c>
      <c r="F859" s="13" t="n">
        <v>9</v>
      </c>
      <c r="G859" s="15" t="inlineStr">
        <is>
          <t>며칠 후, 통신 기록 분석 결과가 나오며 결정적 단서가 발견됩니다.</t>
        </is>
      </c>
    </row>
    <row r="860" ht="15" customHeight="1" s="11">
      <c r="A860" s="13" t="n">
        <v>859</v>
      </c>
      <c r="B860" s="13" t="n">
        <v>59</v>
      </c>
      <c r="C860" s="14">
        <f>INDEX('부작 목록'!$C$2:$C$66,B860)</f>
        <v/>
      </c>
      <c r="D860" s="14" t="inlineStr">
        <is>
          <t>E 빅토르 안전가옥 세션</t>
        </is>
      </c>
      <c r="E860" s="13" t="n">
        <v>15428</v>
      </c>
      <c r="F860" s="13" t="n">
        <v>8</v>
      </c>
      <c r="G860" s="15" t="inlineStr">
        <is>
          <t>빅토르가 묘지 작전 전체를 종합하며 다음 단계인 바위 작전으로의 전환을 제안합니다.</t>
        </is>
      </c>
    </row>
    <row r="861" ht="15" customHeight="1" s="11">
      <c r="A861" s="13" t="n">
        <v>860</v>
      </c>
      <c r="B861" s="13" t="n">
        <v>59</v>
      </c>
      <c r="C861" s="14">
        <f>INDEX('부작 목록'!$C$2:$C$66,B861)</f>
        <v/>
      </c>
      <c r="D861" s="14" t="inlineStr">
        <is>
          <t>E 빅토르 안전가옥 세션</t>
        </is>
      </c>
      <c r="E861" s="13" t="n">
        <v>15438</v>
      </c>
      <c r="F861" s="13" t="n">
        <v>10</v>
      </c>
      <c r="G861" s="15" t="inlineStr">
        <is>
          <t>카를로스가 도밍고에게 저택 발견 소식을 알리며, 그의 협력에 다시 한번 감사를 전합니다.</t>
        </is>
      </c>
    </row>
    <row r="862" ht="28.35" customHeight="1" s="11">
      <c r="A862" s="13" t="n">
        <v>861</v>
      </c>
      <c r="B862" s="13" t="n">
        <v>60</v>
      </c>
      <c r="C862" s="14">
        <f>INDEX('부작 목록'!$C$2:$C$66,B862)</f>
        <v/>
      </c>
      <c r="D862" s="14" t="inlineStr">
        <is>
          <t>E 빅토르 안전가옥 세션</t>
        </is>
      </c>
      <c r="E862" s="13" t="n">
        <v>15451</v>
      </c>
      <c r="F862" s="13" t="n">
        <v>9</v>
      </c>
      <c r="G862" s="15" t="inlineStr">
        <is>
          <t>새로운 세션. 빅토르가 '바위 작전'을 소개합니다 — 루체른 인근에서 로셀요가 절대 포기하지 못할 고정 거점을 찾는 작업입니다.</t>
        </is>
      </c>
    </row>
    <row r="863" ht="15" customHeight="1" s="11">
      <c r="A863" s="13" t="n">
        <v>862</v>
      </c>
      <c r="B863" s="13" t="n">
        <v>60</v>
      </c>
      <c r="C863" s="14">
        <f>INDEX('부작 목록'!$C$2:$C$66,B863)</f>
        <v/>
      </c>
      <c r="D863" s="14" t="inlineStr">
        <is>
          <t>E 빅토르 안전가옥 세션</t>
        </is>
      </c>
      <c r="E863" s="13" t="n">
        <v>15462</v>
      </c>
      <c r="F863" s="13" t="n">
        <v>8</v>
      </c>
      <c r="G863" s="15" t="inlineStr">
        <is>
          <t>며칠 후, 카밀라가 초기 후보 목록을 세션에 보고합니다.</t>
        </is>
      </c>
    </row>
    <row r="864" ht="15" customHeight="1" s="11">
      <c r="A864" s="13" t="n">
        <v>863</v>
      </c>
      <c r="B864" s="13" t="n">
        <v>60</v>
      </c>
      <c r="C864" s="14">
        <f>INDEX('부작 목록'!$C$2:$C$66,B864)</f>
        <v/>
      </c>
      <c r="D864" s="14" t="inlineStr">
        <is>
          <t>E 빅토르 안전가옥 세션</t>
        </is>
      </c>
      <c r="E864" s="13" t="n">
        <v>15473</v>
      </c>
      <c r="F864" s="13" t="n">
        <v>8</v>
      </c>
      <c r="G864" s="15" t="inlineStr">
        <is>
          <t>마르코스가 위성사진 분석 결과를 세션에 보고합니다.</t>
        </is>
      </c>
    </row>
    <row r="865" ht="15" customHeight="1" s="11">
      <c r="A865" s="13" t="n">
        <v>864</v>
      </c>
      <c r="B865" s="13" t="n">
        <v>60</v>
      </c>
      <c r="C865" s="14">
        <f>INDEX('부작 목록'!$C$2:$C$66,B865)</f>
        <v/>
      </c>
      <c r="D865" s="14" t="inlineStr">
        <is>
          <t>E 빅토르 안전가옥 세션</t>
        </is>
      </c>
      <c r="E865" s="13" t="n">
        <v>15483</v>
      </c>
      <c r="F865" s="13" t="n">
        <v>7</v>
      </c>
      <c r="G865" s="15" t="inlineStr">
        <is>
          <t>카를로스가 저강도 물리 정찰을 위한 계획을 논의합니다.</t>
        </is>
      </c>
    </row>
    <row r="866" ht="15" customHeight="1" s="11">
      <c r="A866" s="13" t="n">
        <v>865</v>
      </c>
      <c r="B866" s="13" t="n">
        <v>60</v>
      </c>
      <c r="C866" s="14">
        <f>INDEX('부작 목록'!$C$2:$C$66,B866)</f>
        <v/>
      </c>
      <c r="D866" s="14" t="inlineStr">
        <is>
          <t>E 빅토르 안전가옥 세션</t>
        </is>
      </c>
      <c r="E866" s="13" t="n">
        <v>15493</v>
      </c>
      <c r="F866" s="13" t="n">
        <v>9</v>
      </c>
      <c r="G866" s="15" t="inlineStr">
        <is>
          <t>다음 날, 정찰팀이 현장에서 실시간으로 결과를 보고합니다.</t>
        </is>
      </c>
    </row>
    <row r="867" ht="15" customHeight="1" s="11">
      <c r="A867" s="13" t="n">
        <v>866</v>
      </c>
      <c r="B867" s="13" t="n">
        <v>60</v>
      </c>
      <c r="C867" s="14">
        <f>INDEX('부작 목록'!$C$2:$C$66,B867)</f>
        <v/>
      </c>
      <c r="D867" s="14" t="inlineStr">
        <is>
          <t>E 빅토르 안전가옥 세션</t>
        </is>
      </c>
      <c r="E867" s="13" t="n">
        <v>15504</v>
      </c>
      <c r="F867" s="13" t="n">
        <v>9</v>
      </c>
      <c r="G867" s="15" t="inlineStr">
        <is>
          <t>정찰팀이 마을에서 밴을 추적하며 새로운 정보를 확보합니다.</t>
        </is>
      </c>
    </row>
    <row r="868" ht="15" customHeight="1" s="11">
      <c r="A868" s="13" t="n">
        <v>867</v>
      </c>
      <c r="B868" s="13" t="n">
        <v>60</v>
      </c>
      <c r="C868" s="14">
        <f>INDEX('부작 목록'!$C$2:$C$66,B868)</f>
        <v/>
      </c>
      <c r="D868" s="14" t="inlineStr">
        <is>
          <t>E 빅토르 안전가옥 세션</t>
        </is>
      </c>
      <c r="E868" s="13" t="n">
        <v>15516</v>
      </c>
      <c r="F868" s="13" t="n">
        <v>8</v>
      </c>
      <c r="G868" s="15" t="inlineStr">
        <is>
          <t>며칠 후, 카밀라가 그 마을 상점 주인과의 대화 시도 결과를 세션에 보고합니다.</t>
        </is>
      </c>
    </row>
    <row r="869" ht="15" customHeight="1" s="11">
      <c r="A869" s="13" t="n">
        <v>868</v>
      </c>
      <c r="B869" s="13" t="n">
        <v>60</v>
      </c>
      <c r="C869" s="14">
        <f>INDEX('부작 목록'!$C$2:$C$66,B869)</f>
        <v/>
      </c>
      <c r="D869" s="14" t="inlineStr">
        <is>
          <t>E 빅토르 안전가옥 세션</t>
        </is>
      </c>
      <c r="E869" s="13" t="n">
        <v>15526</v>
      </c>
      <c r="F869" s="13" t="n">
        <v>8</v>
      </c>
      <c r="G869" s="15" t="inlineStr">
        <is>
          <t>빅토르가 왜 이 특정 장소가 그렇게 중요한지 심리적으로 분석합니다.</t>
        </is>
      </c>
    </row>
    <row r="870" ht="15" customHeight="1" s="11">
      <c r="A870" s="13" t="n">
        <v>869</v>
      </c>
      <c r="B870" s="13" t="n">
        <v>60</v>
      </c>
      <c r="C870" s="14">
        <f>INDEX('부작 목록'!$C$2:$C$66,B870)</f>
        <v/>
      </c>
      <c r="D870" s="14" t="inlineStr">
        <is>
          <t>E 빅토르 안전가옥 세션</t>
        </is>
      </c>
      <c r="E870" s="13" t="n">
        <v>15537</v>
      </c>
      <c r="F870" s="13" t="n">
        <v>9</v>
      </c>
      <c r="G870" s="15" t="inlineStr">
        <is>
          <t>일주일 후, 카밀라가 그 내부 학교 기록을 확인한 결과를 보고합니다.</t>
        </is>
      </c>
    </row>
    <row r="871" ht="15" customHeight="1" s="11">
      <c r="A871" s="13" t="n">
        <v>870</v>
      </c>
      <c r="B871" s="13" t="n">
        <v>60</v>
      </c>
      <c r="C871" s="14">
        <f>INDEX('부작 목록'!$C$2:$C$66,B871)</f>
        <v/>
      </c>
      <c r="D871" s="14" t="inlineStr">
        <is>
          <t>E 빅토르 안전가옥 세션</t>
        </is>
      </c>
      <c r="E871" s="13" t="n">
        <v>15548</v>
      </c>
      <c r="F871" s="13" t="n">
        <v>8</v>
      </c>
      <c r="G871" s="15" t="inlineStr">
        <is>
          <t>며칠 후, 카밀라가 그 교사의 생존 여부를 확인한 결과를 보고합니다.</t>
        </is>
      </c>
    </row>
    <row r="872" ht="15" customHeight="1" s="11">
      <c r="A872" s="13" t="n">
        <v>871</v>
      </c>
      <c r="B872" s="13" t="n">
        <v>60</v>
      </c>
      <c r="C872" s="14">
        <f>INDEX('부작 목록'!$C$2:$C$66,B872)</f>
        <v/>
      </c>
      <c r="D872" s="14" t="inlineStr">
        <is>
          <t>E 빅토르 안전가옥 세션</t>
        </is>
      </c>
      <c r="E872" s="13" t="n">
        <v>15559</v>
      </c>
      <c r="F872" s="13" t="n">
        <v>8</v>
      </c>
      <c r="G872" s="15" t="inlineStr">
        <is>
          <t>알바로가 그 교사, 헤르만 슈미트를 방문하며 대화를 나눕니다.</t>
        </is>
      </c>
    </row>
    <row r="873" ht="15" customHeight="1" s="11">
      <c r="A873" s="13" t="n">
        <v>872</v>
      </c>
      <c r="B873" s="13" t="n">
        <v>60</v>
      </c>
      <c r="C873" s="14">
        <f>INDEX('부작 목록'!$C$2:$C$66,B873)</f>
        <v/>
      </c>
      <c r="D873" s="14" t="inlineStr">
        <is>
          <t>E 빅토르 안전가옥 세션</t>
        </is>
      </c>
      <c r="E873" s="13" t="n">
        <v>15569</v>
      </c>
      <c r="F873" s="13" t="n">
        <v>8</v>
      </c>
      <c r="G873" s="15" t="inlineStr">
        <is>
          <t>슈미트가 로셀요와 관련된 구체적인 기억을 더 들려주며 대화가 이어집니다.</t>
        </is>
      </c>
    </row>
    <row r="874" ht="15" customHeight="1" s="11">
      <c r="A874" s="13" t="n">
        <v>873</v>
      </c>
      <c r="B874" s="13" t="n">
        <v>60</v>
      </c>
      <c r="C874" s="14">
        <f>INDEX('부작 목록'!$C$2:$C$66,B874)</f>
        <v/>
      </c>
      <c r="D874" s="14" t="inlineStr">
        <is>
          <t>E 빅토르 안전가옥 세션</t>
        </is>
      </c>
      <c r="E874" s="13" t="n">
        <v>15580</v>
      </c>
      <c r="F874" s="13" t="n">
        <v>8</v>
      </c>
      <c r="G874" s="15" t="inlineStr">
        <is>
          <t>알바로가 이 발견을 세션에 보고하며, 팀 전체가 그 의미를 이해합니다.</t>
        </is>
      </c>
    </row>
    <row r="875" ht="15" customHeight="1" s="11">
      <c r="A875" s="13" t="n">
        <v>874</v>
      </c>
      <c r="B875" s="13" t="n">
        <v>60</v>
      </c>
      <c r="C875" s="14">
        <f>INDEX('부작 목록'!$C$2:$C$66,B875)</f>
        <v/>
      </c>
      <c r="D875" s="14" t="inlineStr">
        <is>
          <t>E 빅토르 안전가옥 세션</t>
        </is>
      </c>
      <c r="E875" s="13" t="n">
        <v>15590</v>
      </c>
      <c r="F875" s="13" t="n">
        <v>8</v>
      </c>
      <c r="G875" s="15" t="inlineStr">
        <is>
          <t>카를로스가 이 정보를 검거 전략에 어떻게 활용할지 실무적으로 논의합니다.</t>
        </is>
      </c>
    </row>
    <row r="876" ht="15" customHeight="1" s="11">
      <c r="A876" s="13" t="n">
        <v>875</v>
      </c>
      <c r="B876" s="13" t="n">
        <v>60</v>
      </c>
      <c r="C876" s="14">
        <f>INDEX('부작 목록'!$C$2:$C$66,B876)</f>
        <v/>
      </c>
      <c r="D876" s="14" t="inlineStr">
        <is>
          <t>E 빅토르 안전가옥 세션</t>
        </is>
      </c>
      <c r="E876" s="13" t="n">
        <v>15601</v>
      </c>
      <c r="F876" s="13" t="n">
        <v>8</v>
      </c>
      <c r="G876" s="15" t="inlineStr">
        <is>
          <t>두 번째 정찰 사이클이 시작되며 실시간 관찰 결과가 보고됩니다.</t>
        </is>
      </c>
    </row>
    <row r="877" ht="15" customHeight="1" s="11">
      <c r="A877" s="13" t="n">
        <v>876</v>
      </c>
      <c r="B877" s="13" t="n">
        <v>60</v>
      </c>
      <c r="C877" s="14">
        <f>INDEX('부작 목록'!$C$2:$C$66,B877)</f>
        <v/>
      </c>
      <c r="D877" s="14" t="inlineStr">
        <is>
          <t>E 빅토르 안전가옥 세션</t>
        </is>
      </c>
      <c r="E877" s="13" t="n">
        <v>15611</v>
      </c>
      <c r="F877" s="13" t="n">
        <v>6</v>
      </c>
      <c r="G877" s="15" t="inlineStr">
        <is>
          <t>드론 정찰이 실행되며 결정적인 시각 확인이 이뤄집니다.</t>
        </is>
      </c>
    </row>
    <row r="878" ht="15" customHeight="1" s="11">
      <c r="A878" s="13" t="n">
        <v>877</v>
      </c>
      <c r="B878" s="13" t="n">
        <v>60</v>
      </c>
      <c r="C878" s="14">
        <f>INDEX('부작 목록'!$C$2:$C$66,B878)</f>
        <v/>
      </c>
      <c r="D878" s="14" t="inlineStr">
        <is>
          <t>E 빅토르 안전가옥 세션</t>
        </is>
      </c>
      <c r="E878" s="13" t="n">
        <v>15620</v>
      </c>
      <c r="F878" s="13" t="n">
        <v>7</v>
      </c>
      <c r="G878" s="15" t="inlineStr">
        <is>
          <t>카를로스가 이 확인 이후 즉시 필요한 보안 조치를 지시합니다.</t>
        </is>
      </c>
    </row>
    <row r="879" ht="15" customHeight="1" s="11">
      <c r="A879" s="13" t="n">
        <v>878</v>
      </c>
      <c r="B879" s="13" t="n">
        <v>60</v>
      </c>
      <c r="C879" s="14">
        <f>INDEX('부작 목록'!$C$2:$C$66,B879)</f>
        <v/>
      </c>
      <c r="D879" s="14" t="inlineStr">
        <is>
          <t>E 빅토르 안전가옥 세션</t>
        </is>
      </c>
      <c r="E879" s="13" t="n">
        <v>15629</v>
      </c>
      <c r="F879" s="13" t="n">
        <v>8</v>
      </c>
      <c r="G879" s="15" t="inlineStr">
        <is>
          <t>며칠 후, 카밀라와 마르코스가 경비 시스템에 대한 기술적 분석 결과를 세션에 보고합니다.</t>
        </is>
      </c>
    </row>
    <row r="880" ht="15" customHeight="1" s="11">
      <c r="A880" s="13" t="n">
        <v>879</v>
      </c>
      <c r="B880" s="13" t="n">
        <v>60</v>
      </c>
      <c r="C880" s="14">
        <f>INDEX('부작 목록'!$C$2:$C$66,B880)</f>
        <v/>
      </c>
      <c r="D880" s="14" t="inlineStr">
        <is>
          <t>E 빅토르 안전가옥 세션</t>
        </is>
      </c>
      <c r="E880" s="13" t="n">
        <v>15640</v>
      </c>
      <c r="F880" s="13" t="n">
        <v>8</v>
      </c>
      <c r="G880" s="15" t="inlineStr">
        <is>
          <t>빅토르가 바위 작전 전체를 종합하며 다음 단계인 북극성 작전으로의 전환을 제안합니다.</t>
        </is>
      </c>
    </row>
    <row r="881" ht="15" customHeight="1" s="11">
      <c r="A881" s="13" t="n">
        <v>880</v>
      </c>
      <c r="B881" s="13" t="n">
        <v>60</v>
      </c>
      <c r="C881" s="14">
        <f>INDEX('부작 목록'!$C$2:$C$66,B881)</f>
        <v/>
      </c>
      <c r="D881" s="14" t="inlineStr">
        <is>
          <t>E 빅토르 안전가옥 세션</t>
        </is>
      </c>
      <c r="E881" s="13" t="n">
        <v>15650</v>
      </c>
      <c r="F881" s="13" t="n">
        <v>9</v>
      </c>
      <c r="G881" s="15" t="inlineStr">
        <is>
          <t>알바로가 그날 밤 슈미트를 다시 방문하며 짧은 마지막 대화를 나눕니다.</t>
        </is>
      </c>
    </row>
    <row r="882" ht="15" customHeight="1" s="11">
      <c r="A882" s="13" t="n">
        <v>881</v>
      </c>
      <c r="B882" s="13" t="n">
        <v>60</v>
      </c>
      <c r="C882" s="14">
        <f>INDEX('부작 목록'!$C$2:$C$66,B882)</f>
        <v/>
      </c>
      <c r="D882" s="14" t="inlineStr">
        <is>
          <t>E 빅토르 안전가옥 세션</t>
        </is>
      </c>
      <c r="E882" s="13" t="n">
        <v>15662</v>
      </c>
      <c r="F882" s="13" t="n">
        <v>7</v>
      </c>
      <c r="G882" s="15" t="inlineStr">
        <is>
          <t>알바로가 이 마지막 대화를 세션에 전하며, 팀이 그 의미를 다시 되짚습니다.</t>
        </is>
      </c>
    </row>
    <row r="883" ht="15" customHeight="1" s="11">
      <c r="A883" s="13" t="n">
        <v>882</v>
      </c>
      <c r="B883" s="13" t="n">
        <v>60</v>
      </c>
      <c r="C883" s="14">
        <f>INDEX('부작 목록'!$C$2:$C$66,B883)</f>
        <v/>
      </c>
      <c r="D883" s="14" t="inlineStr">
        <is>
          <t>E 빅토르 안전가옥 세션</t>
        </is>
      </c>
      <c r="E883" s="13" t="n">
        <v>15671</v>
      </c>
      <c r="F883" s="13" t="n">
        <v>9</v>
      </c>
      <c r="G883" s="15" t="inlineStr">
        <is>
          <t>카를로스가 이제 작전 계획의 실무적 다음 단계를 최종 확정합니다.</t>
        </is>
      </c>
    </row>
    <row r="884" ht="15" customHeight="1" s="11">
      <c r="A884" s="13" t="n">
        <v>883</v>
      </c>
      <c r="B884" s="13" t="n">
        <v>60</v>
      </c>
      <c r="C884" s="14">
        <f>INDEX('부작 목록'!$C$2:$C$66,B884)</f>
        <v/>
      </c>
      <c r="D884" s="14" t="inlineStr">
        <is>
          <t>E 빅토르 안전가옥 세션</t>
        </is>
      </c>
      <c r="E884" s="13" t="n">
        <v>15683</v>
      </c>
      <c r="F884" s="13" t="n">
        <v>8</v>
      </c>
      <c r="G884" s="15" t="inlineStr">
        <is>
          <t>그날 밤, 알바로가 카밀라에게 슈미트와의 대화가 남긴 여운을 이야기합니다.</t>
        </is>
      </c>
    </row>
    <row r="885" ht="15" customHeight="1" s="11">
      <c r="A885" s="13" t="n">
        <v>884</v>
      </c>
      <c r="B885" s="13" t="n">
        <v>60</v>
      </c>
      <c r="C885" s="14">
        <f>INDEX('부작 목록'!$C$2:$C$66,B885)</f>
        <v/>
      </c>
      <c r="D885" s="14" t="inlineStr">
        <is>
          <t>E 빅토르 안전가옥 세션</t>
        </is>
      </c>
      <c r="E885" s="13" t="n">
        <v>15693</v>
      </c>
      <c r="F885" s="13" t="n">
        <v>6</v>
      </c>
      <c r="G885" s="15" t="inlineStr">
        <is>
          <t>다음 날 아침, 세션 시작 전 카를로스와 빅토르가 마지막 준비를 확인합니다.</t>
        </is>
      </c>
    </row>
    <row r="886" ht="15" customHeight="1" s="11">
      <c r="A886" s="13" t="n">
        <v>885</v>
      </c>
      <c r="B886" s="13" t="n">
        <v>60</v>
      </c>
      <c r="C886" s="14">
        <f>INDEX('부작 목록'!$C$2:$C$66,B886)</f>
        <v/>
      </c>
      <c r="D886" s="14" t="inlineStr">
        <is>
          <t>E 빅토르 안전가옥 세션</t>
        </is>
      </c>
      <c r="E886" s="13" t="n">
        <v>15702</v>
      </c>
      <c r="F886" s="13" t="n">
        <v>8</v>
      </c>
      <c r="G886" s="15" t="inlineStr">
        <is>
          <t>알바로와 카밀라, 마르코스가 도착하며 세션이 정식으로 시작됩니다.</t>
        </is>
      </c>
    </row>
    <row r="887" ht="28.35" customHeight="1" s="11">
      <c r="A887" s="13" t="n">
        <v>886</v>
      </c>
      <c r="B887" s="13" t="n">
        <v>61</v>
      </c>
      <c r="C887" s="14">
        <f>INDEX('부작 목록'!$C$2:$C$66,B887)</f>
        <v/>
      </c>
      <c r="D887" s="14" t="inlineStr">
        <is>
          <t>E 빅토르 안전가옥 세션</t>
        </is>
      </c>
      <c r="E887" s="13" t="n">
        <v>15712</v>
      </c>
      <c r="F887" s="13" t="n">
        <v>9</v>
      </c>
      <c r="G887" s="15" t="inlineStr">
        <is>
          <t>새로운 세션. 빅토르가 '북극성 작전'을 소개합니다 — 이동패턴, 정서적 거점, 고정자산 데이터 를 종합해 정확한 검거 시점과 방법을 확정하는 마지막 정보 단계입니다.</t>
        </is>
      </c>
    </row>
    <row r="888" ht="15" customHeight="1" s="11">
      <c r="A888" s="13" t="n">
        <v>887</v>
      </c>
      <c r="B888" s="13" t="n">
        <v>61</v>
      </c>
      <c r="C888" s="14">
        <f>INDEX('부작 목록'!$C$2:$C$66,B888)</f>
        <v/>
      </c>
      <c r="D888" s="14" t="inlineStr">
        <is>
          <t>E 빅토르 안전가옥 세션</t>
        </is>
      </c>
      <c r="E888" s="13" t="n">
        <v>15724</v>
      </c>
      <c r="F888" s="13" t="n">
        <v>7</v>
      </c>
      <c r="G888" s="15" t="inlineStr">
        <is>
          <t>며칠 후, 정찰팀이 밀라노 방문일에 저택의 경비 인원을 확인한 결과를 보고합니다.</t>
        </is>
      </c>
    </row>
    <row r="889" ht="15" customHeight="1" s="11">
      <c r="A889" s="13" t="n">
        <v>888</v>
      </c>
      <c r="B889" s="13" t="n">
        <v>61</v>
      </c>
      <c r="C889" s="14">
        <f>INDEX('부작 목록'!$C$2:$C$66,B889)</f>
        <v/>
      </c>
      <c r="D889" s="14" t="inlineStr">
        <is>
          <t>E 빅토르 안전가옥 세션</t>
        </is>
      </c>
      <c r="E889" s="13" t="n">
        <v>15733</v>
      </c>
      <c r="F889" s="13" t="n">
        <v>8</v>
      </c>
      <c r="G889" s="15" t="inlineStr">
        <is>
          <t>카밀라가 취리히 보안업체에 대한 심화 조사 결과를 세션에 보고합니다.</t>
        </is>
      </c>
    </row>
    <row r="890" ht="15" customHeight="1" s="11">
      <c r="A890" s="13" t="n">
        <v>889</v>
      </c>
      <c r="B890" s="13" t="n">
        <v>61</v>
      </c>
      <c r="C890" s="14">
        <f>INDEX('부작 목록'!$C$2:$C$66,B890)</f>
        <v/>
      </c>
      <c r="D890" s="14" t="inlineStr">
        <is>
          <t>E 빅토르 안전가옥 세션</t>
        </is>
      </c>
      <c r="E890" s="13" t="n">
        <v>15744</v>
      </c>
      <c r="F890" s="13" t="n">
        <v>7</v>
      </c>
      <c r="G890" s="15" t="inlineStr">
        <is>
          <t>일주일 후, 마르코스가 안면 인식 결과를 세션에 보고합니다.</t>
        </is>
      </c>
    </row>
    <row r="891" ht="15" customHeight="1" s="11">
      <c r="A891" s="13" t="n">
        <v>890</v>
      </c>
      <c r="B891" s="13" t="n">
        <v>61</v>
      </c>
      <c r="C891" s="14">
        <f>INDEX('부작 목록'!$C$2:$C$66,B891)</f>
        <v/>
      </c>
      <c r="D891" s="14" t="inlineStr">
        <is>
          <t>E 빅토르 안전가옥 세션</t>
        </is>
      </c>
      <c r="E891" s="13" t="n">
        <v>15753</v>
      </c>
      <c r="F891" s="13" t="n">
        <v>7</v>
      </c>
      <c r="G891" s="15" t="inlineStr">
        <is>
          <t>카를로스가 스위스 특수부대 협조를 위한 공식 절차를 논의합니다.</t>
        </is>
      </c>
    </row>
    <row r="892" ht="15" customHeight="1" s="11">
      <c r="A892" s="13" t="n">
        <v>891</v>
      </c>
      <c r="B892" s="13" t="n">
        <v>61</v>
      </c>
      <c r="C892" s="14">
        <f>INDEX('부작 목록'!$C$2:$C$66,B892)</f>
        <v/>
      </c>
      <c r="D892" s="14" t="inlineStr">
        <is>
          <t>E 빅토르 안전가옥 세션</t>
        </is>
      </c>
      <c r="E892" s="13" t="n">
        <v>15763</v>
      </c>
      <c r="F892" s="13" t="n">
        <v>8</v>
      </c>
      <c r="G892" s="15" t="inlineStr">
        <is>
          <t>이 주 후, 스위스 당국과의 첫 공식 회의가 열리며 그 결과가 세션에 공유됩니다.</t>
        </is>
      </c>
    </row>
    <row r="893" ht="15" customHeight="1" s="11">
      <c r="A893" s="13" t="n">
        <v>892</v>
      </c>
      <c r="B893" s="13" t="n">
        <v>61</v>
      </c>
      <c r="C893" s="14">
        <f>INDEX('부작 목록'!$C$2:$C$66,B893)</f>
        <v/>
      </c>
      <c r="D893" s="14" t="inlineStr">
        <is>
          <t>E 빅토르 안전가옥 세션</t>
        </is>
      </c>
      <c r="E893" s="13" t="n">
        <v>15773</v>
      </c>
      <c r="F893" s="13" t="n">
        <v>9</v>
      </c>
      <c r="G893" s="15" t="inlineStr">
        <is>
          <t>빅토르가 최적의 시기를 결정하기 위한 구체적 변수들을 제시합니다.</t>
        </is>
      </c>
    </row>
    <row r="894" ht="15" customHeight="1" s="11">
      <c r="A894" s="13" t="n">
        <v>893</v>
      </c>
      <c r="B894" s="13" t="n">
        <v>61</v>
      </c>
      <c r="C894" s="14">
        <f>INDEX('부작 목록'!$C$2:$C$66,B894)</f>
        <v/>
      </c>
      <c r="D894" s="14" t="inlineStr">
        <is>
          <t>E 빅토르 안전가옥 세션</t>
        </is>
      </c>
      <c r="E894" s="13" t="n">
        <v>15785</v>
      </c>
      <c r="F894" s="13" t="n">
        <v>8</v>
      </c>
      <c r="G894" s="15" t="inlineStr">
        <is>
          <t>카를로스가 이탈리아 당국과의 조율 상황을 확인하며 세션이 이어집니다.</t>
        </is>
      </c>
    </row>
    <row r="895" ht="15" customHeight="1" s="11">
      <c r="A895" s="13" t="n">
        <v>894</v>
      </c>
      <c r="B895" s="13" t="n">
        <v>61</v>
      </c>
      <c r="C895" s="14">
        <f>INDEX('부작 목록'!$C$2:$C$66,B895)</f>
        <v/>
      </c>
      <c r="D895" s="14" t="inlineStr">
        <is>
          <t>E 빅토르 안전가옥 세션</t>
        </is>
      </c>
      <c r="E895" s="13" t="n">
        <v>15795</v>
      </c>
      <c r="F895" s="13" t="n">
        <v>6</v>
      </c>
      <c r="G895" s="15" t="inlineStr">
        <is>
          <t>빅토르가 밀라노 건물 자체의 물리적 취약점을 분석합니다.</t>
        </is>
      </c>
    </row>
    <row r="896" ht="15" customHeight="1" s="11">
      <c r="A896" s="13" t="n">
        <v>895</v>
      </c>
      <c r="B896" s="13" t="n">
        <v>61</v>
      </c>
      <c r="C896" s="14">
        <f>INDEX('부작 목록'!$C$2:$C$66,B896)</f>
        <v/>
      </c>
      <c r="D896" s="14" t="inlineStr">
        <is>
          <t>E 빅토르 안전가옥 세션</t>
        </is>
      </c>
      <c r="E896" s="13" t="n">
        <v>15804</v>
      </c>
      <c r="F896" s="13" t="n">
        <v>7</v>
      </c>
      <c r="G896" s="15" t="inlineStr">
        <is>
          <t>며칠 후, 마르코스가 CCTV 영상 분석 결과를 세션에 보고합니다.</t>
        </is>
      </c>
    </row>
    <row r="897" ht="15" customHeight="1" s="11">
      <c r="A897" s="13" t="n">
        <v>896</v>
      </c>
      <c r="B897" s="13" t="n">
        <v>61</v>
      </c>
      <c r="C897" s="14">
        <f>INDEX('부작 목록'!$C$2:$C$66,B897)</f>
        <v/>
      </c>
      <c r="D897" s="14" t="inlineStr">
        <is>
          <t>E 빅토르 안전가옥 세션</t>
        </is>
      </c>
      <c r="E897" s="13" t="n">
        <v>15813</v>
      </c>
      <c r="F897" s="13" t="n">
        <v>8</v>
      </c>
      <c r="G897" s="15" t="inlineStr">
        <is>
          <t>카를로스가 이탈리아 특수부대와의 합동 브리핑을 준비하며, 작전 초안을 논의합니다.</t>
        </is>
      </c>
    </row>
    <row r="898" ht="15" customHeight="1" s="11">
      <c r="A898" s="13" t="n">
        <v>897</v>
      </c>
      <c r="B898" s="13" t="n">
        <v>61</v>
      </c>
      <c r="C898" s="14">
        <f>INDEX('부작 목록'!$C$2:$C$66,B898)</f>
        <v/>
      </c>
      <c r="D898" s="14" t="inlineStr">
        <is>
          <t>E 빅토르 안전가옥 세션</t>
        </is>
      </c>
      <c r="E898" s="13" t="n">
        <v>15823</v>
      </c>
      <c r="F898" s="13" t="n">
        <v>7</v>
      </c>
      <c r="G898" s="15" t="inlineStr">
        <is>
          <t>빅토르가 그 짧은 시간대의 위험성을 지적하며 대안을 제시합니다.</t>
        </is>
      </c>
    </row>
    <row r="899" ht="15" customHeight="1" s="11">
      <c r="A899" s="13" t="n">
        <v>898</v>
      </c>
      <c r="B899" s="13" t="n">
        <v>61</v>
      </c>
      <c r="C899" s="14">
        <f>INDEX('부작 목록'!$C$2:$C$66,B899)</f>
        <v/>
      </c>
      <c r="D899" s="14" t="inlineStr">
        <is>
          <t>E 빅토르 안전가옥 세션</t>
        </is>
      </c>
      <c r="E899" s="13" t="n">
        <v>15832</v>
      </c>
      <c r="F899" s="13" t="n">
        <v>8</v>
      </c>
      <c r="G899" s="15" t="inlineStr">
        <is>
          <t>며칠 후, 마르코스가 차량 배치 확인 결과를 세션에 보고합니다.</t>
        </is>
      </c>
    </row>
    <row r="900" ht="15" customHeight="1" s="11">
      <c r="A900" s="13" t="n">
        <v>899</v>
      </c>
      <c r="B900" s="13" t="n">
        <v>61</v>
      </c>
      <c r="C900" s="14">
        <f>INDEX('부작 목록'!$C$2:$C$66,B900)</f>
        <v/>
      </c>
      <c r="D900" s="14" t="inlineStr">
        <is>
          <t>E 빅토르 안전가옥 세션</t>
        </is>
      </c>
      <c r="E900" s="13" t="n">
        <v>15842</v>
      </c>
      <c r="F900" s="13" t="n">
        <v>8</v>
      </c>
      <c r="G900" s="15" t="inlineStr">
        <is>
          <t>카를로스가 스위스와 이탈리아 팀과의 합동 훈련 일정을 확정합니다.</t>
        </is>
      </c>
    </row>
    <row r="901" ht="15" customHeight="1" s="11">
      <c r="A901" s="13" t="n">
        <v>900</v>
      </c>
      <c r="B901" s="13" t="n">
        <v>61</v>
      </c>
      <c r="C901" s="14">
        <f>INDEX('부작 목록'!$C$2:$C$66,B901)</f>
        <v/>
      </c>
      <c r="D901" s="14" t="inlineStr">
        <is>
          <t>E 빅토르 안전가옥 세션</t>
        </is>
      </c>
      <c r="E901" s="13" t="n">
        <v>15853</v>
      </c>
      <c r="F901" s="13" t="n">
        <v>7</v>
      </c>
      <c r="G901" s="15" t="inlineStr">
        <is>
          <t>훈련 세션 당일. 알바로가 관찰자로서 훈련 과정을 지켜봅니다.</t>
        </is>
      </c>
    </row>
    <row r="902" ht="15" customHeight="1" s="11">
      <c r="A902" s="13" t="n">
        <v>901</v>
      </c>
      <c r="B902" s="13" t="n">
        <v>61</v>
      </c>
      <c r="C902" s="14">
        <f>INDEX('부작 목록'!$C$2:$C$66,B902)</f>
        <v/>
      </c>
      <c r="D902" s="14" t="inlineStr">
        <is>
          <t>E 빅토르 안전가옥 세션</t>
        </is>
      </c>
      <c r="E902" s="13" t="n">
        <v>15862</v>
      </c>
      <c r="F902" s="13" t="n">
        <v>7</v>
      </c>
      <c r="G902" s="15" t="inlineStr">
        <is>
          <t>카밀라가 자금 감시를 계속하다가 예상치 못한 이상 신호를 감지합니다.</t>
        </is>
      </c>
    </row>
    <row r="903" ht="15" customHeight="1" s="11">
      <c r="A903" s="13" t="n">
        <v>902</v>
      </c>
      <c r="B903" s="13" t="n">
        <v>61</v>
      </c>
      <c r="C903" s="14">
        <f>INDEX('부작 목록'!$C$2:$C$66,B903)</f>
        <v/>
      </c>
      <c r="D903" s="14" t="inlineStr">
        <is>
          <t>E 빅토르 안전가옥 세션</t>
        </is>
      </c>
      <c r="E903" s="13" t="n">
        <v>15872</v>
      </c>
      <c r="F903" s="13" t="n">
        <v>7</v>
      </c>
      <c r="G903" s="15" t="inlineStr">
        <is>
          <t>며칠 후, 마르코스가 그 이체의 실제 의미를 밝혀내며 긴장이 해소됩니다.</t>
        </is>
      </c>
    </row>
    <row r="904" ht="15" customHeight="1" s="11">
      <c r="A904" s="13" t="n">
        <v>903</v>
      </c>
      <c r="B904" s="13" t="n">
        <v>61</v>
      </c>
      <c r="C904" s="14">
        <f>INDEX('부작 목록'!$C$2:$C$66,B904)</f>
        <v/>
      </c>
      <c r="D904" s="14" t="inlineStr">
        <is>
          <t>E 빅토르 안전가옥 세션</t>
        </is>
      </c>
      <c r="E904" s="13" t="n">
        <v>15881</v>
      </c>
      <c r="F904" s="13" t="n">
        <v>8</v>
      </c>
      <c r="G904" s="15" t="inlineStr">
        <is>
          <t>카를로스가 체포 후 법적 절차와 언론 대응 계획을 미리 논의합니다.</t>
        </is>
      </c>
    </row>
    <row r="905" ht="15" customHeight="1" s="11">
      <c r="A905" s="13" t="n">
        <v>904</v>
      </c>
      <c r="B905" s="13" t="n">
        <v>61</v>
      </c>
      <c r="C905" s="14">
        <f>INDEX('부작 목록'!$C$2:$C$66,B905)</f>
        <v/>
      </c>
      <c r="D905" s="14" t="inlineStr">
        <is>
          <t>E 빅토르 안전가옥 세션</t>
        </is>
      </c>
      <c r="E905" s="13" t="n">
        <v>15892</v>
      </c>
      <c r="F905" s="13" t="n">
        <v>8</v>
      </c>
      <c r="G905" s="15" t="inlineStr">
        <is>
          <t>빅토르가 검거 이후 자신의 안전에 대한 우려를 처음으로 솔직하게 꺼냅니다.</t>
        </is>
      </c>
    </row>
    <row r="906" ht="15" customHeight="1" s="11">
      <c r="A906" s="13" t="n">
        <v>905</v>
      </c>
      <c r="B906" s="13" t="n">
        <v>61</v>
      </c>
      <c r="C906" s="14">
        <f>INDEX('부작 목록'!$C$2:$C$66,B906)</f>
        <v/>
      </c>
      <c r="D906" s="14" t="inlineStr">
        <is>
          <t>E 빅토르 안전가옥 세션</t>
        </is>
      </c>
      <c r="E906" s="13" t="n">
        <v>15902</v>
      </c>
      <c r="F906" s="13" t="n">
        <v>8</v>
      </c>
      <c r="G906" s="15" t="inlineStr">
        <is>
          <t>카를로스가 빅토르에게 새 신분 프로그램 가능성을 처음으로 공식 제안합니다.</t>
        </is>
      </c>
    </row>
    <row r="907" ht="15" customHeight="1" s="11">
      <c r="A907" s="13" t="n">
        <v>906</v>
      </c>
      <c r="B907" s="13" t="n">
        <v>61</v>
      </c>
      <c r="C907" s="14">
        <f>INDEX('부작 목록'!$C$2:$C$66,B907)</f>
        <v/>
      </c>
      <c r="D907" s="14" t="inlineStr">
        <is>
          <t>E 빅토르 안전가옥 세션</t>
        </is>
      </c>
      <c r="E907" s="13" t="n">
        <v>15913</v>
      </c>
      <c r="F907" s="13" t="n">
        <v>8</v>
      </c>
      <c r="G907" s="15" t="inlineStr">
        <is>
          <t>일주일 후, 마지막 준비 세션에서 카를로스가 실행 계획 전체를 최종 승인합니다.</t>
        </is>
      </c>
    </row>
    <row r="908" ht="15" customHeight="1" s="11">
      <c r="A908" s="13" t="n">
        <v>907</v>
      </c>
      <c r="B908" s="13" t="n">
        <v>61</v>
      </c>
      <c r="C908" s="14">
        <f>INDEX('부작 목록'!$C$2:$C$66,B908)</f>
        <v/>
      </c>
      <c r="D908" s="14" t="inlineStr">
        <is>
          <t>E 빅토르 안전가옥 세션</t>
        </is>
      </c>
      <c r="E908" s="13" t="n">
        <v>15923</v>
      </c>
      <c r="F908" s="13" t="n">
        <v>9</v>
      </c>
      <c r="G908" s="15" t="inlineStr">
        <is>
          <t>그날 밤, 알바로와 카밀라가 며칠 뒤 다가올 작전에 대한 마지막 감정을 나눕니다.</t>
        </is>
      </c>
    </row>
    <row r="909" ht="15" customHeight="1" s="11">
      <c r="A909" s="13" t="n">
        <v>908</v>
      </c>
      <c r="B909" s="13" t="n">
        <v>61</v>
      </c>
      <c r="C909" s="14">
        <f>INDEX('부작 목록'!$C$2:$C$66,B909)</f>
        <v/>
      </c>
      <c r="D909" s="14" t="inlineStr">
        <is>
          <t>E 빅토르 안전가옥 세션</t>
        </is>
      </c>
      <c r="E909" s="13" t="n">
        <v>15935</v>
      </c>
      <c r="F909" s="13" t="n">
        <v>9</v>
      </c>
      <c r="G909" s="15" t="inlineStr">
        <is>
          <t>다음 날 아침, 마지막 작전 명칭이 확정되며 세션이 마무리됩니다.</t>
        </is>
      </c>
    </row>
    <row r="910" ht="28.35" customHeight="1" s="11">
      <c r="A910" s="13" t="n">
        <v>909</v>
      </c>
      <c r="B910" s="13" t="n">
        <v>62</v>
      </c>
      <c r="C910" s="14">
        <f>INDEX('부작 목록'!$C$2:$C$66,B910)</f>
        <v/>
      </c>
      <c r="D910" s="14" t="inlineStr">
        <is>
          <t>E 빅토르 안전가옥 세션</t>
        </is>
      </c>
      <c r="E910" s="13" t="n">
        <v>15946</v>
      </c>
      <c r="F910" s="13" t="n">
        <v>9</v>
      </c>
      <c r="G910" s="15" t="inlineStr">
        <is>
          <t>실행일 하루 전. 빅토르가 '성채 작전'을 소개합니다 — 검거 직전, 밀라노 현장 전체를 최종 포 위하는 마지막 준비 단계입니다.</t>
        </is>
      </c>
    </row>
    <row r="911" ht="15" customHeight="1" s="11">
      <c r="A911" s="13" t="n">
        <v>910</v>
      </c>
      <c r="B911" s="13" t="n">
        <v>62</v>
      </c>
      <c r="C911" s="14">
        <f>INDEX('부작 목록'!$C$2:$C$66,B911)</f>
        <v/>
      </c>
      <c r="D911" s="14" t="inlineStr">
        <is>
          <t>E 빅토르 안전가옥 세션</t>
        </is>
      </c>
      <c r="E911" s="13" t="n">
        <v>15958</v>
      </c>
      <c r="F911" s="13" t="n">
        <v>9</v>
      </c>
      <c r="G911" s="15" t="inlineStr">
        <is>
          <t>카를로스가 마지막으로 각 팀의 구체적 위치와 신호 체계를 확정합니다.</t>
        </is>
      </c>
    </row>
    <row r="912" ht="15" customHeight="1" s="11">
      <c r="A912" s="13" t="n">
        <v>911</v>
      </c>
      <c r="B912" s="13" t="n">
        <v>62</v>
      </c>
      <c r="C912" s="14">
        <f>INDEX('부작 목록'!$C$2:$C$66,B912)</f>
        <v/>
      </c>
      <c r="D912" s="14" t="inlineStr">
        <is>
          <t>E 빅토르 안전가옥 세션</t>
        </is>
      </c>
      <c r="E912" s="13" t="n">
        <v>15969</v>
      </c>
      <c r="F912" s="13" t="n">
        <v>8</v>
      </c>
      <c r="G912" s="15" t="inlineStr">
        <is>
          <t>마르코스가 실시간 모니터링 시스템을 최종 점검한 결과를 보고합니다.</t>
        </is>
      </c>
    </row>
    <row r="913" ht="15" customHeight="1" s="11">
      <c r="A913" s="13" t="n">
        <v>912</v>
      </c>
      <c r="B913" s="13" t="n">
        <v>62</v>
      </c>
      <c r="C913" s="14">
        <f>INDEX('부작 목록'!$C$2:$C$66,B913)</f>
        <v/>
      </c>
      <c r="D913" s="14" t="inlineStr">
        <is>
          <t>E 빅토르 안전가옥 세션</t>
        </is>
      </c>
      <c r="E913" s="13" t="n">
        <v>15980</v>
      </c>
      <c r="F913" s="13" t="n">
        <v>7</v>
      </c>
      <c r="G913" s="15" t="inlineStr">
        <is>
          <t>카밀라가 마지막 자금 확인 결과를 세션에 보고하며, 이상 없음을 확인합니다.</t>
        </is>
      </c>
    </row>
    <row r="914" ht="15" customHeight="1" s="11">
      <c r="A914" s="13" t="n">
        <v>913</v>
      </c>
      <c r="B914" s="13" t="n">
        <v>62</v>
      </c>
      <c r="C914" s="14">
        <f>INDEX('부작 목록'!$C$2:$C$66,B914)</f>
        <v/>
      </c>
      <c r="D914" s="14" t="inlineStr">
        <is>
          <t>E 빅토르 안전가옥 세션</t>
        </is>
      </c>
      <c r="E914" s="13" t="n">
        <v>15989</v>
      </c>
      <c r="F914" s="13" t="n">
        <v>8</v>
      </c>
      <c r="G914" s="15" t="inlineStr">
        <is>
          <t>그날 밤, 알바로와 카밀라가 작전 전날 밤의 긴장을 함께 견딥니다.</t>
        </is>
      </c>
    </row>
    <row r="915" ht="15" customHeight="1" s="11">
      <c r="A915" s="13" t="n">
        <v>914</v>
      </c>
      <c r="B915" s="13" t="n">
        <v>62</v>
      </c>
      <c r="C915" s="14">
        <f>INDEX('부작 목록'!$C$2:$C$66,B915)</f>
        <v/>
      </c>
      <c r="D915" s="14" t="inlineStr">
        <is>
          <t>E 빅토르 안전가옥 세션</t>
        </is>
      </c>
      <c r="E915" s="13" t="n">
        <v>16000</v>
      </c>
      <c r="F915" s="13" t="n">
        <v>7</v>
      </c>
      <c r="G915" s="15" t="inlineStr">
        <is>
          <t>실행일 새벽. 밀라노에 있는 조정센터에서 팀 전체가 모입니다.</t>
        </is>
      </c>
    </row>
    <row r="916" ht="15" customHeight="1" s="11">
      <c r="A916" s="13" t="n">
        <v>915</v>
      </c>
      <c r="B916" s="13" t="n">
        <v>62</v>
      </c>
      <c r="C916" s="14">
        <f>INDEX('부작 목록'!$C$2:$C$66,B916)</f>
        <v/>
      </c>
      <c r="D916" s="14" t="inlineStr">
        <is>
          <t>E 빅토르 안전가옥 세션</t>
        </is>
      </c>
      <c r="E916" s="13" t="n">
        <v>16009</v>
      </c>
      <c r="F916" s="13" t="n">
        <v>7</v>
      </c>
      <c r="G916" s="15" t="inlineStr">
        <is>
          <t>각 팀이 순서대로 배치를 시작하며, 실시간으로 배치 완료를 보고합니다.</t>
        </is>
      </c>
    </row>
    <row r="917" ht="15" customHeight="1" s="11">
      <c r="A917" s="13" t="n">
        <v>916</v>
      </c>
      <c r="B917" s="13" t="n">
        <v>62</v>
      </c>
      <c r="C917" s="14">
        <f>INDEX('부작 목록'!$C$2:$C$66,B917)</f>
        <v/>
      </c>
      <c r="D917" s="14" t="inlineStr">
        <is>
          <t>E 빅토르 안전가옥 세션</t>
        </is>
      </c>
      <c r="E917" s="13" t="n">
        <v>16018</v>
      </c>
      <c r="F917" s="13" t="n">
        <v>6</v>
      </c>
      <c r="G917" s="15" t="inlineStr">
        <is>
          <t>기차 도착 시간이 다가오며 팀 전체의 긴장이 고조됩니다.</t>
        </is>
      </c>
    </row>
    <row r="918" ht="15" customHeight="1" s="11">
      <c r="A918" s="13" t="n">
        <v>917</v>
      </c>
      <c r="B918" s="13" t="n">
        <v>62</v>
      </c>
      <c r="C918" s="14">
        <f>INDEX('부작 목록'!$C$2:$C$66,B918)</f>
        <v/>
      </c>
      <c r="D918" s="14" t="inlineStr">
        <is>
          <t>E 빅토르 안전가옥 세션</t>
        </is>
      </c>
      <c r="E918" s="13" t="n">
        <v>16027</v>
      </c>
      <c r="F918" s="13" t="n">
        <v>5</v>
      </c>
      <c r="G918" s="15" t="inlineStr">
        <is>
          <t>역에서 하차 상황이 실시간으로 확인됩니다.</t>
        </is>
      </c>
    </row>
    <row r="919" ht="15" customHeight="1" s="11">
      <c r="A919" s="13" t="n">
        <v>918</v>
      </c>
      <c r="B919" s="13" t="n">
        <v>62</v>
      </c>
      <c r="C919" s="14">
        <f>INDEX('부작 목록'!$C$2:$C$66,B919)</f>
        <v/>
      </c>
      <c r="D919" s="14" t="inlineStr">
        <is>
          <t>E 빅토르 안전가옥 세션</t>
        </is>
      </c>
      <c r="E919" s="13" t="n">
        <v>16034</v>
      </c>
      <c r="F919" s="13" t="n">
        <v>7</v>
      </c>
      <c r="G919" s="15" t="inlineStr">
        <is>
          <t>로셀요가 사무실로 이동하는 동안 경호원들의 위치도 확인됩니다.</t>
        </is>
      </c>
    </row>
    <row r="920" ht="15" customHeight="1" s="11">
      <c r="A920" s="13" t="n">
        <v>919</v>
      </c>
      <c r="B920" s="13" t="n">
        <v>62</v>
      </c>
      <c r="C920" s="14">
        <f>INDEX('부작 목록'!$C$2:$C$66,B920)</f>
        <v/>
      </c>
      <c r="D920" s="14" t="inlineStr">
        <is>
          <t>E 빅토르 안전가옥 세션</t>
        </is>
      </c>
      <c r="E920" s="13" t="n">
        <v>16043</v>
      </c>
      <c r="F920" s="13" t="n">
        <v>6</v>
      </c>
      <c r="G920" s="15" t="inlineStr">
        <is>
          <t>대기 시간 동안 카를로스와 빅토르가 짧은 대화를 나누며 긴장을 관리합니다.</t>
        </is>
      </c>
    </row>
    <row r="921" ht="15" customHeight="1" s="11">
      <c r="A921" s="13" t="n">
        <v>920</v>
      </c>
      <c r="B921" s="13" t="n">
        <v>62</v>
      </c>
      <c r="C921" s="14">
        <f>INDEX('부작 목록'!$C$2:$C$66,B921)</f>
        <v/>
      </c>
      <c r="D921" s="14" t="inlineStr">
        <is>
          <t>E 빅토르 안전가옥 세션</t>
        </is>
      </c>
      <c r="E921" s="13" t="n">
        <v>16052</v>
      </c>
      <c r="F921" s="13" t="n">
        <v>7</v>
      </c>
      <c r="G921" s="15" t="inlineStr">
        <is>
          <t>예상치 못한 변수가 발생하며 팀에 긴장이 재차 고조됩니다.</t>
        </is>
      </c>
    </row>
    <row r="922" ht="15" customHeight="1" s="11">
      <c r="A922" s="13" t="n">
        <v>921</v>
      </c>
      <c r="B922" s="13" t="n">
        <v>62</v>
      </c>
      <c r="C922" s="14">
        <f>INDEX('부작 목록'!$C$2:$C$66,B922)</f>
        <v/>
      </c>
      <c r="D922" s="14" t="inlineStr">
        <is>
          <t>E 빅토르 안전가옥 세션</t>
        </is>
      </c>
      <c r="E922" s="13" t="n">
        <v>16061</v>
      </c>
      <c r="F922" s="13" t="n">
        <v>8</v>
      </c>
      <c r="G922" s="15" t="inlineStr">
        <is>
          <t>몇 분 후, 그 차량의 정체가 확인되며 긴장이 해소됩니다.</t>
        </is>
      </c>
    </row>
    <row r="923" ht="15" customHeight="1" s="11">
      <c r="A923" s="13" t="n">
        <v>922</v>
      </c>
      <c r="B923" s="13" t="n">
        <v>62</v>
      </c>
      <c r="C923" s="14">
        <f>INDEX('부작 목록'!$C$2:$C$66,B923)</f>
        <v/>
      </c>
      <c r="D923" s="14" t="inlineStr">
        <is>
          <t>E 빅토르 안전가옥 세션</t>
        </is>
      </c>
      <c r="E923" s="13" t="n">
        <v>16072</v>
      </c>
      <c r="F923" s="13" t="n">
        <v>7</v>
      </c>
      <c r="G923" s="15" t="inlineStr">
        <is>
          <t>삼십 분 후, 회의가 예정보다 일찍 끝날 조짐이 보이며 팀이 대응합니다.</t>
        </is>
      </c>
    </row>
    <row r="924" ht="15" customHeight="1" s="11">
      <c r="A924" s="13" t="n">
        <v>923</v>
      </c>
      <c r="B924" s="13" t="n">
        <v>62</v>
      </c>
      <c r="C924" s="14">
        <f>INDEX('부작 목록'!$C$2:$C$66,B924)</f>
        <v/>
      </c>
      <c r="D924" s="14" t="inlineStr">
        <is>
          <t>E 빅토르 안전가옥 세션</t>
        </is>
      </c>
      <c r="E924" s="13" t="n">
        <v>16081</v>
      </c>
      <c r="F924" s="13" t="n">
        <v>14</v>
      </c>
      <c r="G924" s="15" t="inlineStr">
        <is>
          <t>로셀요가 건물에서 나오는 순간이 실시간으로 보고됩니다.</t>
        </is>
      </c>
    </row>
    <row r="925" ht="15" customHeight="1" s="11">
      <c r="A925" s="13" t="n">
        <v>924</v>
      </c>
      <c r="B925" s="13" t="n">
        <v>62</v>
      </c>
      <c r="C925" s="14">
        <f>INDEX('부작 목록'!$C$2:$C$66,B925)</f>
        <v/>
      </c>
      <c r="D925" s="14" t="inlineStr">
        <is>
          <t>E 빅토르 안전가옥 세션</t>
        </is>
      </c>
      <c r="E925" s="13" t="n">
        <v>16098</v>
      </c>
      <c r="F925" s="13" t="n">
        <v>7</v>
      </c>
      <c r="G925" s="15" t="inlineStr">
        <is>
          <t>긴장 속에서 상황이 조금씩 밝혀지며 진짜 이유가 드러납니다.</t>
        </is>
      </c>
    </row>
    <row r="926" ht="15" customHeight="1" s="11">
      <c r="A926" s="13" t="n">
        <v>925</v>
      </c>
      <c r="B926" s="13" t="n">
        <v>62</v>
      </c>
      <c r="C926" s="14">
        <f>INDEX('부작 목록'!$C$2:$C$66,B926)</f>
        <v/>
      </c>
      <c r="D926" s="14" t="inlineStr">
        <is>
          <t>E 빅토르 안전가옥 세션</t>
        </is>
      </c>
      <c r="E926" s="13" t="n">
        <v>16107</v>
      </c>
      <c r="F926" s="13" t="n">
        <v>8</v>
      </c>
      <c r="G926" s="15" t="inlineStr">
        <is>
          <t>십이 분 후, 로셀요가 다시 나오며 원래 계획으로 복귀합니다.</t>
        </is>
      </c>
    </row>
    <row r="927" ht="15" customHeight="1" s="11">
      <c r="A927" s="13" t="n">
        <v>926</v>
      </c>
      <c r="B927" s="13" t="n">
        <v>62</v>
      </c>
      <c r="C927" s="14">
        <f>INDEX('부작 목록'!$C$2:$C$66,B927)</f>
        <v/>
      </c>
      <c r="D927" s="14" t="inlineStr">
        <is>
          <t>E 빅토르 안전가옥 세션</t>
        </is>
      </c>
      <c r="E927" s="13" t="n">
        <v>16118</v>
      </c>
      <c r="F927" s="13" t="n">
        <v>6</v>
      </c>
      <c r="G927" s="15" t="inlineStr">
        <is>
          <t>로셀요가 골목에 접근하며 성채 작전의 목표인 완전 포위가 실시간으로 확정됩니다.</t>
        </is>
      </c>
    </row>
    <row r="928" ht="15" customHeight="1" s="11">
      <c r="A928" s="13" t="n">
        <v>927</v>
      </c>
      <c r="B928" s="13" t="n">
        <v>62</v>
      </c>
      <c r="C928" s="14">
        <f>INDEX('부작 목록'!$C$2:$C$66,B928)</f>
        <v/>
      </c>
      <c r="D928" s="14" t="inlineStr">
        <is>
          <t>E 빅토르 안전가옥 세션</t>
        </is>
      </c>
      <c r="E928" s="13" t="n">
        <v>16126</v>
      </c>
      <c r="F928" s="13" t="n">
        <v>7</v>
      </c>
      <c r="G928" s="15" t="inlineStr">
        <is>
          <t>카를로스가 지금 바로 개입할지, 다음 단계로 미룰지 최종 결정을 내립니다.</t>
        </is>
      </c>
    </row>
    <row r="929" ht="15" customHeight="1" s="11">
      <c r="A929" s="13" t="n">
        <v>928</v>
      </c>
      <c r="B929" s="13" t="n">
        <v>62</v>
      </c>
      <c r="C929" s="14">
        <f>INDEX('부작 목록'!$C$2:$C$66,B929)</f>
        <v/>
      </c>
      <c r="D929" s="14" t="inlineStr">
        <is>
          <t>E 빅토르 안전가옥 세션</t>
        </is>
      </c>
      <c r="E929" s="13" t="n">
        <v>16135</v>
      </c>
      <c r="F929" s="13" t="n">
        <v>5</v>
      </c>
      <c r="G929" s="15" t="inlineStr">
        <is>
          <t>로셀요가 자신의 차량에 접근하는 마지막 순간이 초 단위로 중계됩니다.</t>
        </is>
      </c>
    </row>
    <row r="930" ht="15" customHeight="1" s="11">
      <c r="A930" s="13" t="n">
        <v>929</v>
      </c>
      <c r="B930" s="13" t="n">
        <v>62</v>
      </c>
      <c r="C930" s="14">
        <f>INDEX('부작 목록'!$C$2:$C$66,B930)</f>
        <v/>
      </c>
      <c r="D930" s="14" t="inlineStr">
        <is>
          <t>E 빅토르 안전가옥 세션</t>
        </is>
      </c>
      <c r="E930" s="13" t="n">
        <v>16143</v>
      </c>
      <c r="F930" s="13" t="n">
        <v>7</v>
      </c>
      <c r="G930" s="15" t="inlineStr">
        <is>
          <t>카를로스가 결정적 순간에 실행을 잠시 보류하며, 성채 작전의 목적이 완수됐음을 확인합니다.</t>
        </is>
      </c>
    </row>
    <row r="931" ht="15" customHeight="1" s="11">
      <c r="A931" s="13" t="n">
        <v>930</v>
      </c>
      <c r="B931" s="13" t="n">
        <v>62</v>
      </c>
      <c r="C931" s="14">
        <f>INDEX('부작 목록'!$C$2:$C$66,B931)</f>
        <v/>
      </c>
      <c r="D931" s="14" t="inlineStr">
        <is>
          <t>E 빅토르 안전가옥 세션</t>
        </is>
      </c>
      <c r="E931" s="13" t="n">
        <v>16152</v>
      </c>
      <c r="F931" s="13" t="n">
        <v>7</v>
      </c>
      <c r="G931" s="15" t="inlineStr">
        <is>
          <t>팀이 철수하며, 이번 작전에서 얻은 확신을 정리합니다.</t>
        </is>
      </c>
    </row>
    <row r="932" ht="15" customHeight="1" s="11">
      <c r="A932" s="13" t="n">
        <v>931</v>
      </c>
      <c r="B932" s="13" t="n">
        <v>62</v>
      </c>
      <c r="C932" s="14">
        <f>INDEX('부작 목록'!$C$2:$C$66,B932)</f>
        <v/>
      </c>
      <c r="D932" s="14" t="inlineStr">
        <is>
          <t>E 빅토르 안전가옥 세션</t>
        </is>
      </c>
      <c r="E932" s="13" t="n">
        <v>16162</v>
      </c>
      <c r="F932" s="13" t="n">
        <v>8</v>
      </c>
      <c r="G932" s="15" t="inlineStr">
        <is>
          <t>그날 저녁, 마드리드로 돌아가는 비행기에서 알바로와 카밀라가 하루를 되짚습니다.</t>
        </is>
      </c>
    </row>
    <row r="933" ht="15" customHeight="1" s="11">
      <c r="A933" s="13" t="n">
        <v>932</v>
      </c>
      <c r="B933" s="13" t="n">
        <v>62</v>
      </c>
      <c r="C933" s="14">
        <f>INDEX('부작 목록'!$C$2:$C$66,B933)</f>
        <v/>
      </c>
      <c r="D933" s="14" t="inlineStr">
        <is>
          <t>E 빅토르 안전가옥 세션</t>
        </is>
      </c>
      <c r="E933" s="13" t="n">
        <v>16172</v>
      </c>
      <c r="F933" s="13" t="n">
        <v>8</v>
      </c>
      <c r="G933" s="15" t="inlineStr">
        <is>
          <t>다음 세션에서, 팀이 작전 전체를 상세히 복기하며 개선점을 찾습니다.</t>
        </is>
      </c>
    </row>
    <row r="934" ht="15" customHeight="1" s="11">
      <c r="A934" s="13" t="n">
        <v>933</v>
      </c>
      <c r="B934" s="13" t="n">
        <v>62</v>
      </c>
      <c r="C934" s="14">
        <f>INDEX('부작 목록'!$C$2:$C$66,B934)</f>
        <v/>
      </c>
      <c r="D934" s="14" t="inlineStr">
        <is>
          <t>E 빅토르 안전가옥 세션</t>
        </is>
      </c>
      <c r="E934" s="13" t="n">
        <v>16183</v>
      </c>
      <c r="F934" s="13" t="n">
        <v>7</v>
      </c>
      <c r="G934" s="15" t="inlineStr">
        <is>
          <t>빅토르가 로셀요의 갑작스러운 회귀에 대한 심리적 해석을 제시하며 마지막 통찰을 나눕니다.</t>
        </is>
      </c>
    </row>
    <row r="935" ht="15" customHeight="1" s="11">
      <c r="A935" s="13" t="n">
        <v>934</v>
      </c>
      <c r="B935" s="13" t="n">
        <v>62</v>
      </c>
      <c r="C935" s="14">
        <f>INDEX('부작 목록'!$C$2:$C$66,B935)</f>
        <v/>
      </c>
      <c r="D935" s="14" t="inlineStr">
        <is>
          <t>E 빅토르 안전가옥 세션</t>
        </is>
      </c>
      <c r="E935" s="13" t="n">
        <v>16192</v>
      </c>
      <c r="F935" s="13" t="n">
        <v>7</v>
      </c>
      <c r="G935" s="15" t="inlineStr">
        <is>
          <t>카를로스가 다음 실행 사이클을 위한 최종 준비 지시를 내리며 세션이 마무리됩니다.</t>
        </is>
      </c>
    </row>
    <row r="936" ht="15" customHeight="1" s="11">
      <c r="A936" s="13" t="n">
        <v>935</v>
      </c>
      <c r="B936" s="13" t="n">
        <v>62</v>
      </c>
      <c r="C936" s="14">
        <f>INDEX('부작 목록'!$C$2:$C$66,B936)</f>
        <v/>
      </c>
      <c r="D936" s="14" t="inlineStr">
        <is>
          <t>E 빅토르 안전가옥 세션</t>
        </is>
      </c>
      <c r="E936" s="13" t="n">
        <v>16201</v>
      </c>
      <c r="F936" s="13" t="n">
        <v>7</v>
      </c>
      <c r="G936" s="15" t="inlineStr">
        <is>
          <t>몇 주 후, 카밀라가 예상보다 이른 재정 이상 신호를 감지하며 계획 조정이 필요해집니다.</t>
        </is>
      </c>
    </row>
    <row r="937" ht="15" customHeight="1" s="11">
      <c r="A937" s="13" t="n">
        <v>936</v>
      </c>
      <c r="B937" s="13" t="n">
        <v>62</v>
      </c>
      <c r="C937" s="14">
        <f>INDEX('부작 목록'!$C$2:$C$66,B937)</f>
        <v/>
      </c>
      <c r="D937" s="14" t="inlineStr">
        <is>
          <t>E 빅토르 안전가옥 세션</t>
        </is>
      </c>
      <c r="E937" s="13" t="n">
        <v>16210</v>
      </c>
      <c r="F937" s="13" t="n">
        <v>5</v>
      </c>
      <c r="G937" s="15" t="inlineStr">
        <is>
          <t>몇 시간 후, 마르코스가 티켓 구매를 확인하며 실행 확정 소식을 전합니다.</t>
        </is>
      </c>
    </row>
    <row r="938" ht="15" customHeight="1" s="11">
      <c r="A938" s="13" t="n">
        <v>937</v>
      </c>
      <c r="B938" s="13" t="n">
        <v>62</v>
      </c>
      <c r="C938" s="14">
        <f>INDEX('부작 목록'!$C$2:$C$66,B938)</f>
        <v/>
      </c>
      <c r="D938" s="14" t="inlineStr">
        <is>
          <t>E 빅토르 안전가옥 세션</t>
        </is>
      </c>
      <c r="E938" s="13" t="n">
        <v>16217</v>
      </c>
      <c r="F938" s="13" t="n">
        <v>15</v>
      </c>
      <c r="G938" s="15" t="inlineStr">
        <is>
          <t>그날 밤, 알바로와 카밀라가 마지막으로 짧게 서로를 다잡습니다.</t>
        </is>
      </c>
    </row>
    <row r="939" ht="28.35" customHeight="1" s="11">
      <c r="A939" s="13" t="n">
        <v>938</v>
      </c>
      <c r="B939" s="13" t="n">
        <v>62</v>
      </c>
      <c r="C939" s="14">
        <f>INDEX('부작 목록'!$C$2:$C$66,B939)</f>
        <v/>
      </c>
      <c r="D939" s="14" t="inlineStr">
        <is>
          <t>E 빅토르 안전가옥 세션</t>
        </is>
      </c>
      <c r="E939" s="13" t="n">
        <v>16235</v>
      </c>
      <c r="F939" s="13" t="n">
        <v>15</v>
      </c>
      <c r="G939" s="15" t="inlineStr">
        <is>
          <t>실행일. 밀라노 조정센터. 마침내 '체크메이트 작전'이 시작됩니다 — 시리즈 전체의 클라이맥스, 로셀요의 실제 검거입니다.</t>
        </is>
      </c>
    </row>
    <row r="940" ht="15" customHeight="1" s="11">
      <c r="A940" s="13" t="n">
        <v>939</v>
      </c>
      <c r="B940" s="13" t="n">
        <v>62</v>
      </c>
      <c r="C940" s="14">
        <f>INDEX('부작 목록'!$C$2:$C$66,B940)</f>
        <v/>
      </c>
      <c r="D940" s="14" t="inlineStr">
        <is>
          <t>E 빅토르 안전가옥 세션</t>
        </is>
      </c>
      <c r="E940" s="13" t="n">
        <v>16253</v>
      </c>
      <c r="F940" s="13" t="n">
        <v>8</v>
      </c>
      <c r="G940" s="15" t="inlineStr">
        <is>
          <t>카를로스가 최종 프로토콜을 명료하게 확인시키며, 검거 순간의 정확한 신호체계를 확정합니다.</t>
        </is>
      </c>
    </row>
    <row r="941" ht="15" customHeight="1" s="11">
      <c r="A941" s="13" t="n">
        <v>940</v>
      </c>
      <c r="B941" s="13" t="n">
        <v>62</v>
      </c>
      <c r="C941" s="14">
        <f>INDEX('부작 목록'!$C$2:$C$66,B941)</f>
        <v/>
      </c>
      <c r="D941" s="14" t="inlineStr">
        <is>
          <t>E 빅토르 안전가옥 세션</t>
        </is>
      </c>
      <c r="E941" s="13" t="n">
        <v>16263</v>
      </c>
      <c r="F941" s="13" t="n">
        <v>7</v>
      </c>
      <c r="G941" s="15" t="inlineStr">
        <is>
          <t>기차가 역에 접근하며 긴장이 다시 최고조에 이릅니다.</t>
        </is>
      </c>
    </row>
    <row r="942" ht="15" customHeight="1" s="11">
      <c r="A942" s="13" t="n">
        <v>941</v>
      </c>
      <c r="B942" s="13" t="n">
        <v>62</v>
      </c>
      <c r="C942" s="14">
        <f>INDEX('부작 목록'!$C$2:$C$66,B942)</f>
        <v/>
      </c>
      <c r="D942" s="14" t="inlineStr">
        <is>
          <t>E 빅토르 안전가옥 세션</t>
        </is>
      </c>
      <c r="E942" s="13" t="n">
        <v>16273</v>
      </c>
      <c r="F942" s="13" t="n">
        <v>6</v>
      </c>
      <c r="G942" s="15" t="inlineStr">
        <is>
          <t>로셀요가 하차하며 예정된 경로로 이동하는 상황이 실시간으로 확인됩니다.</t>
        </is>
      </c>
    </row>
    <row r="943" ht="15" customHeight="1" s="11">
      <c r="A943" s="13" t="n">
        <v>942</v>
      </c>
      <c r="B943" s="13" t="n">
        <v>62</v>
      </c>
      <c r="C943" s="14">
        <f>INDEX('부작 목록'!$C$2:$C$66,B943)</f>
        <v/>
      </c>
      <c r="D943" s="14" t="inlineStr">
        <is>
          <t>E 빅토르 안전가옥 세션</t>
        </is>
      </c>
      <c r="E943" s="13" t="n">
        <v>16281</v>
      </c>
      <c r="F943" s="13" t="n">
        <v>6</v>
      </c>
      <c r="G943" s="15" t="inlineStr">
        <is>
          <t>삼십오 분 후, 회의가 끝나며 로셀요가 건물을 나섭니다.</t>
        </is>
      </c>
    </row>
    <row r="944" ht="15" customHeight="1" s="11">
      <c r="A944" s="13" t="n">
        <v>943</v>
      </c>
      <c r="B944" s="13" t="n">
        <v>62</v>
      </c>
      <c r="C944" s="14">
        <f>INDEX('부작 목록'!$C$2:$C$66,B944)</f>
        <v/>
      </c>
      <c r="D944" s="14" t="inlineStr">
        <is>
          <t>E 빅토르 안전가옥 세션</t>
        </is>
      </c>
      <c r="E944" s="13" t="n">
        <v>16289</v>
      </c>
      <c r="F944" s="13" t="n">
        <v>7</v>
      </c>
      <c r="G944" s="15" t="inlineStr">
        <is>
          <t>로셀요가 자신의 차량에 접근하며, 마지막 순간이 초 단위로 중계됩니다.</t>
        </is>
      </c>
    </row>
    <row r="945" ht="15" customHeight="1" s="11">
      <c r="A945" s="13" t="n">
        <v>944</v>
      </c>
      <c r="B945" s="13" t="n">
        <v>62</v>
      </c>
      <c r="C945" s="14">
        <f>INDEX('부작 목록'!$C$2:$C$66,B945)</f>
        <v/>
      </c>
      <c r="D945" s="14" t="inlineStr">
        <is>
          <t>E 빅토르 안전가옥 세션</t>
        </is>
      </c>
      <c r="E945" s="13" t="n">
        <v>16299</v>
      </c>
      <c r="F945" s="13" t="n">
        <v>4</v>
      </c>
      <c r="G945" s="15" t="inlineStr">
        <is>
          <t>카를로스가 신호를 내리며, 몇 달간의 추적이 마침내 실행으로 이어집니다.</t>
        </is>
      </c>
    </row>
    <row r="946" ht="15" customHeight="1" s="11">
      <c r="A946" s="13" t="n">
        <v>945</v>
      </c>
      <c r="B946" s="13" t="n">
        <v>62</v>
      </c>
      <c r="C946" s="14">
        <f>INDEX('부작 목록'!$C$2:$C$66,B946)</f>
        <v/>
      </c>
      <c r="D946" s="14" t="inlineStr">
        <is>
          <t>E 빅토르 안전가옥 세션</t>
        </is>
      </c>
      <c r="E946" s="13" t="n">
        <v>16305</v>
      </c>
      <c r="F946" s="13" t="n">
        <v>6</v>
      </c>
      <c r="G946" s="15" t="inlineStr">
        <is>
          <t>조정센터에서 팀 전체가 이 순간을 받아들이며 감정이 폭발합니다.</t>
        </is>
      </c>
    </row>
    <row r="947" ht="15" customHeight="1" s="11">
      <c r="A947" s="13" t="n">
        <v>946</v>
      </c>
      <c r="B947" s="13" t="n">
        <v>62</v>
      </c>
      <c r="C947" s="14">
        <f>INDEX('부작 목록'!$C$2:$C$66,B947)</f>
        <v/>
      </c>
      <c r="D947" s="14" t="inlineStr">
        <is>
          <t>E 빅토르 안전가옥 세션</t>
        </is>
      </c>
      <c r="E947" s="13" t="n">
        <v>16313</v>
      </c>
      <c r="F947" s="13" t="n">
        <v>7</v>
      </c>
      <c r="G947" s="15" t="inlineStr">
        <is>
          <t>카를로스가 즉시 사법 절차와 공동 발표 준비를 지시합니다.</t>
        </is>
      </c>
    </row>
    <row r="948" ht="15" customHeight="1" s="11">
      <c r="A948" s="13" t="n">
        <v>947</v>
      </c>
      <c r="B948" s="13" t="n">
        <v>63</v>
      </c>
      <c r="C948" s="14">
        <f>INDEX('부작 목록'!$C$2:$C$66,B948)</f>
        <v/>
      </c>
      <c r="D948" s="14" t="inlineStr">
        <is>
          <t>E 빅토르 안전가옥 세션</t>
        </is>
      </c>
      <c r="E948" s="13" t="n">
        <v>16323</v>
      </c>
      <c r="F948" s="13" t="n">
        <v>6</v>
      </c>
      <c r="G948" s="15" t="inlineStr">
        <is>
          <t>몇 시간 후, 알바로가 취리히 구금시설에서 로셀요와 처음으로 검거 후 대면합니다.</t>
        </is>
      </c>
    </row>
    <row r="949" ht="15" customHeight="1" s="11">
      <c r="A949" s="13" t="n">
        <v>948</v>
      </c>
      <c r="B949" s="13" t="n">
        <v>63</v>
      </c>
      <c r="C949" s="14">
        <f>INDEX('부작 목록'!$C$2:$C$66,B949)</f>
        <v/>
      </c>
      <c r="D949" s="14" t="inlineStr">
        <is>
          <t>E 빅토르 안전가옥 세션</t>
        </is>
      </c>
      <c r="E949" s="13" t="n">
        <v>16331</v>
      </c>
      <c r="F949" s="13" t="n">
        <v>9</v>
      </c>
      <c r="G949" s="15" t="inlineStr">
        <is>
          <t>대화가 이어지며, 로셀요가 처음으로 후회에 가까운 말을 꺼냅니다.</t>
        </is>
      </c>
    </row>
    <row r="950" ht="15" customHeight="1" s="11">
      <c r="A950" s="13" t="n">
        <v>949</v>
      </c>
      <c r="B950" s="13" t="n">
        <v>63</v>
      </c>
      <c r="C950" s="14">
        <f>INDEX('부작 목록'!$C$2:$C$66,B950)</f>
        <v/>
      </c>
      <c r="D950" s="14" t="inlineStr">
        <is>
          <t>E 빅토르 안전가옥 세션</t>
        </is>
      </c>
      <c r="E950" s="13" t="n">
        <v>16343</v>
      </c>
      <c r="F950" s="13" t="n">
        <v>6</v>
      </c>
      <c r="G950" s="15" t="inlineStr">
        <is>
          <t>알바로가 협조 가능성을 조심스럽게 언급하며 대화를 마무리합니다.</t>
        </is>
      </c>
    </row>
    <row r="951" ht="15" customHeight="1" s="11">
      <c r="A951" s="13" t="n">
        <v>950</v>
      </c>
      <c r="B951" s="13" t="n">
        <v>63</v>
      </c>
      <c r="C951" s="14">
        <f>INDEX('부작 목록'!$C$2:$C$66,B951)</f>
        <v/>
      </c>
      <c r="D951" s="14" t="inlineStr">
        <is>
          <t>E 빅토르 안전가옥 세션</t>
        </is>
      </c>
      <c r="E951" s="13" t="n">
        <v>16351</v>
      </c>
      <c r="F951" s="13" t="n">
        <v>7</v>
      </c>
      <c r="G951" s="15" t="inlineStr">
        <is>
          <t>알바로가 팀에게 돌아가 로셀요와의 대화 내용을 보고합니다.</t>
        </is>
      </c>
    </row>
    <row r="952" ht="15" customHeight="1" s="11">
      <c r="A952" s="13" t="n">
        <v>951</v>
      </c>
      <c r="B952" s="13" t="n">
        <v>63</v>
      </c>
      <c r="C952" s="14">
        <f>INDEX('부작 목록'!$C$2:$C$66,B952)</f>
        <v/>
      </c>
      <c r="D952" s="14" t="inlineStr">
        <is>
          <t>E 빅토르 안전가옥 세션</t>
        </is>
      </c>
      <c r="E952" s="13" t="n">
        <v>16360</v>
      </c>
      <c r="F952" s="13" t="n">
        <v>6</v>
      </c>
      <c r="G952" s="15" t="inlineStr">
        <is>
          <t>공동 기자회견 시간이 다가오며, 하비에르의 기사와 함께 공식 발표가 이뤄집니다.</t>
        </is>
      </c>
    </row>
    <row r="953" ht="15" customHeight="1" s="11">
      <c r="A953" s="13" t="n">
        <v>952</v>
      </c>
      <c r="B953" s="13" t="n">
        <v>63</v>
      </c>
      <c r="C953" s="14">
        <f>INDEX('부작 목록'!$C$2:$C$66,B953)</f>
        <v/>
      </c>
      <c r="D953" s="14" t="inlineStr">
        <is>
          <t>E 빅토르 안전가옥 세션</t>
        </is>
      </c>
      <c r="E953" s="13" t="n">
        <v>16368</v>
      </c>
      <c r="F953" s="13" t="n">
        <v>6</v>
      </c>
      <c r="G953" s="15" t="inlineStr">
        <is>
          <t>카밀라가 도밍고와 안셀모에게 검거 소식을 직접 전합니다.</t>
        </is>
      </c>
    </row>
    <row r="954" ht="15" customHeight="1" s="11">
      <c r="A954" s="13" t="n">
        <v>953</v>
      </c>
      <c r="B954" s="13" t="n">
        <v>63</v>
      </c>
      <c r="C954" s="14">
        <f>INDEX('부작 목록'!$C$2:$C$66,B954)</f>
        <v/>
      </c>
      <c r="D954" s="14" t="inlineStr">
        <is>
          <t>E 빅토르 안전가옥 세션</t>
        </is>
      </c>
      <c r="E954" s="13" t="n">
        <v>16376</v>
      </c>
      <c r="F954" s="13" t="n">
        <v>7</v>
      </c>
      <c r="G954" s="15" t="inlineStr">
        <is>
          <t>카를로스가 빅토르에게 증인보호 프로그램 결정을 다시 묻습니다.</t>
        </is>
      </c>
    </row>
    <row r="955" ht="15" customHeight="1" s="11">
      <c r="A955" s="13" t="n">
        <v>954</v>
      </c>
      <c r="B955" s="13" t="n">
        <v>63</v>
      </c>
      <c r="C955" s="14">
        <f>INDEX('부작 목록'!$C$2:$C$66,B955)</f>
        <v/>
      </c>
      <c r="D955" s="14" t="inlineStr">
        <is>
          <t>E 빅토르 안전가옥 세션</t>
        </is>
      </c>
      <c r="E955" s="13" t="n">
        <v>16386</v>
      </c>
      <c r="F955" s="13" t="n">
        <v>7</v>
      </c>
      <c r="G955" s="15" t="inlineStr">
        <is>
          <t>그날 밤, 알바로와 카밀라가 마드리드로 돌아가는 비행기에서 감정을 나눕니다.</t>
        </is>
      </c>
    </row>
    <row r="956" ht="15" customHeight="1" s="11">
      <c r="A956" s="13" t="n">
        <v>955</v>
      </c>
      <c r="B956" s="13" t="n">
        <v>63</v>
      </c>
      <c r="C956" s="14">
        <f>INDEX('부작 목록'!$C$2:$C$66,B956)</f>
        <v/>
      </c>
      <c r="D956" s="14" t="inlineStr">
        <is>
          <t>E 빅토르 안전가옥 세션</t>
        </is>
      </c>
      <c r="E956" s="13" t="n">
        <v>16395</v>
      </c>
      <c r="F956" s="13" t="n">
        <v>7</v>
      </c>
      <c r="G956" s="15" t="inlineStr">
        <is>
          <t>며칠 후, 로셀요가 공식적으로 협조 의사를 밝히며 세션에서 그 소식을 다룹니다.</t>
        </is>
      </c>
    </row>
    <row r="957" ht="15" customHeight="1" s="11">
      <c r="A957" s="13" t="n">
        <v>956</v>
      </c>
      <c r="B957" s="13" t="n">
        <v>63</v>
      </c>
      <c r="C957" s="14">
        <f>INDEX('부작 목록'!$C$2:$C$66,B957)</f>
        <v/>
      </c>
      <c r="D957" s="14" t="inlineStr">
        <is>
          <t>E 빅토르 안전가옥 세션</t>
        </is>
      </c>
      <c r="E957" s="13" t="n">
        <v>16404</v>
      </c>
      <c r="F957" s="13" t="n">
        <v>7</v>
      </c>
      <c r="G957" s="15" t="inlineStr">
        <is>
          <t>몇 주 후, 협조 조건이 승인되며 로셀요의 첫 공식 진술이 시작됩니다.</t>
        </is>
      </c>
    </row>
    <row r="958" ht="15" customHeight="1" s="11">
      <c r="A958" s="13" t="n">
        <v>957</v>
      </c>
      <c r="B958" s="13" t="n">
        <v>63</v>
      </c>
      <c r="C958" s="14">
        <f>INDEX('부작 목록'!$C$2:$C$66,B958)</f>
        <v/>
      </c>
      <c r="D958" s="14" t="inlineStr">
        <is>
          <t>E 빅토르 안전가옥 세션</t>
        </is>
      </c>
      <c r="E958" s="13" t="n">
        <v>16413</v>
      </c>
      <c r="F958" s="13" t="n">
        <v>7</v>
      </c>
      <c r="G958" s="15" t="inlineStr">
        <is>
          <t>카밀라가 몰수된 자산으로 피해자 보상기금을 설계하는 작업을 시작합니다.</t>
        </is>
      </c>
    </row>
    <row r="959" ht="15" customHeight="1" s="11">
      <c r="A959" s="13" t="n">
        <v>958</v>
      </c>
      <c r="B959" s="13" t="n">
        <v>63</v>
      </c>
      <c r="C959" s="14">
        <f>INDEX('부작 목록'!$C$2:$C$66,B959)</f>
        <v/>
      </c>
      <c r="D959" s="14" t="inlineStr">
        <is>
          <t>E 빅토르 안전가옥 세션</t>
        </is>
      </c>
      <c r="E959" s="13" t="n">
        <v>16422</v>
      </c>
      <c r="F959" s="13" t="n">
        <v>5</v>
      </c>
      <c r="G959" s="15" t="inlineStr">
        <is>
          <t>몇 달 후, 로셀요의 재판이 시작되며 알바로가 법정을 취재합니다.</t>
        </is>
      </c>
    </row>
    <row r="960" ht="15" customHeight="1" s="11">
      <c r="A960" s="13" t="n">
        <v>959</v>
      </c>
      <c r="B960" s="13" t="n">
        <v>63</v>
      </c>
      <c r="C960" s="14">
        <f>INDEX('부작 목록'!$C$2:$C$66,B960)</f>
        <v/>
      </c>
      <c r="D960" s="14" t="inlineStr">
        <is>
          <t>E 빅토르 안전가옥 세션</t>
        </is>
      </c>
      <c r="E960" s="13" t="n">
        <v>16430</v>
      </c>
      <c r="F960" s="13" t="n">
        <v>5</v>
      </c>
      <c r="G960" s="15" t="inlineStr">
        <is>
          <t>재판이 진행되며, 로셀요가 법정에서 처음이자 유일하게 직접 발언합니다.</t>
        </is>
      </c>
    </row>
    <row r="961" ht="15" customHeight="1" s="11">
      <c r="A961" s="13" t="n">
        <v>960</v>
      </c>
      <c r="B961" s="13" t="n">
        <v>63</v>
      </c>
      <c r="C961" s="14">
        <f>INDEX('부작 목록'!$C$2:$C$66,B961)</f>
        <v/>
      </c>
      <c r="D961" s="14" t="inlineStr">
        <is>
          <t>E 빅토르 안전가옥 세션</t>
        </is>
      </c>
      <c r="E961" s="13" t="n">
        <v>16437</v>
      </c>
      <c r="F961" s="13" t="n">
        <v>5</v>
      </c>
      <c r="G961" s="15" t="inlineStr">
        <is>
          <t>몇 달 후, 판결이 내려지며 알바로가 그 순간을 취재합니다.</t>
        </is>
      </c>
    </row>
    <row r="962" ht="15" customHeight="1" s="11">
      <c r="A962" s="13" t="n">
        <v>961</v>
      </c>
      <c r="B962" s="13" t="n">
        <v>63</v>
      </c>
      <c r="C962" s="14">
        <f>INDEX('부작 목록'!$C$2:$C$66,B962)</f>
        <v/>
      </c>
      <c r="D962" s="14" t="inlineStr">
        <is>
          <t>E 빅토르 안전가옥 세션</t>
        </is>
      </c>
      <c r="E962" s="13" t="n">
        <v>16445</v>
      </c>
      <c r="F962" s="13" t="n">
        <v>6</v>
      </c>
      <c r="G962" s="15" t="inlineStr">
        <is>
          <t>재판 이후, 카를로스가 팀 전체를 모아 12개 작전 전체를 회고하는 마지막 정식 세션을 시작합 니다.</t>
        </is>
      </c>
    </row>
    <row r="963" ht="15" customHeight="1" s="11">
      <c r="A963" s="13" t="n">
        <v>962</v>
      </c>
      <c r="B963" s="13" t="n">
        <v>63</v>
      </c>
      <c r="C963" s="14">
        <f>INDEX('부작 목록'!$C$2:$C$66,B963)</f>
        <v/>
      </c>
      <c r="D963" s="14" t="inlineStr">
        <is>
          <t>E 빅토르 안전가옥 세션</t>
        </is>
      </c>
      <c r="E963" s="13" t="n">
        <v>16453</v>
      </c>
      <c r="F963" s="13" t="n">
        <v>7</v>
      </c>
      <c r="G963" s="15" t="inlineStr">
        <is>
          <t>빅토르가 자신의 새로운 삶으로의 전환에 대해 마지막으로 팀에게 작별을 고합니다.</t>
        </is>
      </c>
    </row>
    <row r="964" ht="15" customHeight="1" s="11">
      <c r="A964" s="13" t="n">
        <v>963</v>
      </c>
      <c r="B964" s="13" t="n">
        <v>63</v>
      </c>
      <c r="C964" s="14">
        <f>INDEX('부작 목록'!$C$2:$C$66,B964)</f>
        <v/>
      </c>
      <c r="D964" s="14" t="inlineStr">
        <is>
          <t>E 빅토르 안전가옥 세션</t>
        </is>
      </c>
      <c r="E964" s="13" t="n">
        <v>16462</v>
      </c>
      <c r="F964" s="13" t="n">
        <v>6</v>
      </c>
      <c r="G964" s="15" t="inlineStr">
        <is>
          <t>빅토르가 떠나기 전, 알바로와 마지막으로 개인적인 순간을 나눕니다.</t>
        </is>
      </c>
    </row>
    <row r="965" ht="15" customHeight="1" s="11">
      <c r="A965" s="13" t="n">
        <v>964</v>
      </c>
      <c r="B965" s="13" t="n">
        <v>64</v>
      </c>
      <c r="C965" s="14">
        <f>INDEX('부작 목록'!$C$2:$C$66,B965)</f>
        <v/>
      </c>
      <c r="D965" s="14" t="inlineStr">
        <is>
          <t>E 빅토르 안전가옥 세션</t>
        </is>
      </c>
      <c r="E965" s="13" t="n">
        <v>16470</v>
      </c>
      <c r="F965" s="13" t="n">
        <v>7</v>
      </c>
      <c r="G965" s="15" t="inlineStr">
        <is>
          <t>몇 달 후, 알바로가 신문사 사무실에서 자신의 완결된 취재기획 기사를 마무리합니다.</t>
        </is>
      </c>
    </row>
    <row r="966" ht="15" customHeight="1" s="11">
      <c r="A966" s="13" t="n">
        <v>965</v>
      </c>
      <c r="B966" s="13" t="n">
        <v>64</v>
      </c>
      <c r="C966" s="14">
        <f>INDEX('부작 목록'!$C$2:$C$66,B966)</f>
        <v/>
      </c>
      <c r="D966" s="14" t="inlineStr">
        <is>
          <t>E 빅토르 안전가옥 세션</t>
        </is>
      </c>
      <c r="E966" s="13" t="n">
        <v>16479</v>
      </c>
      <c r="F966" s="13" t="n">
        <v>8</v>
      </c>
      <c r="G966" s="15" t="inlineStr">
        <is>
          <t>그날 저녁, 알바로와 카밀라가 자신들의 관계와 미래에 대해 이야기합니다.</t>
        </is>
      </c>
    </row>
    <row r="967" ht="15" customHeight="1" s="11">
      <c r="A967" s="13" t="n">
        <v>966</v>
      </c>
      <c r="B967" s="13" t="n">
        <v>64</v>
      </c>
      <c r="C967" s="14">
        <f>INDEX('부작 목록'!$C$2:$C$66,B967)</f>
        <v/>
      </c>
      <c r="D967" s="14" t="inlineStr">
        <is>
          <t>E 빅토르 안전가옥 세션</t>
        </is>
      </c>
      <c r="E967" s="13" t="n">
        <v>16490</v>
      </c>
      <c r="F967" s="13" t="n">
        <v>7</v>
      </c>
      <c r="G967" s="15" t="inlineStr">
        <is>
          <t>일 년 후, 카밀라가 완결된 보상기금 최종 보고서를 세션 형식으로 팀에 공유합니다.</t>
        </is>
      </c>
    </row>
    <row r="968" ht="15" customHeight="1" s="11">
      <c r="A968" s="13" t="n">
        <v>967</v>
      </c>
      <c r="B968" s="13" t="n">
        <v>64</v>
      </c>
      <c r="C968" s="14">
        <f>INDEX('부작 목록'!$C$2:$C$66,B968)</f>
        <v/>
      </c>
      <c r="D968" s="14" t="inlineStr">
        <is>
          <t>E 빅토르 안전가옥 세션</t>
        </is>
      </c>
      <c r="E968" s="13" t="n">
        <v>16499</v>
      </c>
      <c r="F968" s="13" t="n">
        <v>6</v>
      </c>
      <c r="G968" s="15" t="inlineStr">
        <is>
          <t>알바로가 마르코스와 함께 이 시리즈 전체가 남긴 기술적, 제도적 유산을 되돌아봅니다.</t>
        </is>
      </c>
    </row>
    <row r="969" ht="15" customHeight="1" s="11">
      <c r="A969" s="13" t="n">
        <v>968</v>
      </c>
      <c r="B969" s="13" t="n">
        <v>64</v>
      </c>
      <c r="C969" s="14">
        <f>INDEX('부작 목록'!$C$2:$C$66,B969)</f>
        <v/>
      </c>
      <c r="D969" s="14" t="inlineStr">
        <is>
          <t>E 빅토르 안전가옥 세션</t>
        </is>
      </c>
      <c r="E969" s="13" t="n">
        <v>16508</v>
      </c>
      <c r="F969" s="13" t="n">
        <v>7</v>
      </c>
      <c r="G969" s="15" t="inlineStr">
        <is>
          <t>알바로가 로셀요에게 수감 중인 감옥에서 마지막으로 편지를 받으며 예상치 못한 소식을 전합 니다.</t>
        </is>
      </c>
    </row>
    <row r="970" ht="15" customHeight="1" s="11">
      <c r="A970" s="13" t="n">
        <v>969</v>
      </c>
      <c r="B970" s="13" t="n">
        <v>64</v>
      </c>
      <c r="C970" s="14">
        <f>INDEX('부작 목록'!$C$2:$C$66,B970)</f>
        <v/>
      </c>
      <c r="D970" s="14" t="inlineStr">
        <is>
          <t>E 빅토르 안전가옥 세션</t>
        </is>
      </c>
      <c r="E970" s="13" t="n">
        <v>16517</v>
      </c>
      <c r="F970" s="13" t="n">
        <v>6</v>
      </c>
      <c r="G970" s="15" t="inlineStr">
        <is>
          <t>카를로스가 이 새로운 단서를 받아들이며 팀에게 다음 국면을 알립니다.</t>
        </is>
      </c>
    </row>
    <row r="971" ht="15" customHeight="1" s="11">
      <c r="A971" s="13" t="n">
        <v>970</v>
      </c>
      <c r="B971" s="13" t="n">
        <v>64</v>
      </c>
      <c r="C971" s="14">
        <f>INDEX('부작 목록'!$C$2:$C$66,B971)</f>
        <v/>
      </c>
      <c r="D971" s="14" t="inlineStr">
        <is>
          <t>E 빅토르 안전가옥 세션</t>
        </is>
      </c>
      <c r="E971" s="13" t="n">
        <v>16525</v>
      </c>
      <c r="F971" s="13" t="n">
        <v>7</v>
      </c>
      <c r="G971" s="15" t="inlineStr">
        <is>
          <t>알바로가 이 마지막 소식을 바탕으로 새로운 기사의 첫 문장을 쓰기 시작합니다.</t>
        </is>
      </c>
    </row>
    <row r="972" ht="15" customHeight="1" s="11">
      <c r="A972" s="13" t="n">
        <v>971</v>
      </c>
      <c r="B972" s="13" t="n">
        <v>64</v>
      </c>
      <c r="C972" s="14">
        <f>INDEX('부작 목록'!$C$2:$C$66,B972)</f>
        <v/>
      </c>
      <c r="D972" s="14" t="inlineStr">
        <is>
          <t>E 빅토르 안전가옥 세션</t>
        </is>
      </c>
      <c r="E972" s="13" t="n">
        <v>16535</v>
      </c>
      <c r="F972" s="13" t="n">
        <v>7</v>
      </c>
      <c r="G972" s="15" t="inlineStr">
        <is>
          <t>며칠 후, 팀 전체가 마지막으로 다시 모이며 새로운 국면의 공식 개시를 선언합니다.</t>
        </is>
      </c>
    </row>
    <row r="973" ht="15" customHeight="1" s="11">
      <c r="A973" s="13" t="n">
        <v>972</v>
      </c>
      <c r="B973" s="13" t="n">
        <v>64</v>
      </c>
      <c r="C973" s="14">
        <f>INDEX('부작 목록'!$C$2:$C$66,B973)</f>
        <v/>
      </c>
      <c r="D973" s="14" t="inlineStr">
        <is>
          <t>E 빅토르 안전가옥 세션</t>
        </is>
      </c>
      <c r="E973" s="13" t="n">
        <v>16544</v>
      </c>
      <c r="F973" s="13" t="n">
        <v>3</v>
      </c>
      <c r="G973" s="15" t="inlineStr">
        <is>
          <t>알바로가 시리즈 전체를 돌아보며 마지막 성찰을 독백처럼 남깁니다.</t>
        </is>
      </c>
    </row>
    <row r="974" ht="15" customHeight="1" s="11">
      <c r="A974" s="13" t="n">
        <v>973</v>
      </c>
      <c r="B974" s="13" t="n">
        <v>64</v>
      </c>
      <c r="C974" s="14">
        <f>INDEX('부작 목록'!$C$2:$C$66,B974)</f>
        <v/>
      </c>
      <c r="D974" s="14" t="inlineStr">
        <is>
          <t>E 빅토르 안전가옥 세션</t>
        </is>
      </c>
      <c r="E974" s="13" t="n">
        <v>16550</v>
      </c>
      <c r="F974" s="13" t="n">
        <v>2</v>
      </c>
      <c r="G974" s="15" t="inlineStr">
        <is>
          <t>카밀라가 알바로 옆에서 그 마지막 문장을 함께 읽으며 조용히 반응합니다.</t>
        </is>
      </c>
    </row>
    <row r="975" ht="15" customHeight="1" s="11">
      <c r="A975" s="13" t="n">
        <v>974</v>
      </c>
      <c r="B975" s="13" t="n">
        <v>64</v>
      </c>
      <c r="C975" s="14">
        <f>INDEX('부작 목록'!$C$2:$C$66,B975)</f>
        <v/>
      </c>
      <c r="D975" s="14" t="inlineStr">
        <is>
          <t>E 빅토르 안전가옥 세션</t>
        </is>
      </c>
      <c r="E975" s="13" t="n">
        <v>16554</v>
      </c>
      <c r="F975" s="13" t="n">
        <v>5</v>
      </c>
      <c r="G975" s="15" t="inlineStr">
        <is>
          <t>다음 날 아침, 알바로가 기사를 전송하며 새로운 여정의 첫걸음을 내딛습니다.</t>
        </is>
      </c>
    </row>
    <row r="976" ht="15" customHeight="1" s="11">
      <c r="A976" s="13" t="n">
        <v>975</v>
      </c>
      <c r="B976" s="13" t="n">
        <v>64</v>
      </c>
      <c r="C976" s="14">
        <f>INDEX('부작 목록'!$C$2:$C$66,B976)</f>
        <v/>
      </c>
      <c r="D976" s="14" t="inlineStr">
        <is>
          <t>E 빅토르 안전가옥 세션</t>
        </is>
      </c>
      <c r="E976" s="13" t="n">
        <v>16561</v>
      </c>
      <c r="F976" s="13" t="n">
        <v>13</v>
      </c>
      <c r="G976" s="15" t="inlineStr">
        <is>
          <t>카를로스가 마지막으로 전체 시리즈를 정리하며 팀에게 감사를 전합니다.</t>
        </is>
      </c>
    </row>
    <row r="977" ht="15" customHeight="1" s="11">
      <c r="A977" s="13" t="n">
        <v>976</v>
      </c>
      <c r="B977" s="13" t="n">
        <v>65</v>
      </c>
      <c r="C977" s="14">
        <f>INDEX('부작 목록'!$C$2:$C$66,B977)</f>
        <v/>
      </c>
      <c r="D977" s="14" t="inlineStr">
        <is>
          <t>E 빅토르 안전가옥 세션</t>
        </is>
      </c>
      <c r="E977" s="13" t="n">
        <v>16577</v>
      </c>
      <c r="F977" s="13" t="n">
        <v>24</v>
      </c>
      <c r="G977" s="15" t="inlineStr">
        <is>
          <t>몇 주 후. 알바로가 정기 면회 중 로셀요에게 그날 아침 신문에서 읽은 세우타 이민 사태 기사 를 화제로 꺼냅니다.</t>
        </is>
      </c>
    </row>
    <row r="978" ht="28.35" customHeight="1" s="11">
      <c r="A978" s="13" t="n">
        <v>977</v>
      </c>
      <c r="B978" s="13" t="n">
        <v>65</v>
      </c>
      <c r="C978" s="14">
        <f>INDEX('부작 목록'!$C$2:$C$66,B978)</f>
        <v/>
      </c>
      <c r="D978" s="14" t="inlineStr">
        <is>
          <t>E 빅토르 안전가옥 세션</t>
        </is>
      </c>
      <c r="E978" s="13" t="n">
        <v>16604</v>
      </c>
      <c r="F978" s="13" t="n">
        <v>23</v>
      </c>
      <c r="G978" s="15" t="inlineStr">
        <is>
          <t>며칠 후. 알바로가 정기 면회 중 로셀요에게 만레사에서 벌어진 살인 사건과 그것을 둘러싼 정 치적 논쟁에 대한 신문 기사를 화제로 꺼냅니다.</t>
        </is>
      </c>
    </row>
    <row r="979" ht="28.35" customHeight="1" s="11">
      <c r="A979" s="13" t="n">
        <v>978</v>
      </c>
      <c r="B979" s="13" t="n">
        <v>65</v>
      </c>
      <c r="C979" s="14">
        <f>INDEX('부작 목록'!$C$2:$C$66,B979)</f>
        <v/>
      </c>
      <c r="D979" s="14" t="inlineStr">
        <is>
          <t>E 빅토르 안전가옥 세션</t>
        </is>
      </c>
      <c r="E979" s="13" t="n">
        <v>16631</v>
      </c>
      <c r="F979" s="13" t="n">
        <v>19</v>
      </c>
      <c r="G979" s="15" t="inlineStr">
        <is>
          <t>며칠 후. 알바로가 정기 면회 중 로셀요에게 미국 트럼프 행정부가 각 주에 미등록 이민자 신고 를 강제하는 정책에 대한 기사를 화제로 꺼냅니다.</t>
        </is>
      </c>
    </row>
    <row r="980" ht="15" customHeight="1" s="11">
      <c r="A980" s="13" t="n">
        <v>979</v>
      </c>
      <c r="B980" s="13" t="n">
        <v>65</v>
      </c>
      <c r="C980" s="14">
        <f>INDEX('부작 목록'!$C$2:$C$66,B980)</f>
        <v/>
      </c>
      <c r="D980" s="14" t="inlineStr">
        <is>
          <t>E 빅토르 안전가옥 세션</t>
        </is>
      </c>
      <c r="E980" s="13" t="n">
        <v>16653</v>
      </c>
      <c r="F980" s="13" t="n">
        <v>18</v>
      </c>
      <c r="G980" s="15" t="inlineStr">
        <is>
          <t>며칠 후. 알바로가 정기 면회 중 무거운 화제 대신, 그날 아침 읽은 여름 요리 기사를 가볍게 꺼냅니다.</t>
        </is>
      </c>
    </row>
    <row r="981" ht="28.35" customHeight="1" s="11">
      <c r="A981" s="13" t="n">
        <v>980</v>
      </c>
      <c r="B981" s="13" t="n">
        <v>65</v>
      </c>
      <c r="C981" s="14">
        <f>INDEX('부작 목록'!$C$2:$C$66,B981)</f>
        <v/>
      </c>
      <c r="D981" s="14" t="inlineStr">
        <is>
          <t>E 빅토르 안전가옥 세션</t>
        </is>
      </c>
      <c r="E981" s="13" t="n">
        <v>16674</v>
      </c>
      <c r="F981" s="13" t="n">
        <v>19</v>
      </c>
      <c r="G981" s="15" t="inlineStr">
        <is>
          <t>며칠 후. 알바로가 정기 면회 중 로셀요에게 라이프치히 드론 공격을 EU가 '국가 후원 테러리즘 '으로 규정한 기사를 화제로 꺼냅니다.</t>
        </is>
      </c>
    </row>
  </sheetData>
  <autoFilter ref="A1:G98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A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30" customWidth="1" style="10" min="1" max="1"/>
  </cols>
  <sheetData>
    <row r="1" ht="14.9" customHeight="1" s="11">
      <c r="A1" s="18" t="inlineStr">
        <is>
          <t>알바로 이야기 첨부 문서(6e765f55-…5.docx) 부작·화 구분표</t>
        </is>
      </c>
    </row>
    <row r="2" ht="15" customHeight="1" s="11">
      <c r="A2" s="20" t="n"/>
    </row>
    <row r="3" ht="15" customHeight="1" s="11">
      <c r="A3" s="18" t="inlineStr">
        <is>
          <t>구분 기준</t>
        </is>
      </c>
    </row>
    <row r="4" ht="14.9" customHeight="1" s="11">
      <c r="A4" s="20" t="inlineStr">
        <is>
          <t>- 화: 문서에서 장면마다 붙은 한국어 상황 설명 문단 1개 = 1화 (총 980화).</t>
        </is>
      </c>
    </row>
    <row r="5" ht="14.9" customHeight="1" s="11">
      <c r="A5" s="20" t="inlineStr">
        <is>
          <t>- 부작: 상황 설명의 "새로운 작전/취재/세션", "신규 아크", 사건 마무리 문구와 사건 주제가 바뀌는 지점으로 묶음 (총 65부작).</t>
        </is>
      </c>
    </row>
    <row r="6" ht="14.9" customHeight="1" s="11">
      <c r="A6" s="20" t="inlineStr">
        <is>
          <t>- 파트: 부작을 크게 묶은 5개 분류 (A 일상 회화, B 카를로스 사건집, C EU 로비, D 엘 아르키텍토 추적, E 빅토르 안전가옥 세션).</t>
        </is>
      </c>
    </row>
    <row r="7" ht="14.9" customHeight="1" s="11">
      <c r="A7" s="20" t="inlineStr">
        <is>
          <t>- 부작 제목·핵심 내용은 상황 설명을 읽고 직접 붙인 것이며, 문서 원문에 있는 제목이 아닙니다.</t>
        </is>
      </c>
    </row>
    <row r="8" ht="14.9" customHeight="1" s="11">
      <c r="A8" s="20" t="inlineStr">
        <is>
          <t>- 부작 경계(시작 화/끝 화)는 파란색 입력값입니다. 고치면 화 수·대화 줄 수 등은 화 목록과 연동되지만, 화 목록의 부작 번호는 자동 갱신되지 않습니다.</t>
        </is>
      </c>
    </row>
    <row r="9" ht="15" customHeight="1" s="11">
      <c r="A9" s="20" t="n"/>
    </row>
    <row r="10" ht="15" customHeight="1" s="11">
      <c r="A10" s="18" t="inlineStr">
        <is>
          <t>한계</t>
        </is>
      </c>
    </row>
    <row r="11" ht="14.9" customHeight="1" s="11">
      <c r="A11" s="20" t="inlineStr">
        <is>
          <t>- 화 목록의 상황 설명은 원문 발췌이며, 원문 줄바꿈 때문에 한글 사이에 공백이 끼어 있는 곳이 있습니다.</t>
        </is>
      </c>
    </row>
    <row r="12" ht="14.9" customHeight="1" s="11">
      <c r="A12" s="20" t="inlineStr">
        <is>
          <t>- 대화 줄 수는 상황 설명 다음부터 다음 상황 설명 전까지의 문단 수라서 근사값입니다(줄바꿈된 대사는 여러 줄로 셈).</t>
        </is>
      </c>
    </row>
    <row r="13" ht="14.9" customHeight="1" s="11">
      <c r="A13" s="20" t="inlineStr">
        <is>
          <t>- 일부 화는 상황 설명이 한두 문장뿐이라 같은 장면이 둘로 나뉘었을 수 있습니다.</t>
        </is>
      </c>
    </row>
    <row r="14" ht="14.9" customHeight="1" s="11">
      <c r="A14" s="20" t="inlineStr">
        <is>
          <t>- "저장소 해설 폴더"는 장면 수가 일치하는 저장소 폴더(S2-…)를 표시한 것입니다. 95~459화 구간과 대응됩니다.</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2026-10-16T13:19:31Z</dcterms:created>
  <dcterms:modified xmlns:dcterms="http://purl.org/dc/terms/" xmlns:xsi="http://www.w3.org/2001/XMLSchema-instance" xsi:type="dcterms:W3CDTF">2026-10-16T15:59:48Z</dcterms:modified>
  <cp:revision>0</cp:revision>
</cp:coreProperties>
</file>